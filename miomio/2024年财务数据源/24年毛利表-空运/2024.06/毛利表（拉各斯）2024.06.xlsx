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Sheet1!$A$2:$AE$787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M7" authorId="0">
      <text>
        <r>
          <rPr>
            <sz val="9"/>
            <rFont val="宋体"/>
            <charset val="134"/>
          </rPr>
          <t>预付115转到付USD15.9</t>
        </r>
      </text>
    </comment>
    <comment ref="M11" authorId="0">
      <text>
        <r>
          <rPr>
            <sz val="9"/>
            <rFont val="宋体"/>
            <charset val="134"/>
          </rPr>
          <t>预付2106转到付USD290.88.</t>
        </r>
      </text>
    </comment>
    <comment ref="M13" authorId="0">
      <text>
        <r>
          <rPr>
            <sz val="9"/>
            <rFont val="宋体"/>
            <charset val="134"/>
          </rPr>
          <t>预付17675.5转到付USD2448.13.</t>
        </r>
      </text>
    </comment>
    <comment ref="M14" authorId="0">
      <text>
        <r>
          <rPr>
            <sz val="9"/>
            <rFont val="宋体"/>
            <charset val="134"/>
          </rPr>
          <t xml:space="preserve">预付2014转到付USD278.17.
</t>
        </r>
      </text>
    </comment>
    <comment ref="M22" authorId="0">
      <text>
        <r>
          <rPr>
            <sz val="9"/>
            <rFont val="宋体"/>
            <charset val="134"/>
          </rPr>
          <t xml:space="preserve">预付1669.5转到付USD230.59.
</t>
        </r>
      </text>
    </comment>
    <comment ref="M24" authorId="0">
      <text>
        <r>
          <rPr>
            <sz val="9"/>
            <rFont val="宋体"/>
            <charset val="134"/>
          </rPr>
          <t xml:space="preserve">预付53转到付USD7.32.
</t>
        </r>
      </text>
    </comment>
    <comment ref="M26" authorId="0">
      <text>
        <r>
          <rPr>
            <sz val="9"/>
            <rFont val="宋体"/>
            <charset val="134"/>
          </rPr>
          <t xml:space="preserve">预付6174.5转到付USD852.83.
</t>
        </r>
      </text>
    </comment>
    <comment ref="M31" authorId="0">
      <text>
        <r>
          <rPr>
            <sz val="9"/>
            <rFont val="宋体"/>
            <charset val="134"/>
          </rPr>
          <t xml:space="preserve">预付160转到付USD22.09.
</t>
        </r>
      </text>
    </comment>
    <comment ref="M39" authorId="0">
      <text>
        <r>
          <rPr>
            <sz val="9"/>
            <rFont val="宋体"/>
            <charset val="134"/>
          </rPr>
          <t>预付150转到付USD20.71</t>
        </r>
      </text>
    </comment>
    <comment ref="M53" authorId="0">
      <text>
        <r>
          <rPr>
            <sz val="9"/>
            <rFont val="宋体"/>
            <charset val="134"/>
          </rPr>
          <t xml:space="preserve">预付1380转到付USD190.6.
</t>
        </r>
      </text>
    </comment>
    <comment ref="M57" authorId="0">
      <text>
        <r>
          <rPr>
            <sz val="9"/>
            <rFont val="宋体"/>
            <charset val="134"/>
          </rPr>
          <t xml:space="preserve">预付6296.9转到付USD869.73.
</t>
        </r>
      </text>
    </comment>
    <comment ref="M65" authorId="0">
      <text>
        <r>
          <rPr>
            <sz val="9"/>
            <rFont val="宋体"/>
            <charset val="134"/>
          </rPr>
          <t>预付954转到付USD131.76.</t>
        </r>
      </text>
    </comment>
    <comment ref="M73" authorId="0">
      <text>
        <r>
          <rPr>
            <sz val="9"/>
            <rFont val="宋体"/>
            <charset val="134"/>
          </rPr>
          <t xml:space="preserve">预付320转到付USD44.19.
</t>
        </r>
      </text>
    </comment>
    <comment ref="M74" authorId="0">
      <text>
        <r>
          <rPr>
            <sz val="9"/>
            <rFont val="宋体"/>
            <charset val="134"/>
          </rPr>
          <t xml:space="preserve">预付1230转到付USD169.88.
</t>
        </r>
      </text>
    </comment>
    <comment ref="M75" authorId="0">
      <text>
        <r>
          <rPr>
            <sz val="9"/>
            <rFont val="宋体"/>
            <charset val="134"/>
          </rPr>
          <t xml:space="preserve">预付3017转到付USD416.71.
</t>
        </r>
      </text>
    </comment>
    <comment ref="M84" authorId="0">
      <text>
        <r>
          <rPr>
            <sz val="9"/>
            <rFont val="宋体"/>
            <charset val="134"/>
          </rPr>
          <t xml:space="preserve">预付132.5转到付USD18.3.
</t>
        </r>
      </text>
    </comment>
    <comment ref="M87" authorId="0">
      <text>
        <r>
          <rPr>
            <sz val="9"/>
            <rFont val="宋体"/>
            <charset val="134"/>
          </rPr>
          <t xml:space="preserve">预付177转到付USD24.44.
</t>
        </r>
      </text>
    </comment>
    <comment ref="M88" authorId="0">
      <text>
        <r>
          <rPr>
            <sz val="9"/>
            <rFont val="宋体"/>
            <charset val="134"/>
          </rPr>
          <t>预付4034转到付USD557.18.</t>
        </r>
      </text>
    </comment>
    <comment ref="M94" authorId="0">
      <text>
        <r>
          <rPr>
            <sz val="9"/>
            <rFont val="宋体"/>
            <charset val="134"/>
          </rPr>
          <t xml:space="preserve">预付273转到付USD37.7
</t>
        </r>
      </text>
    </comment>
    <comment ref="M96" authorId="0">
      <text>
        <r>
          <rPr>
            <sz val="9"/>
            <rFont val="宋体"/>
            <charset val="134"/>
          </rPr>
          <t xml:space="preserve">预付323转到付USD44.61.
</t>
        </r>
      </text>
    </comment>
    <comment ref="M97" authorId="0">
      <text>
        <r>
          <rPr>
            <sz val="9"/>
            <rFont val="宋体"/>
            <charset val="134"/>
          </rPr>
          <t xml:space="preserve">预付4292转到付USD592.81.
</t>
        </r>
      </text>
    </comment>
    <comment ref="M98" authorId="0">
      <text>
        <r>
          <rPr>
            <sz val="9"/>
            <rFont val="宋体"/>
            <charset val="134"/>
          </rPr>
          <t>预付61转到付USD8.42</t>
        </r>
      </text>
    </comment>
    <comment ref="M103" authorId="0">
      <text>
        <r>
          <rPr>
            <sz val="9"/>
            <rFont val="宋体"/>
            <charset val="134"/>
          </rPr>
          <t xml:space="preserve">预付150转到付USD20.71
</t>
        </r>
      </text>
    </comment>
    <comment ref="M104" authorId="0">
      <text>
        <r>
          <rPr>
            <sz val="9"/>
            <rFont val="宋体"/>
            <charset val="134"/>
          </rPr>
          <t>预付256转到付SD35.45.</t>
        </r>
      </text>
    </comment>
    <comment ref="M106" authorId="0">
      <text>
        <r>
          <rPr>
            <sz val="9"/>
            <rFont val="宋体"/>
            <charset val="134"/>
          </rPr>
          <t xml:space="preserve">预付61转到付USD8.42.
</t>
        </r>
      </text>
    </comment>
    <comment ref="M107" authorId="0">
      <text>
        <r>
          <rPr>
            <sz val="9"/>
            <rFont val="宋体"/>
            <charset val="134"/>
          </rPr>
          <t xml:space="preserve">预付61转到付USD8.42.
</t>
        </r>
      </text>
    </comment>
    <comment ref="M108" authorId="0">
      <text>
        <r>
          <rPr>
            <sz val="9"/>
            <rFont val="宋体"/>
            <charset val="134"/>
          </rPr>
          <t>预付2411.5转到付USD333.08.</t>
        </r>
      </text>
    </comment>
    <comment ref="M118" authorId="0">
      <text>
        <r>
          <rPr>
            <sz val="9"/>
            <rFont val="宋体"/>
            <charset val="134"/>
          </rPr>
          <t xml:space="preserve">预付163转到付USD22.51
</t>
        </r>
      </text>
    </comment>
    <comment ref="M122" authorId="0">
      <text>
        <r>
          <rPr>
            <sz val="9"/>
            <rFont val="宋体"/>
            <charset val="134"/>
          </rPr>
          <t xml:space="preserve">预付1725.9转到付USD238.38.
</t>
        </r>
      </text>
    </comment>
    <comment ref="M126" authorId="0">
      <text>
        <r>
          <rPr>
            <sz val="9"/>
            <rFont val="宋体"/>
            <charset val="134"/>
          </rPr>
          <t>预付1139.5转到付USD157.38.</t>
        </r>
      </text>
    </comment>
    <comment ref="M127" authorId="0">
      <text>
        <r>
          <rPr>
            <sz val="9"/>
            <rFont val="宋体"/>
            <charset val="134"/>
          </rPr>
          <t xml:space="preserve">预付185.5转到付USD25.62.
</t>
        </r>
      </text>
    </comment>
    <comment ref="M128" authorId="0">
      <text>
        <r>
          <rPr>
            <sz val="9"/>
            <rFont val="宋体"/>
            <charset val="134"/>
          </rPr>
          <t xml:space="preserve">预付1210转到付USD167.12
</t>
        </r>
      </text>
    </comment>
    <comment ref="I138" authorId="0">
      <text>
        <r>
          <rPr>
            <b/>
            <sz val="9"/>
            <rFont val="宋体"/>
            <charset val="134"/>
          </rPr>
          <t>30993:到付USD16.66转预付150.</t>
        </r>
      </text>
    </comment>
    <comment ref="M139" authorId="0">
      <text>
        <r>
          <rPr>
            <sz val="9"/>
            <rFont val="宋体"/>
            <charset val="134"/>
          </rPr>
          <t xml:space="preserve">预付3514转到付USD485.35.
</t>
        </r>
      </text>
    </comment>
    <comment ref="M140" authorId="0">
      <text>
        <r>
          <rPr>
            <sz val="9"/>
            <rFont val="宋体"/>
            <charset val="134"/>
          </rPr>
          <t xml:space="preserve">预付120转到付USD16.57.
</t>
        </r>
      </text>
    </comment>
    <comment ref="M146" authorId="0">
      <text>
        <r>
          <rPr>
            <sz val="9"/>
            <rFont val="宋体"/>
            <charset val="134"/>
          </rPr>
          <t xml:space="preserve">预付4676转到位USD645.85
</t>
        </r>
      </text>
    </comment>
    <comment ref="M163" authorId="0">
      <text>
        <r>
          <rPr>
            <sz val="9"/>
            <rFont val="宋体"/>
            <charset val="134"/>
          </rPr>
          <t>预付942.5转到付USD130.17.</t>
        </r>
      </text>
    </comment>
    <comment ref="M165" authorId="0">
      <text>
        <r>
          <rPr>
            <sz val="9"/>
            <rFont val="宋体"/>
            <charset val="134"/>
          </rPr>
          <t xml:space="preserve">预付762.85转到付USD105.36.
</t>
        </r>
      </text>
    </comment>
    <comment ref="M178" authorId="0">
      <text>
        <r>
          <rPr>
            <sz val="9"/>
            <rFont val="宋体"/>
            <charset val="134"/>
          </rPr>
          <t xml:space="preserve">预付815转到付USD112.56.
</t>
        </r>
      </text>
    </comment>
    <comment ref="M189" authorId="0">
      <text>
        <r>
          <rPr>
            <sz val="9"/>
            <rFont val="宋体"/>
            <charset val="134"/>
          </rPr>
          <t xml:space="preserve">预付598转到付USD82.59.
</t>
        </r>
      </text>
    </comment>
    <comment ref="M197" authorId="0">
      <text>
        <r>
          <rPr>
            <sz val="9"/>
            <rFont val="宋体"/>
            <charset val="134"/>
          </rPr>
          <t xml:space="preserve">预付184.8转到付USD25.52.
</t>
        </r>
      </text>
    </comment>
    <comment ref="M198" authorId="0">
      <text>
        <r>
          <rPr>
            <sz val="9"/>
            <rFont val="宋体"/>
            <charset val="134"/>
          </rPr>
          <t xml:space="preserve">预付539.55转到付USD74.52
</t>
        </r>
      </text>
    </comment>
    <comment ref="I206" authorId="0">
      <text>
        <r>
          <rPr>
            <b/>
            <sz val="9"/>
            <rFont val="宋体"/>
            <charset val="134"/>
          </rPr>
          <t>29/7微信支付21573.45欠15710.55</t>
        </r>
        <r>
          <rPr>
            <sz val="9"/>
            <rFont val="宋体"/>
            <charset val="134"/>
          </rPr>
          <t xml:space="preserve">
</t>
        </r>
      </text>
    </comment>
    <comment ref="M218" authorId="0">
      <text>
        <r>
          <rPr>
            <sz val="9"/>
            <rFont val="宋体"/>
            <charset val="134"/>
          </rPr>
          <t xml:space="preserve">预付302.5转到付USD41.78.
</t>
        </r>
      </text>
    </comment>
    <comment ref="M223" authorId="0">
      <text>
        <r>
          <rPr>
            <sz val="9"/>
            <rFont val="宋体"/>
            <charset val="134"/>
          </rPr>
          <t xml:space="preserve">预付376.5转到付USD52.
</t>
        </r>
      </text>
    </comment>
    <comment ref="M234" authorId="0">
      <text>
        <r>
          <rPr>
            <sz val="9"/>
            <rFont val="宋体"/>
            <charset val="134"/>
          </rPr>
          <t xml:space="preserve">预付3399转到付USD469.47.
</t>
        </r>
      </text>
    </comment>
    <comment ref="M252" authorId="0">
      <text>
        <r>
          <rPr>
            <sz val="9"/>
            <rFont val="宋体"/>
            <charset val="134"/>
          </rPr>
          <t xml:space="preserve">预付63转到付USD8.7.
</t>
        </r>
      </text>
    </comment>
    <comment ref="M257" authorId="0">
      <text>
        <r>
          <rPr>
            <sz val="9"/>
            <rFont val="宋体"/>
            <charset val="134"/>
          </rPr>
          <t xml:space="preserve">预付302.5转到付USD41.78.
</t>
        </r>
      </text>
    </comment>
    <comment ref="M265" authorId="0">
      <text>
        <r>
          <rPr>
            <sz val="9"/>
            <rFont val="宋体"/>
            <charset val="134"/>
          </rPr>
          <t xml:space="preserve">预付1200转到付USD165.74.
</t>
        </r>
      </text>
    </comment>
    <comment ref="M266" authorId="0">
      <text>
        <r>
          <rPr>
            <sz val="9"/>
            <rFont val="宋体"/>
            <charset val="134"/>
          </rPr>
          <t xml:space="preserve">预付63转到付USD8.7
</t>
        </r>
      </text>
    </comment>
    <comment ref="M276" authorId="0">
      <text>
        <r>
          <rPr>
            <sz val="9"/>
            <rFont val="宋体"/>
            <charset val="134"/>
          </rPr>
          <t>预付513转到付USD70.85.</t>
        </r>
      </text>
    </comment>
    <comment ref="M279" authorId="0">
      <text>
        <r>
          <rPr>
            <sz val="9"/>
            <rFont val="宋体"/>
            <charset val="134"/>
          </rPr>
          <t xml:space="preserve">预付1809转到付USD249.86.
</t>
        </r>
      </text>
    </comment>
    <comment ref="M285" authorId="0">
      <text>
        <r>
          <rPr>
            <sz val="9"/>
            <rFont val="宋体"/>
            <charset val="134"/>
          </rPr>
          <t>预付178.5转到付USD24.65.</t>
        </r>
      </text>
    </comment>
    <comment ref="M286" authorId="0">
      <text>
        <r>
          <rPr>
            <sz val="9"/>
            <rFont val="宋体"/>
            <charset val="134"/>
          </rPr>
          <t xml:space="preserve">预付1659转到付USD229.14.
</t>
        </r>
      </text>
    </comment>
    <comment ref="M288" authorId="0">
      <text>
        <r>
          <rPr>
            <sz val="9"/>
            <rFont val="宋体"/>
            <charset val="134"/>
          </rPr>
          <t xml:space="preserve">预付1485转到付USD205.11.
</t>
        </r>
      </text>
    </comment>
    <comment ref="M304" authorId="0">
      <text>
        <r>
          <rPr>
            <sz val="9"/>
            <rFont val="宋体"/>
            <charset val="134"/>
          </rPr>
          <t xml:space="preserve">预付440转到付USD60.77
</t>
        </r>
      </text>
    </comment>
    <comment ref="M318" authorId="0">
      <text>
        <r>
          <rPr>
            <sz val="9"/>
            <rFont val="宋体"/>
            <charset val="134"/>
          </rPr>
          <t>预付1782.5转到付USD246.2</t>
        </r>
      </text>
    </comment>
    <comment ref="M321" authorId="0">
      <text>
        <r>
          <rPr>
            <sz val="9"/>
            <rFont val="宋体"/>
            <charset val="134"/>
          </rPr>
          <t xml:space="preserve">预付172.5转到付USD23.82.
</t>
        </r>
      </text>
    </comment>
    <comment ref="M324" authorId="0">
      <text>
        <r>
          <rPr>
            <sz val="9"/>
            <rFont val="宋体"/>
            <charset val="134"/>
          </rPr>
          <t xml:space="preserve">预付115默认到付USD15.88
</t>
        </r>
      </text>
    </comment>
    <comment ref="M329" authorId="0">
      <text>
        <r>
          <rPr>
            <sz val="9"/>
            <rFont val="宋体"/>
            <charset val="134"/>
          </rPr>
          <t xml:space="preserve">预付360转到付USD49.72.
</t>
        </r>
      </text>
    </comment>
    <comment ref="M352" authorId="0">
      <text>
        <r>
          <rPr>
            <sz val="9"/>
            <rFont val="宋体"/>
            <charset val="134"/>
          </rPr>
          <t>预付850.5转到付SD117.47.</t>
        </r>
      </text>
    </comment>
    <comment ref="M355" authorId="0">
      <text>
        <r>
          <rPr>
            <sz val="9"/>
            <rFont val="宋体"/>
            <charset val="134"/>
          </rPr>
          <t xml:space="preserve">预付306.6转到付USD42.34.
</t>
        </r>
      </text>
    </comment>
    <comment ref="I373" authorId="0">
      <text>
        <r>
          <rPr>
            <sz val="9"/>
            <rFont val="宋体"/>
            <charset val="134"/>
          </rPr>
          <t xml:space="preserve">到付USD118.31转预付863.
</t>
        </r>
      </text>
    </comment>
    <comment ref="M375" authorId="0">
      <text>
        <r>
          <rPr>
            <sz val="9"/>
            <rFont val="宋体"/>
            <charset val="134"/>
          </rPr>
          <t xml:space="preserve">预付445.5转到付SD61.53.
</t>
        </r>
      </text>
    </comment>
    <comment ref="M379" authorId="0">
      <text>
        <r>
          <rPr>
            <sz val="9"/>
            <rFont val="宋体"/>
            <charset val="134"/>
          </rPr>
          <t xml:space="preserve">预付633.6转到付USD87.51.
</t>
        </r>
      </text>
    </comment>
    <comment ref="M392" authorId="0">
      <text>
        <r>
          <rPr>
            <sz val="9"/>
            <rFont val="宋体"/>
            <charset val="134"/>
          </rPr>
          <t xml:space="preserve">预付504转到付USD69.61.
</t>
        </r>
      </text>
    </comment>
    <comment ref="M393" authorId="0">
      <text>
        <r>
          <rPr>
            <sz val="9"/>
            <rFont val="宋体"/>
            <charset val="134"/>
          </rPr>
          <t xml:space="preserve">预付915.75转到付USD126.48.
</t>
        </r>
      </text>
    </comment>
    <comment ref="M401" authorId="0">
      <text>
        <r>
          <rPr>
            <sz val="9"/>
            <rFont val="宋体"/>
            <charset val="134"/>
          </rPr>
          <t xml:space="preserve">预付112.2转到付USD15.49.
</t>
        </r>
      </text>
    </comment>
    <comment ref="M405" authorId="0">
      <text>
        <r>
          <rPr>
            <sz val="9"/>
            <rFont val="宋体"/>
            <charset val="134"/>
          </rPr>
          <t xml:space="preserve">预付360转到付USD49.72.
</t>
        </r>
      </text>
    </comment>
    <comment ref="M411" authorId="0">
      <text>
        <r>
          <rPr>
            <sz val="9"/>
            <rFont val="宋体"/>
            <charset val="134"/>
          </rPr>
          <t>预付1035转到付USD142.95.</t>
        </r>
      </text>
    </comment>
    <comment ref="M427" authorId="0">
      <text>
        <r>
          <rPr>
            <sz val="9"/>
            <rFont val="宋体"/>
            <charset val="134"/>
          </rPr>
          <t xml:space="preserve">预付10565.63转到付USD1459.34.
</t>
        </r>
      </text>
    </comment>
    <comment ref="M429" authorId="0">
      <text>
        <r>
          <rPr>
            <sz val="9"/>
            <rFont val="宋体"/>
            <charset val="134"/>
          </rPr>
          <t xml:space="preserve">预付8433.72转到付USD1164.87.
</t>
        </r>
      </text>
    </comment>
    <comment ref="M450" authorId="0">
      <text>
        <r>
          <rPr>
            <sz val="9"/>
            <rFont val="宋体"/>
            <charset val="134"/>
          </rPr>
          <t xml:space="preserve">预付165转到付USD22.79.
</t>
        </r>
      </text>
    </comment>
    <comment ref="M455" authorId="0">
      <text>
        <r>
          <rPr>
            <sz val="9"/>
            <rFont val="宋体"/>
            <charset val="134"/>
          </rPr>
          <t xml:space="preserve">预付2940转到付USD406.07.
</t>
        </r>
      </text>
    </comment>
    <comment ref="I456" authorId="0">
      <text>
        <r>
          <rPr>
            <sz val="9"/>
            <rFont val="宋体"/>
            <charset val="134"/>
          </rPr>
          <t xml:space="preserve">到付USD9.6转预付71.
</t>
        </r>
      </text>
    </comment>
    <comment ref="M459" authorId="0">
      <text>
        <r>
          <rPr>
            <sz val="9"/>
            <rFont val="宋体"/>
            <charset val="134"/>
          </rPr>
          <t xml:space="preserve">预付145转USD20.02.
</t>
        </r>
      </text>
    </comment>
    <comment ref="M462" authorId="0">
      <text>
        <r>
          <rPr>
            <sz val="9"/>
            <rFont val="宋体"/>
            <charset val="134"/>
          </rPr>
          <t>预付63转到付USD8.7.</t>
        </r>
      </text>
    </comment>
    <comment ref="I463" authorId="0">
      <text>
        <r>
          <rPr>
            <sz val="9"/>
            <rFont val="宋体"/>
            <charset val="134"/>
          </rPr>
          <t xml:space="preserve">货物丢失.赔偿款1430元搭扣240705000021运费.
</t>
        </r>
      </text>
    </comment>
    <comment ref="U463" authorId="0">
      <text>
        <r>
          <rPr>
            <sz val="9"/>
            <rFont val="宋体"/>
            <charset val="134"/>
          </rPr>
          <t xml:space="preserve">报关费用500.
</t>
        </r>
      </text>
    </comment>
    <comment ref="M467" authorId="0">
      <text>
        <r>
          <rPr>
            <sz val="9"/>
            <rFont val="宋体"/>
            <charset val="134"/>
          </rPr>
          <t xml:space="preserve">预付1126转到付USD155.52.
</t>
        </r>
      </text>
    </comment>
    <comment ref="M474" authorId="0">
      <text>
        <r>
          <rPr>
            <sz val="9"/>
            <rFont val="宋体"/>
            <charset val="134"/>
          </rPr>
          <t xml:space="preserve">预付303转到付USD41.85.
</t>
        </r>
      </text>
    </comment>
    <comment ref="M484" authorId="0">
      <text>
        <r>
          <rPr>
            <sz val="9"/>
            <rFont val="宋体"/>
            <charset val="134"/>
          </rPr>
          <t xml:space="preserve">预付918转到付USD126.79.
</t>
        </r>
      </text>
    </comment>
    <comment ref="M485" authorId="0">
      <text>
        <r>
          <rPr>
            <sz val="9"/>
            <rFont val="宋体"/>
            <charset val="134"/>
          </rPr>
          <t xml:space="preserve">预付884.4转到付USD122.15.
</t>
        </r>
      </text>
    </comment>
    <comment ref="M491" authorId="0">
      <text>
        <r>
          <rPr>
            <sz val="9"/>
            <rFont val="宋体"/>
            <charset val="134"/>
          </rPr>
          <t xml:space="preserve">预付715.5转到付USD98.82.
</t>
        </r>
      </text>
    </comment>
    <comment ref="M492" authorId="0">
      <text>
        <r>
          <rPr>
            <sz val="9"/>
            <rFont val="宋体"/>
            <charset val="134"/>
          </rPr>
          <t>预付3762转到付SD519.61.</t>
        </r>
      </text>
    </comment>
    <comment ref="M494" authorId="0">
      <text>
        <r>
          <rPr>
            <sz val="9"/>
            <rFont val="宋体"/>
            <charset val="134"/>
          </rPr>
          <t xml:space="preserve">预付153转到付USD21.13.
</t>
        </r>
      </text>
    </comment>
    <comment ref="M498" authorId="0">
      <text>
        <r>
          <rPr>
            <sz val="9"/>
            <rFont val="宋体"/>
            <charset val="134"/>
          </rPr>
          <t xml:space="preserve">预付3795转到付USD524.17.
</t>
        </r>
      </text>
    </comment>
    <comment ref="M517" authorId="0">
      <text>
        <r>
          <rPr>
            <sz val="9"/>
            <rFont val="宋体"/>
            <charset val="134"/>
          </rPr>
          <t>预付447转到付USD61.74.</t>
        </r>
      </text>
    </comment>
    <comment ref="M519" authorId="0">
      <text>
        <r>
          <rPr>
            <sz val="9"/>
            <rFont val="宋体"/>
            <charset val="134"/>
          </rPr>
          <t xml:space="preserve">预付240转到付USD33.14.
</t>
        </r>
      </text>
    </comment>
    <comment ref="M520" authorId="0">
      <text>
        <r>
          <rPr>
            <sz val="9"/>
            <rFont val="宋体"/>
            <charset val="134"/>
          </rPr>
          <t xml:space="preserve">预付661.5转到付USD91.36.
</t>
        </r>
      </text>
    </comment>
    <comment ref="M521" authorId="0">
      <text>
        <r>
          <rPr>
            <sz val="9"/>
            <rFont val="宋体"/>
            <charset val="134"/>
          </rPr>
          <t xml:space="preserve">预付409.5转到付USD56.56.
</t>
        </r>
      </text>
    </comment>
    <comment ref="M526" authorId="0">
      <text>
        <r>
          <rPr>
            <sz val="9"/>
            <rFont val="宋体"/>
            <charset val="134"/>
          </rPr>
          <t xml:space="preserve">预付240转到付USD33.14.
</t>
        </r>
      </text>
    </comment>
    <comment ref="M528" authorId="0">
      <text>
        <r>
          <rPr>
            <sz val="9"/>
            <rFont val="宋体"/>
            <charset val="134"/>
          </rPr>
          <t xml:space="preserve">预付2585转到付USD357.04.
</t>
        </r>
      </text>
    </comment>
    <comment ref="M535" authorId="0">
      <text>
        <r>
          <rPr>
            <sz val="9"/>
            <rFont val="宋体"/>
            <charset val="134"/>
          </rPr>
          <t xml:space="preserve">预付13252.5转到付USD1830.45.
</t>
        </r>
      </text>
    </comment>
    <comment ref="M551" authorId="0">
      <text>
        <r>
          <rPr>
            <sz val="9"/>
            <rFont val="宋体"/>
            <charset val="134"/>
          </rPr>
          <t>预付2062.5转到付USD284.87.</t>
        </r>
      </text>
    </comment>
    <comment ref="M554" authorId="0">
      <text>
        <r>
          <rPr>
            <sz val="9"/>
            <rFont val="宋体"/>
            <charset val="134"/>
          </rPr>
          <t xml:space="preserve">预付415.5转到付SD57.38.
</t>
        </r>
      </text>
    </comment>
    <comment ref="M555" authorId="0">
      <text>
        <r>
          <rPr>
            <sz val="9"/>
            <rFont val="宋体"/>
            <charset val="134"/>
          </rPr>
          <t xml:space="preserve">预付4372.5转到付USD603.93.
</t>
        </r>
      </text>
    </comment>
    <comment ref="M560" authorId="0">
      <text>
        <r>
          <rPr>
            <sz val="9"/>
            <rFont val="宋体"/>
            <charset val="134"/>
          </rPr>
          <t xml:space="preserve">预付2418转到付USD333.97.
</t>
        </r>
      </text>
    </comment>
    <comment ref="M564" authorId="0">
      <text>
        <r>
          <rPr>
            <sz val="9"/>
            <rFont val="宋体"/>
            <charset val="134"/>
          </rPr>
          <t xml:space="preserve">预付287.5转到付SD39.7.
</t>
        </r>
      </text>
    </comment>
    <comment ref="M592" authorId="0">
      <text>
        <r>
          <rPr>
            <sz val="9"/>
            <rFont val="宋体"/>
            <charset val="134"/>
          </rPr>
          <t xml:space="preserve">预付148.8转到付SD20.55.
</t>
        </r>
      </text>
    </comment>
    <comment ref="M594" authorId="0">
      <text>
        <r>
          <rPr>
            <sz val="9"/>
            <rFont val="宋体"/>
            <charset val="134"/>
          </rPr>
          <t xml:space="preserve">预付69.3转到付USD9.57.
</t>
        </r>
      </text>
    </comment>
    <comment ref="M596" authorId="0">
      <text>
        <r>
          <rPr>
            <sz val="9"/>
            <rFont val="宋体"/>
            <charset val="134"/>
          </rPr>
          <t xml:space="preserve">预付128转到付USD1.67
</t>
        </r>
      </text>
    </comment>
    <comment ref="M598" authorId="0">
      <text>
        <r>
          <rPr>
            <sz val="9"/>
            <rFont val="宋体"/>
            <charset val="134"/>
          </rPr>
          <t xml:space="preserve">预付366.3转到付USD50.6
</t>
        </r>
      </text>
    </comment>
    <comment ref="M599" authorId="0">
      <text>
        <r>
          <rPr>
            <sz val="9"/>
            <rFont val="宋体"/>
            <charset val="134"/>
          </rPr>
          <t xml:space="preserve">预付1526.95转到付USD210.9.
</t>
        </r>
      </text>
    </comment>
    <comment ref="M606" authorId="0">
      <text>
        <r>
          <rPr>
            <sz val="9"/>
            <rFont val="宋体"/>
            <charset val="134"/>
          </rPr>
          <t xml:space="preserve">预付93转到付USD12.84.
</t>
        </r>
      </text>
    </comment>
    <comment ref="M607" authorId="0">
      <text>
        <r>
          <rPr>
            <sz val="9"/>
            <rFont val="宋体"/>
            <charset val="134"/>
          </rPr>
          <t xml:space="preserve">预付918转到付USD126.79.
</t>
        </r>
      </text>
    </comment>
    <comment ref="M612" authorId="0">
      <text>
        <r>
          <rPr>
            <sz val="9"/>
            <rFont val="宋体"/>
            <charset val="134"/>
          </rPr>
          <t xml:space="preserve">预付487.5转到付USD67.33.
</t>
        </r>
      </text>
    </comment>
    <comment ref="M613" authorId="0">
      <text>
        <r>
          <rPr>
            <sz val="9"/>
            <rFont val="宋体"/>
            <charset val="134"/>
          </rPr>
          <t xml:space="preserve">预付325转到付USD44.88.
</t>
        </r>
      </text>
    </comment>
    <comment ref="M616" authorId="0">
      <text>
        <r>
          <rPr>
            <sz val="9"/>
            <rFont val="宋体"/>
            <charset val="134"/>
          </rPr>
          <t>预付1854转到付USD256.07</t>
        </r>
      </text>
    </comment>
    <comment ref="M620" authorId="0">
      <text>
        <r>
          <rPr>
            <sz val="9"/>
            <rFont val="宋体"/>
            <charset val="134"/>
          </rPr>
          <t xml:space="preserve">预付168.3转到付23.24.
</t>
        </r>
      </text>
    </comment>
    <comment ref="M627" authorId="0">
      <text>
        <r>
          <rPr>
            <sz val="9"/>
            <rFont val="宋体"/>
            <charset val="134"/>
          </rPr>
          <t xml:space="preserve">预付162.5转到付USD22.44.
</t>
        </r>
      </text>
    </comment>
    <comment ref="M631" authorId="0">
      <text>
        <r>
          <rPr>
            <sz val="9"/>
            <rFont val="宋体"/>
            <charset val="134"/>
          </rPr>
          <t xml:space="preserve">预付2600转到付USD359.11
</t>
        </r>
      </text>
    </comment>
    <comment ref="M645" authorId="0">
      <text>
        <r>
          <rPr>
            <sz val="9"/>
            <rFont val="宋体"/>
            <charset val="134"/>
          </rPr>
          <t>预估214.2转到付USD29.58.</t>
        </r>
      </text>
    </comment>
    <comment ref="M647" authorId="0">
      <text>
        <r>
          <rPr>
            <sz val="9"/>
            <rFont val="宋体"/>
            <charset val="134"/>
          </rPr>
          <t xml:space="preserve">预付414.15转到付USD57.2
</t>
        </r>
      </text>
    </comment>
    <comment ref="I651" authorId="0">
      <text>
        <r>
          <rPr>
            <sz val="9"/>
            <rFont val="宋体"/>
            <charset val="134"/>
          </rPr>
          <t xml:space="preserve">到付USD41.64转预付301.2
</t>
        </r>
      </text>
    </comment>
    <comment ref="M652" authorId="0">
      <text>
        <r>
          <rPr>
            <sz val="9"/>
            <rFont val="宋体"/>
            <charset val="134"/>
          </rPr>
          <t xml:space="preserve">预付88.2转到付USD12.18.
</t>
        </r>
      </text>
    </comment>
    <comment ref="M655" authorId="0">
      <text>
        <r>
          <rPr>
            <sz val="9"/>
            <rFont val="宋体"/>
            <charset val="134"/>
          </rPr>
          <t xml:space="preserve">预付184.8转到付USD25.52.
</t>
        </r>
      </text>
    </comment>
    <comment ref="M658" authorId="0">
      <text>
        <r>
          <rPr>
            <sz val="9"/>
            <rFont val="宋体"/>
            <charset val="134"/>
          </rPr>
          <t xml:space="preserve">预付799转到USD110.35.
</t>
        </r>
      </text>
    </comment>
    <comment ref="M665" authorId="0">
      <text>
        <r>
          <rPr>
            <sz val="9"/>
            <rFont val="宋体"/>
            <charset val="134"/>
          </rPr>
          <t xml:space="preserve">预付167.5转到付USD23.13.
</t>
        </r>
      </text>
    </comment>
    <comment ref="M666" authorId="0">
      <text>
        <r>
          <rPr>
            <sz val="9"/>
            <rFont val="宋体"/>
            <charset val="134"/>
          </rPr>
          <t xml:space="preserve">预付102转到付USD14.08
</t>
        </r>
      </text>
    </comment>
    <comment ref="M667" authorId="0">
      <text>
        <r>
          <rPr>
            <sz val="9"/>
            <rFont val="宋体"/>
            <charset val="134"/>
          </rPr>
          <t xml:space="preserve">预付1017.5转到付USD140.53.
</t>
        </r>
      </text>
    </comment>
    <comment ref="M673" authorId="0">
      <text>
        <r>
          <rPr>
            <sz val="9"/>
            <rFont val="宋体"/>
            <charset val="134"/>
          </rPr>
          <t xml:space="preserve">预付1815转到付USD250.69.
</t>
        </r>
      </text>
    </comment>
    <comment ref="M677" authorId="0">
      <text>
        <r>
          <rPr>
            <sz val="9"/>
            <rFont val="宋体"/>
            <charset val="134"/>
          </rPr>
          <t xml:space="preserve">预付3718转到付USD513.53.
</t>
        </r>
      </text>
    </comment>
    <comment ref="M678" authorId="0">
      <text>
        <r>
          <rPr>
            <sz val="9"/>
            <rFont val="宋体"/>
            <charset val="134"/>
          </rPr>
          <t>预付183转到付USDF25.27.</t>
        </r>
      </text>
    </comment>
    <comment ref="I684" authorId="0">
      <text>
        <r>
          <rPr>
            <sz val="9"/>
            <rFont val="宋体"/>
            <charset val="134"/>
          </rPr>
          <t xml:space="preserve">到付USD8.8转预付64.
</t>
        </r>
      </text>
    </comment>
    <comment ref="M688" authorId="0">
      <text>
        <r>
          <rPr>
            <sz val="9"/>
            <rFont val="宋体"/>
            <charset val="134"/>
          </rPr>
          <t xml:space="preserve">预付7122.5转到付USD983.77.
</t>
        </r>
      </text>
    </comment>
    <comment ref="M691" authorId="0">
      <text>
        <r>
          <rPr>
            <sz val="9"/>
            <rFont val="宋体"/>
            <charset val="134"/>
          </rPr>
          <t>预付183转到付USDF25.27.</t>
        </r>
      </text>
    </comment>
    <comment ref="M697" authorId="0">
      <text>
        <r>
          <rPr>
            <sz val="9"/>
            <rFont val="宋体"/>
            <charset val="134"/>
          </rPr>
          <t xml:space="preserve">预付4830转到付USD667.12.
</t>
        </r>
      </text>
    </comment>
    <comment ref="M698" authorId="0">
      <text>
        <r>
          <rPr>
            <sz val="9"/>
            <rFont val="宋体"/>
            <charset val="134"/>
          </rPr>
          <t xml:space="preserve">预付2880转到付SD397.79
</t>
        </r>
      </text>
    </comment>
    <comment ref="M702" authorId="0">
      <text>
        <r>
          <rPr>
            <sz val="9"/>
            <rFont val="宋体"/>
            <charset val="134"/>
          </rPr>
          <t>预付69转到付USD9.53.</t>
        </r>
      </text>
    </comment>
    <comment ref="M716" authorId="0">
      <text>
        <r>
          <rPr>
            <sz val="9"/>
            <rFont val="宋体"/>
            <charset val="134"/>
          </rPr>
          <t>预付433.5转到付USD59.87.</t>
        </r>
      </text>
    </comment>
    <comment ref="M721" authorId="0">
      <text>
        <r>
          <rPr>
            <sz val="9"/>
            <rFont val="宋体"/>
            <charset val="134"/>
          </rPr>
          <t xml:space="preserve">预付660转到付UD91.16.
</t>
        </r>
      </text>
    </comment>
    <comment ref="M725" authorId="0">
      <text>
        <r>
          <rPr>
            <sz val="9"/>
            <rFont val="宋体"/>
            <charset val="134"/>
          </rPr>
          <t xml:space="preserve">预付1375转到付USD189.91.
</t>
        </r>
      </text>
    </comment>
    <comment ref="M730" authorId="0">
      <text>
        <r>
          <rPr>
            <sz val="9"/>
            <rFont val="宋体"/>
            <charset val="134"/>
          </rPr>
          <t>预付137.5转到付USD18.99.</t>
        </r>
      </text>
    </comment>
    <comment ref="M731" authorId="0">
      <text>
        <r>
          <rPr>
            <sz val="9"/>
            <rFont val="宋体"/>
            <charset val="134"/>
          </rPr>
          <t xml:space="preserve">预付10罚到付USD15.19.
</t>
        </r>
      </text>
    </comment>
    <comment ref="M736" authorId="0">
      <text>
        <r>
          <rPr>
            <sz val="9"/>
            <rFont val="宋体"/>
            <charset val="134"/>
          </rPr>
          <t xml:space="preserve">预付853.05转到付USD117.82.
</t>
        </r>
      </text>
    </comment>
    <comment ref="M739" authorId="0">
      <text>
        <r>
          <rPr>
            <sz val="9"/>
            <rFont val="宋体"/>
            <charset val="134"/>
          </rPr>
          <t xml:space="preserve">预付600转到付USD82.87.
</t>
        </r>
      </text>
    </comment>
    <comment ref="M743" authorId="0">
      <text>
        <r>
          <rPr>
            <sz val="9"/>
            <rFont val="宋体"/>
            <charset val="134"/>
          </rPr>
          <t>预付360转到付USD49.72.</t>
        </r>
      </text>
    </comment>
    <comment ref="M750" authorId="0">
      <text>
        <r>
          <rPr>
            <sz val="9"/>
            <rFont val="宋体"/>
            <charset val="134"/>
          </rPr>
          <t xml:space="preserve">预付790.35转到付USD109.16.
</t>
        </r>
      </text>
    </comment>
    <comment ref="M751" authorId="0">
      <text>
        <r>
          <rPr>
            <sz val="9"/>
            <rFont val="宋体"/>
            <charset val="134"/>
          </rPr>
          <t xml:space="preserve">预付243转到付USD33.56.
</t>
        </r>
      </text>
    </comment>
    <comment ref="M752" authorId="0">
      <text>
        <r>
          <rPr>
            <sz val="9"/>
            <rFont val="宋体"/>
            <charset val="134"/>
          </rPr>
          <t>预付148.5转到付SD20.51.</t>
        </r>
      </text>
    </comment>
    <comment ref="M760" authorId="0">
      <text>
        <r>
          <rPr>
            <sz val="9"/>
            <rFont val="宋体"/>
            <charset val="134"/>
          </rPr>
          <t xml:space="preserve">预付487.5转到付SD67.35.
</t>
        </r>
      </text>
    </comment>
    <comment ref="M761" authorId="0">
      <text>
        <r>
          <rPr>
            <sz val="9"/>
            <rFont val="宋体"/>
            <charset val="134"/>
          </rPr>
          <t xml:space="preserve">预付1320转到付USD182.32.
</t>
        </r>
      </text>
    </comment>
    <comment ref="I765" authorId="0">
      <text>
        <r>
          <rPr>
            <sz val="9"/>
            <rFont val="宋体"/>
            <charset val="134"/>
          </rPr>
          <t xml:space="preserve">到付USD30.8转预付201.
</t>
        </r>
      </text>
    </comment>
    <comment ref="M766" authorId="0">
      <text>
        <r>
          <rPr>
            <sz val="9"/>
            <rFont val="宋体"/>
            <charset val="134"/>
          </rPr>
          <t xml:space="preserve">预付112.2转到付USD15.49.
</t>
        </r>
      </text>
    </comment>
    <comment ref="V775" authorId="0">
      <text>
        <r>
          <rPr>
            <sz val="9"/>
            <rFont val="宋体"/>
            <charset val="134"/>
          </rPr>
          <t xml:space="preserve">25/6代付生蚝款
</t>
        </r>
      </text>
    </comment>
    <comment ref="M776" authorId="0">
      <text>
        <r>
          <rPr>
            <sz val="9"/>
            <rFont val="宋体"/>
            <charset val="134"/>
          </rPr>
          <t xml:space="preserve">预付402.5转到付USD55.59.
</t>
        </r>
      </text>
    </comment>
    <comment ref="M780" authorId="0">
      <text>
        <r>
          <rPr>
            <sz val="9"/>
            <rFont val="宋体"/>
            <charset val="134"/>
          </rPr>
          <t xml:space="preserve">预付1377.5转到付USD189.73.
</t>
        </r>
      </text>
    </comment>
  </commentList>
</comments>
</file>

<file path=xl/sharedStrings.xml><?xml version="1.0" encoding="utf-8"?>
<sst xmlns="http://schemas.openxmlformats.org/spreadsheetml/2006/main" count="2504" uniqueCount="532">
  <si>
    <t>2024年06月份LOS毛利表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</si>
  <si>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</si>
  <si>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</si>
  <si>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</si>
  <si>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</si>
  <si>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</si>
  <si>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</si>
  <si>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</si>
  <si>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</si>
  <si>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</si>
  <si>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</si>
  <si>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</si>
  <si>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</si>
  <si>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</si>
  <si>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</si>
  <si>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</si>
  <si>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</si>
  <si>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</si>
  <si>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</si>
  <si>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</si>
  <si>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</si>
  <si>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</si>
  <si>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</si>
  <si>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</si>
  <si>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</si>
  <si>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</t>
  </si>
  <si>
    <t>提货费</t>
  </si>
  <si>
    <t>送货费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</si>
  <si>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</si>
  <si>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</si>
  <si>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</si>
  <si>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</si>
  <si>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</si>
  <si>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</si>
  <si>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</si>
  <si>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JOB060330</t>
  </si>
  <si>
    <t>COLL003976</t>
  </si>
  <si>
    <t>Sam.Pao</t>
  </si>
  <si>
    <t>Julie LEE</t>
  </si>
  <si>
    <t>Julie lee</t>
  </si>
  <si>
    <t>富姐</t>
  </si>
  <si>
    <t>朱小飞</t>
  </si>
  <si>
    <t>Isabel Zhu</t>
  </si>
  <si>
    <t>Li Chuan Qiang</t>
  </si>
  <si>
    <t>Bella</t>
  </si>
  <si>
    <t>Bella Chan</t>
  </si>
  <si>
    <t>YEMI</t>
  </si>
  <si>
    <t>Emmanuel Folu</t>
  </si>
  <si>
    <t>吕沛霖</t>
  </si>
  <si>
    <t>喵喵速运-Layne</t>
  </si>
  <si>
    <t>WEI PING</t>
  </si>
  <si>
    <t>黄颖</t>
  </si>
  <si>
    <t>ying</t>
  </si>
  <si>
    <t>yuwang</t>
  </si>
  <si>
    <t>leoyang</t>
  </si>
  <si>
    <t>Mr Q</t>
  </si>
  <si>
    <t>JOB060332</t>
  </si>
  <si>
    <t>COLL003978</t>
  </si>
  <si>
    <t>Sunday Adelena</t>
  </si>
  <si>
    <t>顶派</t>
  </si>
  <si>
    <t>Lin Qing Yuan</t>
  </si>
  <si>
    <t>ZHENWEI YUE</t>
  </si>
  <si>
    <t>los徐周鹏</t>
  </si>
  <si>
    <t>MA ZONG</t>
  </si>
  <si>
    <t>Zhou Jia Liang</t>
  </si>
  <si>
    <t>Mr.Cheng</t>
  </si>
  <si>
    <t>无人</t>
  </si>
  <si>
    <t>Anny</t>
  </si>
  <si>
    <t>东东</t>
  </si>
  <si>
    <t>Yang</t>
  </si>
  <si>
    <t>Amy</t>
  </si>
  <si>
    <t>Li Ce</t>
  </si>
  <si>
    <t>WuTao</t>
  </si>
  <si>
    <t>REMI</t>
  </si>
  <si>
    <t>Halifa Success</t>
  </si>
  <si>
    <t>JOB060333</t>
  </si>
  <si>
    <t>COLL003982</t>
  </si>
  <si>
    <t>Musa Mohammed</t>
  </si>
  <si>
    <t>LUO XIANG DONG</t>
  </si>
  <si>
    <t>Paul</t>
  </si>
  <si>
    <t>William Xu</t>
  </si>
  <si>
    <t>weixiangmin</t>
  </si>
  <si>
    <t>zheng xian sheng</t>
  </si>
  <si>
    <t>鸿</t>
  </si>
  <si>
    <t>Mr.Leo</t>
  </si>
  <si>
    <t>罗伟健</t>
  </si>
  <si>
    <t>MailMail速运-演员</t>
  </si>
  <si>
    <t>Chuanwei</t>
  </si>
  <si>
    <t>JOB060334</t>
  </si>
  <si>
    <t>COLL003983</t>
  </si>
  <si>
    <t>luka</t>
  </si>
  <si>
    <t>Lee Wen Wei</t>
  </si>
  <si>
    <t>LIXINGMAO</t>
  </si>
  <si>
    <t>YingYi</t>
  </si>
  <si>
    <t>JOB060335</t>
  </si>
  <si>
    <t>COLL003984</t>
  </si>
  <si>
    <t>liuqiaoying</t>
  </si>
  <si>
    <t>zhou jia jun</t>
  </si>
  <si>
    <t>authority</t>
  </si>
  <si>
    <t>IVAN</t>
  </si>
  <si>
    <t>Mailmail Abv sales person 1</t>
  </si>
  <si>
    <t>Fafunso</t>
  </si>
  <si>
    <t>COLL003985</t>
  </si>
  <si>
    <t>JOB060336</t>
  </si>
  <si>
    <t>COLL003981</t>
  </si>
  <si>
    <t>Fidelis ashinegwani</t>
  </si>
  <si>
    <t xml:space="preserve">顶派
</t>
  </si>
  <si>
    <t>jiyingfeng</t>
  </si>
  <si>
    <t>Nicole li</t>
  </si>
  <si>
    <t>JOSIAS/ZHANGZHAO</t>
  </si>
  <si>
    <t>Shijianguo</t>
  </si>
  <si>
    <t>zhounengquan</t>
  </si>
  <si>
    <t>SEGUN</t>
  </si>
  <si>
    <t>Cindy</t>
  </si>
  <si>
    <t>Eric Ren</t>
  </si>
  <si>
    <t>felix</t>
  </si>
  <si>
    <t>weng zixian</t>
  </si>
  <si>
    <t>Wallace</t>
  </si>
  <si>
    <t>James</t>
  </si>
  <si>
    <t>Mr .Abubaka</t>
  </si>
  <si>
    <t>OTW 埃德维</t>
  </si>
  <si>
    <t>LOS Liu ZhongHua</t>
  </si>
  <si>
    <t>广州万峰非洲仓国际物流万先生</t>
  </si>
  <si>
    <t>John Atageum Tata</t>
  </si>
  <si>
    <t>Mr.Bernie</t>
  </si>
  <si>
    <t>Ope Olofinjana</t>
  </si>
  <si>
    <t>Spring 盛世飞扬</t>
  </si>
  <si>
    <t>zhang yong chong</t>
  </si>
  <si>
    <t>ChenBin</t>
  </si>
  <si>
    <t>Al Ameen Aminu</t>
  </si>
  <si>
    <t>huang peng</t>
  </si>
  <si>
    <t>David</t>
  </si>
  <si>
    <t>Samuel</t>
  </si>
  <si>
    <t>Maureen Kingsley</t>
  </si>
  <si>
    <t>Qingqing Zhang</t>
  </si>
  <si>
    <t>Li Chang Rong</t>
  </si>
  <si>
    <t>曾永平</t>
  </si>
  <si>
    <t>Danny</t>
  </si>
  <si>
    <t>zhu shen de 朱神德</t>
  </si>
  <si>
    <t>zhuyalin</t>
  </si>
  <si>
    <t>Keangz Basil</t>
  </si>
  <si>
    <t>Ms Li</t>
  </si>
  <si>
    <t>Funtua Mr Lee</t>
  </si>
  <si>
    <t>Yang Yu</t>
  </si>
  <si>
    <t>Huangpu</t>
  </si>
  <si>
    <t>Wang Jiu Lin</t>
  </si>
  <si>
    <t>Mr</t>
  </si>
  <si>
    <t>CHEN + SHUI</t>
  </si>
  <si>
    <t>Tomonsachi</t>
  </si>
  <si>
    <t>LI LING BO</t>
  </si>
  <si>
    <t>Hu Wen Cheng</t>
  </si>
  <si>
    <t>Sacha</t>
  </si>
  <si>
    <t>new hope 边鹏飞</t>
  </si>
  <si>
    <t>SF Jerry 顾</t>
  </si>
  <si>
    <t>Kalio Edith</t>
  </si>
  <si>
    <t>Ruby</t>
  </si>
  <si>
    <t>Atten Engr Kola Balogun</t>
  </si>
  <si>
    <t>Mr.zhang</t>
  </si>
  <si>
    <t>DUDUHE鹤</t>
  </si>
  <si>
    <t>SHAN NAN</t>
  </si>
  <si>
    <t>Hillter</t>
  </si>
  <si>
    <t>Gao Tian</t>
  </si>
  <si>
    <t>Tony</t>
  </si>
  <si>
    <t>Pritish dey</t>
  </si>
  <si>
    <t>Hu Hai Liang</t>
  </si>
  <si>
    <t>啃樱桃的小丸子</t>
  </si>
  <si>
    <t>nick.wang</t>
  </si>
  <si>
    <t>Eric qu</t>
  </si>
  <si>
    <t>Los王红升</t>
  </si>
  <si>
    <t>MaiKaiNian</t>
  </si>
  <si>
    <t>JOB060337</t>
  </si>
  <si>
    <t>COLL003987</t>
  </si>
  <si>
    <t>Robin Tai</t>
  </si>
  <si>
    <t>KeKe</t>
  </si>
  <si>
    <t>Zhang Wen Hao</t>
  </si>
  <si>
    <t>Rose 徐艳秋</t>
  </si>
  <si>
    <t>JOB060339</t>
  </si>
  <si>
    <t>COLL003979</t>
  </si>
  <si>
    <t>ZJL</t>
  </si>
  <si>
    <t>平静的心</t>
  </si>
  <si>
    <t>wu jia</t>
  </si>
  <si>
    <t>SYJ</t>
  </si>
  <si>
    <t>Fan Ming Chao</t>
  </si>
  <si>
    <t>Jerry Zhang</t>
  </si>
  <si>
    <t>Guo Hui 郭总</t>
  </si>
  <si>
    <t>Zhao Xin</t>
  </si>
  <si>
    <t>umbugadu haruna</t>
  </si>
  <si>
    <t>suraj musa</t>
  </si>
  <si>
    <t>musa birma</t>
  </si>
  <si>
    <t>okepeyemi</t>
  </si>
  <si>
    <t>Mr Jiang</t>
  </si>
  <si>
    <t>WENCY</t>
  </si>
  <si>
    <t>Leon Ford</t>
  </si>
  <si>
    <t>Xieziqing谢紫清</t>
  </si>
  <si>
    <t>los许迨钊</t>
  </si>
  <si>
    <t>Lin Bao Zhen</t>
  </si>
  <si>
    <t>Scott</t>
  </si>
  <si>
    <t>Jessica</t>
  </si>
  <si>
    <t>Gene</t>
  </si>
  <si>
    <t>Tian Ming Liang</t>
  </si>
  <si>
    <t>OLUWABUNMI SAHEED ADENIYI</t>
  </si>
  <si>
    <t>Gbenga</t>
  </si>
  <si>
    <t>Nkechi</t>
  </si>
  <si>
    <t>lituo</t>
  </si>
  <si>
    <t>clarkzeng2</t>
  </si>
  <si>
    <t>zengyugui</t>
  </si>
  <si>
    <t>Carson</t>
  </si>
  <si>
    <t>SKY JET</t>
  </si>
  <si>
    <t>MR li</t>
  </si>
  <si>
    <t>Liu feng pu</t>
  </si>
  <si>
    <t>Victor</t>
  </si>
  <si>
    <t>Ye Zheng Rong</t>
  </si>
  <si>
    <t>Zhang Jin Long</t>
  </si>
  <si>
    <t>Tensam-谢</t>
  </si>
  <si>
    <t>Toyin Adekunle</t>
  </si>
  <si>
    <t>jahnson</t>
  </si>
  <si>
    <t>Adams</t>
  </si>
  <si>
    <t>CH</t>
  </si>
  <si>
    <t>Leo Liang</t>
  </si>
  <si>
    <t>zhou ji kao rou</t>
  </si>
  <si>
    <t>seanpeal</t>
  </si>
  <si>
    <t>Emmanuel Agwegiokhe</t>
  </si>
  <si>
    <t>Unique Desh logistics</t>
  </si>
  <si>
    <t>Mailmail/Taiwo</t>
  </si>
  <si>
    <t>JOB060340</t>
  </si>
  <si>
    <t>COLL003992</t>
  </si>
  <si>
    <t>JOB060341</t>
  </si>
  <si>
    <t>COLL003993</t>
  </si>
  <si>
    <t>ShanShan</t>
  </si>
  <si>
    <t>阿米拉海运</t>
  </si>
  <si>
    <t>JOB060342</t>
  </si>
  <si>
    <t>COLL003995</t>
  </si>
  <si>
    <t>JOB060343</t>
  </si>
  <si>
    <t>COLL003996</t>
  </si>
  <si>
    <t>JOB060344</t>
  </si>
  <si>
    <t>COLL003986</t>
  </si>
  <si>
    <t>Xiao Zhuang</t>
  </si>
  <si>
    <t>顶派=97004
广州通达=5256.8</t>
  </si>
  <si>
    <t>PuNing</t>
  </si>
  <si>
    <t>Kevin.Wang</t>
  </si>
  <si>
    <t>Miss 💋 Chen陈晓如</t>
  </si>
  <si>
    <t>zhangjincheng</t>
  </si>
  <si>
    <t>Wang Jian</t>
  </si>
  <si>
    <t>james</t>
  </si>
  <si>
    <t>OTW 埃德维 ABV</t>
  </si>
  <si>
    <t>DAVID ZHAO</t>
  </si>
  <si>
    <t>Wang Hong Tao</t>
  </si>
  <si>
    <t>Wu Jiao Xing</t>
  </si>
  <si>
    <t>liangdawei</t>
  </si>
  <si>
    <t>Feng</t>
  </si>
  <si>
    <t>朱燕群</t>
  </si>
  <si>
    <t>JASON</t>
  </si>
  <si>
    <t>Joanne Zhao</t>
  </si>
  <si>
    <t>Victor Tang</t>
  </si>
  <si>
    <t>Mr Liu</t>
  </si>
  <si>
    <t>Shi</t>
  </si>
  <si>
    <t>dejare James</t>
  </si>
  <si>
    <t>king</t>
  </si>
  <si>
    <t>Crescent Amuodofin</t>
  </si>
  <si>
    <t>Joy</t>
  </si>
  <si>
    <t>Zi Xuan Wang</t>
  </si>
  <si>
    <t>Mr Gbolahan</t>
  </si>
  <si>
    <t>Richard</t>
  </si>
  <si>
    <t>huaqiang</t>
  </si>
  <si>
    <t>陆总</t>
  </si>
  <si>
    <t>LuZhiLong</t>
  </si>
  <si>
    <t>Zhang Xin Jian</t>
  </si>
  <si>
    <t>LEO WEI</t>
  </si>
  <si>
    <t>JOB060346</t>
  </si>
  <si>
    <t>COLL003990</t>
  </si>
  <si>
    <t>顶派=109622
广州通达=4690.4</t>
  </si>
  <si>
    <t>Jerry Zhao</t>
  </si>
  <si>
    <t>Wang Guo Dong</t>
  </si>
  <si>
    <t>TSF</t>
  </si>
  <si>
    <t>li tao</t>
  </si>
  <si>
    <t>zhang wei</t>
  </si>
  <si>
    <t>sun long fei</t>
  </si>
  <si>
    <t>Hellen</t>
  </si>
  <si>
    <t>Mr Folabidayo</t>
  </si>
  <si>
    <t>Lin Kai</t>
  </si>
  <si>
    <t>Jhon</t>
  </si>
  <si>
    <t>Ah Jie</t>
  </si>
  <si>
    <t>SHAEK</t>
  </si>
  <si>
    <t>Liu Ming Rui</t>
  </si>
  <si>
    <t>Musa Ojutalayo</t>
  </si>
  <si>
    <t>Alice08105750388</t>
  </si>
  <si>
    <t>zhang long ting</t>
  </si>
  <si>
    <t>Huang peng</t>
  </si>
  <si>
    <t>jason</t>
  </si>
  <si>
    <t>Henry Adelaye</t>
  </si>
  <si>
    <t>Ekene OGUJI</t>
  </si>
  <si>
    <t>zhangjianwei</t>
  </si>
  <si>
    <t>JAMES Felicity</t>
  </si>
  <si>
    <t>Aanu</t>
  </si>
  <si>
    <t>Adam Labaran</t>
  </si>
  <si>
    <t>JOB060358</t>
  </si>
  <si>
    <t>COLL003994</t>
  </si>
  <si>
    <t>Adam e</t>
  </si>
  <si>
    <t>Long Er</t>
  </si>
  <si>
    <t>WANG JIE LING</t>
  </si>
  <si>
    <t>ZOU Qiyang</t>
  </si>
  <si>
    <t>xin jian tang</t>
  </si>
  <si>
    <t>Yangbin</t>
  </si>
  <si>
    <t>COLL003989</t>
  </si>
  <si>
    <t>Jinggang Pan</t>
  </si>
  <si>
    <t>Charles</t>
  </si>
  <si>
    <t>shangyafei</t>
  </si>
  <si>
    <t>chi de jian</t>
  </si>
  <si>
    <t>Rachel</t>
  </si>
  <si>
    <t>JOB060360</t>
  </si>
  <si>
    <t>COLL004010</t>
  </si>
  <si>
    <t>JunYue hotel</t>
  </si>
  <si>
    <t>JOB060361</t>
  </si>
  <si>
    <t>COLL004011</t>
  </si>
  <si>
    <t>Mukaila Olalekan Kamaldeen</t>
  </si>
  <si>
    <t>JiaFeng</t>
  </si>
  <si>
    <t>jiafeng</t>
  </si>
  <si>
    <t>liao廖</t>
  </si>
  <si>
    <t>sun li</t>
  </si>
  <si>
    <t>Olatunde Mustapha</t>
  </si>
  <si>
    <t>JOB060362</t>
  </si>
  <si>
    <t>COLL003988</t>
  </si>
  <si>
    <t>CJ</t>
  </si>
  <si>
    <t>Yang Hua Qiao</t>
  </si>
  <si>
    <t>Meiqi</t>
  </si>
  <si>
    <t>xieziqing谢紫清</t>
  </si>
  <si>
    <t>Dou Dou</t>
  </si>
  <si>
    <t>yufanbo</t>
  </si>
  <si>
    <t>Weiwei</t>
  </si>
  <si>
    <t>LEE</t>
  </si>
  <si>
    <t>TOYIN S. ADEKUNLE</t>
  </si>
  <si>
    <t>Jumoke</t>
  </si>
  <si>
    <t>chen qin jian</t>
  </si>
  <si>
    <t>Adeyinka Rasheed</t>
  </si>
  <si>
    <t>fast hours DM NIGHT LED</t>
  </si>
  <si>
    <t>WEI</t>
  </si>
  <si>
    <t>Zhang Peng Yu</t>
  </si>
  <si>
    <t>Maggie</t>
  </si>
  <si>
    <t>Shuaibu musa</t>
  </si>
  <si>
    <t>Liao Lu</t>
  </si>
  <si>
    <t>Agwegiokhe emmanuel</t>
  </si>
  <si>
    <t>Wang Si Guo</t>
  </si>
  <si>
    <t>bsalu-hundeyin</t>
  </si>
  <si>
    <t>Ebun</t>
  </si>
  <si>
    <t>Eason Cai</t>
  </si>
  <si>
    <t>Zhou Ji BBQ</t>
  </si>
  <si>
    <t>Mr ou</t>
  </si>
  <si>
    <t>linyang林洋</t>
  </si>
  <si>
    <t>Ramota Otolorin</t>
  </si>
  <si>
    <t>JOB060363</t>
  </si>
  <si>
    <t>COLL004014</t>
  </si>
  <si>
    <t>Johnson</t>
  </si>
  <si>
    <t>lin wei hui</t>
  </si>
  <si>
    <t>yuanbao元宝</t>
  </si>
  <si>
    <t>Mr Guo Xing</t>
  </si>
  <si>
    <t>JOB060364</t>
  </si>
  <si>
    <t>COLL004015</t>
  </si>
  <si>
    <t>JOB060365</t>
  </si>
  <si>
    <t>COLL004016</t>
  </si>
  <si>
    <t>XiongQiJun</t>
  </si>
  <si>
    <t>WangXianTao</t>
  </si>
  <si>
    <t>JOB060366</t>
  </si>
  <si>
    <t>COLL004017</t>
  </si>
  <si>
    <t>MeiMei</t>
  </si>
  <si>
    <t>Isa</t>
  </si>
  <si>
    <t>Ka Ka 4分部</t>
  </si>
  <si>
    <t>JOB060367</t>
  </si>
  <si>
    <t>COLL004019</t>
  </si>
  <si>
    <t>Mr. Emmanuel Ayatse</t>
  </si>
  <si>
    <t>Miller xu</t>
  </si>
  <si>
    <t>JOB060368</t>
  </si>
  <si>
    <t>COLL004021</t>
  </si>
  <si>
    <t>JOB060369</t>
  </si>
  <si>
    <t>COLL004018</t>
  </si>
  <si>
    <t>Shuai ge</t>
  </si>
  <si>
    <t>Kevin</t>
  </si>
  <si>
    <t>JOB060370</t>
  </si>
  <si>
    <t>COLL004022</t>
  </si>
  <si>
    <t>SAMPAO</t>
  </si>
  <si>
    <t>只清关</t>
  </si>
  <si>
    <t>JOB060371</t>
  </si>
  <si>
    <t>COLL004012</t>
  </si>
  <si>
    <t>Wang</t>
  </si>
  <si>
    <t>Chidi</t>
  </si>
  <si>
    <t>baozi</t>
  </si>
  <si>
    <t>Oxford Niu</t>
  </si>
  <si>
    <t>Cheaf</t>
  </si>
  <si>
    <t>Jiang Li</t>
  </si>
  <si>
    <t>Alasan</t>
  </si>
  <si>
    <t>LIU FENG</t>
  </si>
  <si>
    <t>ABV 胡立新</t>
  </si>
  <si>
    <t>Jane</t>
  </si>
  <si>
    <t>Alina</t>
  </si>
  <si>
    <t>Alex</t>
  </si>
  <si>
    <t>huang</t>
  </si>
  <si>
    <t>DengYaDi</t>
  </si>
  <si>
    <t>Cherry</t>
  </si>
  <si>
    <t>wangguohui</t>
  </si>
  <si>
    <t>Sagamu</t>
  </si>
  <si>
    <t>duke</t>
  </si>
  <si>
    <t>yezhi</t>
  </si>
  <si>
    <t>Chief Femi Odufowokan</t>
  </si>
  <si>
    <t>zhao先生</t>
  </si>
  <si>
    <t>Ke Ren</t>
  </si>
  <si>
    <t>Joying-lzy</t>
  </si>
  <si>
    <t>fang ming</t>
  </si>
  <si>
    <t>zhang jian fei</t>
  </si>
  <si>
    <t>Wang Nv Shi</t>
  </si>
  <si>
    <t>Yusky</t>
  </si>
  <si>
    <t>Kinsley</t>
  </si>
  <si>
    <t>Saumel</t>
  </si>
  <si>
    <t>DORA</t>
  </si>
  <si>
    <t>Daniel</t>
  </si>
  <si>
    <t>JOB060372</t>
  </si>
  <si>
    <t>COLL004023</t>
  </si>
  <si>
    <t>顶派=27974
驿马=684</t>
  </si>
  <si>
    <t>JOB060374</t>
  </si>
  <si>
    <t>COLL004020</t>
  </si>
  <si>
    <t>Steven Abuja</t>
  </si>
  <si>
    <t>Vicky Kuo</t>
  </si>
  <si>
    <t>MU SHI SHI</t>
  </si>
  <si>
    <t>QI ER DONG</t>
  </si>
  <si>
    <t>obinna</t>
  </si>
  <si>
    <t>ouyang</t>
  </si>
  <si>
    <t>Mr Chen</t>
  </si>
  <si>
    <t>Kola Balogun</t>
  </si>
  <si>
    <t>ali</t>
  </si>
  <si>
    <t>Zhao Juan</t>
  </si>
  <si>
    <t>Jason</t>
  </si>
  <si>
    <t>Mrs Williams</t>
  </si>
  <si>
    <t>William Wei</t>
  </si>
  <si>
    <t>Jeffery Huang</t>
  </si>
  <si>
    <t>Zou Qiyang</t>
  </si>
  <si>
    <t>Mrs Chen</t>
  </si>
  <si>
    <t>Kim</t>
  </si>
  <si>
    <t>fang jun peng</t>
  </si>
  <si>
    <t>JOB060375</t>
  </si>
  <si>
    <t>COLL004024</t>
  </si>
  <si>
    <t>Lisa Steve</t>
  </si>
  <si>
    <t>zheng郑创珊</t>
  </si>
  <si>
    <t>Liu yujian</t>
  </si>
  <si>
    <t>JOB060376</t>
  </si>
  <si>
    <t>COLL004027</t>
  </si>
  <si>
    <t>JOB060378</t>
  </si>
  <si>
    <t>COLL004029</t>
  </si>
  <si>
    <t>JOB060379</t>
  </si>
  <si>
    <t>COLL004031</t>
  </si>
  <si>
    <t>Yao xiaoqing</t>
  </si>
  <si>
    <t>Qin</t>
  </si>
  <si>
    <t>JOB060380</t>
  </si>
  <si>
    <t>COLL004013</t>
  </si>
  <si>
    <t>Mary Oyebade</t>
  </si>
  <si>
    <t>ZHU JIE</t>
  </si>
  <si>
    <t>Ahamed Tijani Danmallam</t>
  </si>
  <si>
    <t>Tomson</t>
  </si>
  <si>
    <t>jiangnan</t>
  </si>
  <si>
    <t>Michael</t>
  </si>
  <si>
    <t>Xing Kong</t>
  </si>
  <si>
    <t>MR HE</t>
  </si>
  <si>
    <t>Terry Zhang</t>
  </si>
  <si>
    <t>Chenglong</t>
  </si>
  <si>
    <t>Wang Yu Xuan</t>
  </si>
  <si>
    <t>YA</t>
  </si>
  <si>
    <t>zoukai</t>
  </si>
  <si>
    <t>Kristy Liu</t>
  </si>
  <si>
    <t>YUE</t>
  </si>
  <si>
    <t>Lucy</t>
  </si>
  <si>
    <t>zhanglibo</t>
  </si>
  <si>
    <t>lilaijuan</t>
  </si>
  <si>
    <t>ShiYuLiu</t>
  </si>
  <si>
    <t>Roger Sun</t>
  </si>
  <si>
    <t>Tom Wu</t>
  </si>
  <si>
    <t>Zhang Pengpeng</t>
  </si>
  <si>
    <t>Dawn</t>
  </si>
  <si>
    <t>LiuYong</t>
  </si>
  <si>
    <t>Jacklee</t>
  </si>
  <si>
    <t>飞鸟</t>
  </si>
  <si>
    <t>FENG</t>
  </si>
  <si>
    <t>Elsie Xu</t>
  </si>
  <si>
    <t>Rihanatou Oluwatoï</t>
  </si>
  <si>
    <t>Easton</t>
  </si>
  <si>
    <t>JOB060382</t>
  </si>
  <si>
    <t>COLL004026</t>
  </si>
  <si>
    <t>Zhang Yueyue</t>
  </si>
  <si>
    <t>BIRNI</t>
  </si>
  <si>
    <t>Charles obiora chukwuekmeka</t>
  </si>
  <si>
    <t>alh. abdulia</t>
  </si>
  <si>
    <t>jeason Cai</t>
  </si>
  <si>
    <t>Zhang Huai Rui</t>
  </si>
  <si>
    <t>Mr. Deng</t>
  </si>
  <si>
    <t>太阳能，逆变器09065760799</t>
  </si>
  <si>
    <t>sun</t>
  </si>
  <si>
    <t>21th CENTURY</t>
  </si>
  <si>
    <t>huangdan</t>
  </si>
  <si>
    <t>Ella</t>
  </si>
  <si>
    <t>dingliang</t>
  </si>
  <si>
    <t>Wangxiangru</t>
  </si>
  <si>
    <t>wangweijun</t>
  </si>
  <si>
    <t>Loria</t>
  </si>
  <si>
    <t>Seman</t>
  </si>
  <si>
    <t>FRANK</t>
  </si>
  <si>
    <t>MR GODEC</t>
  </si>
  <si>
    <t>JOB060383</t>
  </si>
  <si>
    <t>COLL004030</t>
  </si>
  <si>
    <t>Rahmat Isah</t>
  </si>
  <si>
    <t>CHENG ZHONG</t>
  </si>
  <si>
    <t>Adindu</t>
  </si>
  <si>
    <t>zhaochuanhong</t>
  </si>
  <si>
    <t>Mr.Richard 志强</t>
  </si>
  <si>
    <t>Yang Peng Tao</t>
  </si>
  <si>
    <t>lucy</t>
  </si>
  <si>
    <t>Steve</t>
  </si>
  <si>
    <t>songdianchen</t>
  </si>
  <si>
    <t>cary cai</t>
  </si>
  <si>
    <t>蔡业</t>
  </si>
  <si>
    <t>CAI</t>
  </si>
  <si>
    <t>CHE YUAN</t>
  </si>
  <si>
    <t>MR.Lang</t>
  </si>
  <si>
    <t>Ye Hui</t>
  </si>
  <si>
    <t>MR LI</t>
  </si>
  <si>
    <t>Sue</t>
  </si>
  <si>
    <t>val</t>
  </si>
  <si>
    <t>Lukas</t>
  </si>
  <si>
    <t>Dan Dan</t>
  </si>
  <si>
    <t>WYLB</t>
  </si>
  <si>
    <t>JOB060386</t>
  </si>
  <si>
    <t>COLL004032</t>
  </si>
  <si>
    <t>Angel</t>
  </si>
  <si>
    <t>Guo Ze Xi</t>
  </si>
  <si>
    <t>Gege</t>
  </si>
  <si>
    <t>Sadiq bangaje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</si>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</sst>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</numFmts>
  <fonts count="45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color theme="1"/>
      <name val="Microsoft JhengHei"/>
      <charset val="134"/>
    </font>
    <font>
      <sz val="9"/>
      <name val="Microsoft JhengHei"/>
      <charset val="134"/>
    </font>
    <font>
      <sz val="10"/>
      <name val="宋体"/>
      <charset val="134"/>
      <scheme val="minor"/>
    </font>
    <font>
      <sz val="9.75"/>
      <name val="Microsoft JhengHei"/>
      <charset val="134"/>
    </font>
    <font>
      <sz val="9.75"/>
      <color rgb="FFFF0000"/>
      <name val="Microsoft JhengHei"/>
      <charset val="134"/>
    </font>
    <font>
      <sz val="11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9" borderId="14" applyNumberFormat="0" applyAlignment="0" applyProtection="0">
      <alignment vertical="center"/>
    </xf>
    <xf numFmtId="0" fontId="34" fillId="9" borderId="13" applyNumberFormat="0" applyAlignment="0" applyProtection="0">
      <alignment vertical="center"/>
    </xf>
    <xf numFmtId="0" fontId="35" fillId="10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9" fontId="5" fillId="2" borderId="2" xfId="1" applyNumberFormat="1" applyFont="1" applyFill="1" applyBorder="1" applyAlignment="1">
      <alignment horizontal="center" vertical="center"/>
    </xf>
    <xf numFmtId="180" fontId="6" fillId="2" borderId="2" xfId="1" applyNumberFormat="1" applyFont="1" applyFill="1" applyBorder="1" applyAlignment="1">
      <alignment horizontal="center" vertical="center"/>
    </xf>
    <xf numFmtId="180" fontId="6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0" fontId="6" fillId="2" borderId="3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81" fontId="7" fillId="2" borderId="2" xfId="0" applyNumberFormat="1" applyFont="1" applyFill="1" applyBorder="1">
      <alignment vertical="center"/>
    </xf>
    <xf numFmtId="58" fontId="8" fillId="0" borderId="2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0" fillId="0" borderId="6" xfId="0" applyNumberFormat="1" applyFont="1" applyFill="1" applyBorder="1" applyAlignment="1">
      <alignment horizontal="right" vertical="center"/>
    </xf>
    <xf numFmtId="182" fontId="1" fillId="4" borderId="1" xfId="0" applyNumberFormat="1" applyFont="1" applyFill="1" applyBorder="1" applyAlignment="1">
      <alignment horizontal="center" vertical="center"/>
    </xf>
    <xf numFmtId="182" fontId="4" fillId="3" borderId="2" xfId="0" applyNumberFormat="1" applyFont="1" applyFill="1" applyBorder="1" applyAlignment="1">
      <alignment horizontal="right" vertical="center"/>
    </xf>
    <xf numFmtId="176" fontId="11" fillId="3" borderId="2" xfId="0" applyNumberFormat="1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/>
    </xf>
    <xf numFmtId="182" fontId="13" fillId="0" borderId="2" xfId="0" applyNumberFormat="1" applyFont="1" applyFill="1" applyBorder="1" applyAlignment="1">
      <alignment horizontal="right" vertical="center"/>
    </xf>
    <xf numFmtId="182" fontId="1" fillId="4" borderId="3" xfId="0" applyNumberFormat="1" applyFont="1" applyFill="1" applyBorder="1" applyAlignment="1">
      <alignment horizontal="center" vertical="center"/>
    </xf>
    <xf numFmtId="182" fontId="14" fillId="0" borderId="2" xfId="0" applyNumberFormat="1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7" fontId="7" fillId="2" borderId="2" xfId="0" applyNumberFormat="1" applyFont="1" applyFill="1" applyBorder="1">
      <alignment vertical="center"/>
    </xf>
    <xf numFmtId="176" fontId="7" fillId="2" borderId="2" xfId="0" applyNumberFormat="1" applyFont="1" applyFill="1" applyBorder="1" applyAlignment="1">
      <alignment horizontal="center" vertical="center"/>
    </xf>
    <xf numFmtId="182" fontId="7" fillId="2" borderId="2" xfId="0" applyNumberFormat="1" applyFont="1" applyFill="1" applyBorder="1">
      <alignment vertical="center"/>
    </xf>
    <xf numFmtId="182" fontId="2" fillId="0" borderId="1" xfId="0" applyNumberFormat="1" applyFont="1" applyBorder="1" applyAlignment="1">
      <alignment horizontal="center" vertical="center"/>
    </xf>
    <xf numFmtId="182" fontId="2" fillId="0" borderId="3" xfId="0" applyNumberFormat="1" applyFont="1" applyBorder="1" applyAlignment="1">
      <alignment horizontal="center" vertical="center"/>
    </xf>
    <xf numFmtId="182" fontId="7" fillId="3" borderId="2" xfId="0" applyNumberFormat="1" applyFont="1" applyFill="1" applyBorder="1">
      <alignment vertical="center"/>
    </xf>
    <xf numFmtId="176" fontId="14" fillId="0" borderId="2" xfId="0" applyNumberFormat="1" applyFont="1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177" fontId="14" fillId="2" borderId="2" xfId="0" applyNumberFormat="1" applyFont="1" applyFill="1" applyBorder="1">
      <alignment vertical="center"/>
    </xf>
    <xf numFmtId="182" fontId="2" fillId="0" borderId="7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82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82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82" fontId="12" fillId="0" borderId="8" xfId="0" applyNumberFormat="1" applyFont="1" applyFill="1" applyBorder="1" applyAlignment="1">
      <alignment horizontal="center" vertical="center" wrapText="1"/>
    </xf>
    <xf numFmtId="182" fontId="15" fillId="3" borderId="1" xfId="0" applyNumberFormat="1" applyFont="1" applyFill="1" applyBorder="1" applyAlignment="1">
      <alignment horizontal="center" vertical="center" wrapText="1"/>
    </xf>
    <xf numFmtId="177" fontId="12" fillId="3" borderId="2" xfId="0" applyNumberFormat="1" applyFont="1" applyFill="1" applyBorder="1" applyAlignment="1">
      <alignment horizontal="center" vertical="center"/>
    </xf>
    <xf numFmtId="183" fontId="16" fillId="5" borderId="2" xfId="4" applyNumberFormat="1" applyFont="1" applyFill="1" applyBorder="1" applyAlignment="1">
      <alignment horizontal="center" vertical="center"/>
    </xf>
    <xf numFmtId="182" fontId="13" fillId="5" borderId="2" xfId="4" applyNumberFormat="1" applyFont="1" applyFill="1" applyBorder="1" applyAlignment="1">
      <alignment horizontal="center" vertical="center"/>
    </xf>
    <xf numFmtId="183" fontId="13" fillId="0" borderId="2" xfId="4" applyNumberFormat="1" applyFont="1" applyFill="1" applyBorder="1" applyAlignment="1">
      <alignment horizontal="center" vertical="center"/>
    </xf>
    <xf numFmtId="182" fontId="13" fillId="0" borderId="2" xfId="4" applyNumberFormat="1" applyFont="1" applyFill="1" applyBorder="1" applyAlignment="1">
      <alignment horizontal="center" vertical="center"/>
    </xf>
    <xf numFmtId="182" fontId="12" fillId="0" borderId="9" xfId="0" applyNumberFormat="1" applyFont="1" applyFill="1" applyBorder="1" applyAlignment="1">
      <alignment horizontal="center" vertical="center" wrapText="1"/>
    </xf>
    <xf numFmtId="182" fontId="15" fillId="3" borderId="3" xfId="0" applyNumberFormat="1" applyFont="1" applyFill="1" applyBorder="1" applyAlignment="1">
      <alignment horizontal="center" vertical="center" wrapText="1"/>
    </xf>
    <xf numFmtId="177" fontId="17" fillId="3" borderId="2" xfId="0" applyNumberFormat="1" applyFont="1" applyFill="1" applyBorder="1" applyAlignment="1">
      <alignment vertical="center" wrapText="1"/>
    </xf>
    <xf numFmtId="182" fontId="2" fillId="0" borderId="2" xfId="0" applyNumberFormat="1" applyFont="1" applyBorder="1" applyAlignment="1">
      <alignment vertical="center"/>
    </xf>
    <xf numFmtId="182" fontId="2" fillId="3" borderId="2" xfId="0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82" fontId="2" fillId="0" borderId="1" xfId="0" applyNumberFormat="1" applyFont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/>
    </xf>
    <xf numFmtId="182" fontId="12" fillId="4" borderId="1" xfId="0" applyNumberFormat="1" applyFont="1" applyFill="1" applyBorder="1" applyAlignment="1">
      <alignment horizontal="center" vertical="center"/>
    </xf>
    <xf numFmtId="182" fontId="1" fillId="6" borderId="1" xfId="0" applyNumberFormat="1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6" fontId="15" fillId="3" borderId="2" xfId="0" applyNumberFormat="1" applyFont="1" applyFill="1" applyBorder="1" applyAlignment="1">
      <alignment horizontal="center" vertical="center"/>
    </xf>
    <xf numFmtId="182" fontId="12" fillId="3" borderId="2" xfId="0" applyNumberFormat="1" applyFont="1" applyFill="1" applyBorder="1" applyAlignment="1">
      <alignment horizontal="center" vertical="center"/>
    </xf>
    <xf numFmtId="182" fontId="12" fillId="4" borderId="2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81" fontId="7" fillId="3" borderId="2" xfId="0" applyNumberFormat="1" applyFont="1" applyFill="1" applyBorder="1">
      <alignment vertical="center"/>
    </xf>
    <xf numFmtId="58" fontId="8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>
      <alignment vertical="center"/>
    </xf>
    <xf numFmtId="176" fontId="7" fillId="2" borderId="4" xfId="0" applyNumberFormat="1" applyFont="1" applyFill="1" applyBorder="1" applyAlignment="1">
      <alignment horizontal="center" vertical="center"/>
    </xf>
    <xf numFmtId="182" fontId="14" fillId="2" borderId="2" xfId="0" applyNumberFormat="1" applyFont="1" applyFill="1" applyBorder="1">
      <alignment vertical="center"/>
    </xf>
    <xf numFmtId="182" fontId="14" fillId="3" borderId="2" xfId="0" applyNumberFormat="1" applyFont="1" applyFill="1" applyBorder="1">
      <alignment vertical="center"/>
    </xf>
    <xf numFmtId="176" fontId="14" fillId="2" borderId="2" xfId="0" applyNumberFormat="1" applyFont="1" applyFill="1" applyBorder="1">
      <alignment vertical="center"/>
    </xf>
    <xf numFmtId="176" fontId="18" fillId="0" borderId="2" xfId="0" applyNumberFormat="1" applyFont="1" applyBorder="1" applyAlignment="1">
      <alignment horizontal="center" vertical="center"/>
    </xf>
    <xf numFmtId="182" fontId="7" fillId="0" borderId="2" xfId="0" applyNumberFormat="1" applyFont="1" applyFill="1" applyBorder="1" applyAlignment="1">
      <alignment horizontal="right" vertical="center"/>
    </xf>
    <xf numFmtId="182" fontId="2" fillId="0" borderId="2" xfId="0" applyNumberFormat="1" applyFont="1" applyBorder="1" applyAlignment="1">
      <alignment horizontal="center" vertical="center"/>
    </xf>
    <xf numFmtId="176" fontId="7" fillId="2" borderId="2" xfId="0" applyNumberFormat="1" applyFont="1" applyFill="1" applyBorder="1">
      <alignment vertical="center"/>
    </xf>
    <xf numFmtId="182" fontId="2" fillId="0" borderId="2" xfId="0" applyNumberFormat="1" applyFont="1" applyBorder="1">
      <alignment vertical="center"/>
    </xf>
    <xf numFmtId="177" fontId="2" fillId="0" borderId="2" xfId="0" applyNumberFormat="1" applyFont="1" applyBorder="1" applyAlignment="1">
      <alignment horizontal="center" vertical="center"/>
    </xf>
    <xf numFmtId="182" fontId="19" fillId="2" borderId="2" xfId="0" applyNumberFormat="1" applyFont="1" applyFill="1" applyBorder="1">
      <alignment vertical="center"/>
    </xf>
    <xf numFmtId="182" fontId="2" fillId="0" borderId="2" xfId="0" applyNumberFormat="1" applyFont="1" applyFill="1" applyBorder="1" applyAlignment="1">
      <alignment vertical="center"/>
    </xf>
    <xf numFmtId="176" fontId="20" fillId="2" borderId="2" xfId="0" applyNumberFormat="1" applyFont="1" applyFill="1" applyBorder="1" applyAlignment="1">
      <alignment horizontal="center" vertical="center"/>
    </xf>
    <xf numFmtId="176" fontId="19" fillId="2" borderId="2" xfId="0" applyNumberFormat="1" applyFont="1" applyFill="1" applyBorder="1" applyAlignment="1">
      <alignment horizontal="center" vertical="center"/>
    </xf>
    <xf numFmtId="182" fontId="2" fillId="3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81" fontId="7" fillId="2" borderId="1" xfId="0" applyNumberFormat="1" applyFont="1" applyFill="1" applyBorder="1">
      <alignment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2" xfId="0" applyFont="1" applyFill="1" applyBorder="1">
      <alignment vertical="center"/>
    </xf>
    <xf numFmtId="181" fontId="21" fillId="2" borderId="2" xfId="0" applyNumberFormat="1" applyFont="1" applyFill="1" applyBorder="1">
      <alignment vertical="center"/>
    </xf>
    <xf numFmtId="182" fontId="7" fillId="2" borderId="1" xfId="0" applyNumberFormat="1" applyFont="1" applyFill="1" applyBorder="1">
      <alignment vertical="center"/>
    </xf>
    <xf numFmtId="177" fontId="7" fillId="2" borderId="1" xfId="0" applyNumberFormat="1" applyFont="1" applyFill="1" applyBorder="1">
      <alignment vertical="center"/>
    </xf>
    <xf numFmtId="177" fontId="14" fillId="2" borderId="1" xfId="0" applyNumberFormat="1" applyFont="1" applyFill="1" applyBorder="1">
      <alignment vertical="center"/>
    </xf>
    <xf numFmtId="182" fontId="22" fillId="0" borderId="2" xfId="0" applyNumberFormat="1" applyFont="1" applyFill="1" applyBorder="1">
      <alignment vertical="center"/>
    </xf>
    <xf numFmtId="177" fontId="19" fillId="2" borderId="2" xfId="0" applyNumberFormat="1" applyFont="1" applyFill="1" applyBorder="1">
      <alignment vertical="center"/>
    </xf>
    <xf numFmtId="0" fontId="19" fillId="2" borderId="2" xfId="0" applyFont="1" applyFill="1" applyBorder="1">
      <alignment vertical="center"/>
    </xf>
    <xf numFmtId="177" fontId="21" fillId="2" borderId="2" xfId="0" applyNumberFormat="1" applyFont="1" applyFill="1" applyBorder="1">
      <alignment vertical="center"/>
    </xf>
    <xf numFmtId="182" fontId="21" fillId="2" borderId="2" xfId="0" applyNumberFormat="1" applyFont="1" applyFill="1" applyBorder="1">
      <alignment vertical="center"/>
    </xf>
    <xf numFmtId="177" fontId="22" fillId="2" borderId="2" xfId="0" applyNumberFormat="1" applyFont="1" applyFill="1" applyBorder="1">
      <alignment vertical="center"/>
    </xf>
    <xf numFmtId="182" fontId="14" fillId="0" borderId="1" xfId="0" applyNumberFormat="1" applyFont="1" applyFill="1" applyBorder="1">
      <alignment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18" fillId="0" borderId="2" xfId="0" applyNumberFormat="1" applyFont="1" applyBorder="1" applyAlignment="1">
      <alignment horizontal="center" vertical="center"/>
    </xf>
    <xf numFmtId="182" fontId="23" fillId="0" borderId="2" xfId="0" applyNumberFormat="1" applyFont="1" applyBorder="1">
      <alignment vertical="center"/>
    </xf>
    <xf numFmtId="182" fontId="23" fillId="3" borderId="2" xfId="0" applyNumberFormat="1" applyFont="1" applyFill="1" applyBorder="1" applyAlignment="1">
      <alignment horizontal="center" vertical="center"/>
    </xf>
    <xf numFmtId="182" fontId="0" fillId="0" borderId="2" xfId="0" applyNumberFormat="1" applyBorder="1" applyAlignment="1">
      <alignment vertical="center"/>
    </xf>
    <xf numFmtId="177" fontId="7" fillId="3" borderId="2" xfId="0" applyNumberFormat="1" applyFont="1" applyFill="1" applyBorder="1">
      <alignment vertical="center"/>
    </xf>
    <xf numFmtId="177" fontId="14" fillId="3" borderId="2" xfId="0" applyNumberFormat="1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/>
    </xf>
    <xf numFmtId="176" fontId="0" fillId="0" borderId="2" xfId="0" applyNumberFormat="1" applyBorder="1" applyAlignment="1">
      <alignment vertical="center"/>
    </xf>
    <xf numFmtId="177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833"/>
  <sheetViews>
    <sheetView tabSelected="1" zoomScale="110" zoomScaleNormal="110" workbookViewId="0">
      <selection activeCell="E250" sqref="E250:E638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2"/>
    <col min="6" max="6" width="17.375" customWidth="1"/>
    <col min="7" max="8" width="11.5"/>
    <col min="9" max="9" width="13.875"/>
    <col min="10" max="10" width="15.125" style="3"/>
    <col min="11" max="11" width="13.875" style="4"/>
    <col min="12" max="12" width="13.875" style="3"/>
    <col min="13" max="13" width="13.625"/>
    <col min="14" max="14" width="13.75"/>
    <col min="15" max="15" width="13.875"/>
    <col min="16" max="16" width="12.375" customWidth="1"/>
    <col min="17" max="17" width="11.25" customWidth="1"/>
    <col min="18" max="18" width="16.125"/>
    <col min="19" max="19" width="11.25" style="5" customWidth="1"/>
    <col min="20" max="20" width="10.25" style="5"/>
    <col min="21" max="22" width="11.25" style="5"/>
    <col min="23" max="23" width="14.75" style="6"/>
    <col min="24" max="24" width="11.875" style="4" customWidth="1"/>
    <col min="25" max="25" width="11.125" style="4" customWidth="1"/>
    <col min="26" max="26" width="11.25" style="4"/>
    <col min="27" max="27" width="12.625" style="4"/>
    <col min="28" max="28" width="12" style="3"/>
    <col min="29" max="29" width="12.875"/>
    <col min="30" max="30" width="14.875"/>
    <col min="31" max="31" width="14.75"/>
    <col min="32" max="32" width="12.625"/>
  </cols>
  <sheetData>
    <row r="1" ht="31" customHeight="1" spans="1:31">
      <c r="A1" s="7" t="s">
        <v>0</v>
      </c>
      <c r="B1" s="7"/>
      <c r="C1" s="7"/>
      <c r="D1" s="7"/>
      <c r="E1" s="7"/>
      <c r="F1" s="7"/>
      <c r="G1" s="7"/>
      <c r="H1" s="7"/>
      <c r="I1" s="7"/>
      <c r="J1" s="22"/>
      <c r="K1" s="23"/>
      <c r="L1" s="22"/>
      <c r="M1" s="7"/>
      <c r="N1" s="24"/>
      <c r="O1" s="7"/>
      <c r="P1" s="7"/>
      <c r="Q1" s="7"/>
      <c r="R1" s="7"/>
      <c r="S1" s="50"/>
      <c r="T1" s="50"/>
      <c r="U1" s="51"/>
      <c r="V1" s="50"/>
      <c r="W1" s="52"/>
      <c r="X1" s="23"/>
      <c r="Y1" s="23"/>
      <c r="Z1" s="23"/>
      <c r="AA1" s="23"/>
      <c r="AB1" s="22"/>
      <c r="AC1" s="23"/>
      <c r="AD1" s="7"/>
      <c r="AE1" s="7"/>
    </row>
    <row r="2" s="1" customFormat="1" ht="23" customHeight="1" spans="1:31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25" t="s">
        <v>9</v>
      </c>
      <c r="J2" s="26"/>
      <c r="K2" s="27"/>
      <c r="L2" s="26"/>
      <c r="M2" s="27"/>
      <c r="N2" s="28"/>
      <c r="O2" s="29"/>
      <c r="P2" s="30" t="s">
        <v>10</v>
      </c>
      <c r="Q2" s="53" t="s">
        <v>11</v>
      </c>
      <c r="R2" s="54"/>
      <c r="S2" s="55"/>
      <c r="T2" s="56"/>
      <c r="U2" s="57"/>
      <c r="V2" s="58" t="s">
        <v>12</v>
      </c>
      <c r="W2" s="59" t="s">
        <v>13</v>
      </c>
      <c r="X2" s="60" t="s">
        <v>14</v>
      </c>
      <c r="Y2" s="60"/>
      <c r="Z2" s="60"/>
      <c r="AA2" s="60"/>
      <c r="AB2" s="72"/>
      <c r="AC2" s="60"/>
      <c r="AD2" s="73" t="s">
        <v>15</v>
      </c>
      <c r="AE2" s="74" t="s">
        <v>16</v>
      </c>
    </row>
    <row r="3" s="1" customFormat="1" ht="27" customHeight="1" spans="1:31">
      <c r="A3" s="14"/>
      <c r="B3" s="15"/>
      <c r="C3" s="10"/>
      <c r="D3" s="11"/>
      <c r="E3" s="16"/>
      <c r="F3" s="17"/>
      <c r="G3" s="17"/>
      <c r="H3" s="17"/>
      <c r="I3" s="31" t="s">
        <v>17</v>
      </c>
      <c r="J3" s="32" t="s">
        <v>18</v>
      </c>
      <c r="K3" s="33" t="s">
        <v>19</v>
      </c>
      <c r="L3" s="32" t="s">
        <v>20</v>
      </c>
      <c r="M3" s="34" t="s">
        <v>21</v>
      </c>
      <c r="N3" s="35" t="s">
        <v>22</v>
      </c>
      <c r="O3" s="36" t="s">
        <v>23</v>
      </c>
      <c r="P3" s="37"/>
      <c r="Q3" s="61" t="s">
        <v>24</v>
      </c>
      <c r="R3" s="62" t="s">
        <v>25</v>
      </c>
      <c r="S3" s="63" t="s">
        <v>26</v>
      </c>
      <c r="T3" s="64" t="s">
        <v>27</v>
      </c>
      <c r="U3" s="63" t="s">
        <v>28</v>
      </c>
      <c r="V3" s="65"/>
      <c r="W3" s="66"/>
      <c r="X3" s="67" t="s">
        <v>29</v>
      </c>
      <c r="Y3" s="67" t="s">
        <v>30</v>
      </c>
      <c r="Z3" s="67" t="s">
        <v>31</v>
      </c>
      <c r="AA3" s="75" t="s">
        <v>32</v>
      </c>
      <c r="AB3" s="76" t="s">
        <v>33</v>
      </c>
      <c r="AC3" s="77" t="s">
        <v>23</v>
      </c>
      <c r="AD3" s="78" t="s">
        <v>34</v>
      </c>
      <c r="AE3" s="79"/>
    </row>
    <row r="4" customFormat="1" spans="1:31">
      <c r="A4" s="18" t="s">
        <v>35</v>
      </c>
      <c r="B4" s="19" t="s">
        <v>36</v>
      </c>
      <c r="C4" s="20">
        <v>240529000001</v>
      </c>
      <c r="D4" s="21">
        <v>45447</v>
      </c>
      <c r="E4" s="21" t="s">
        <v>37</v>
      </c>
      <c r="F4" s="19" t="s">
        <v>38</v>
      </c>
      <c r="G4" s="19" t="s">
        <v>39</v>
      </c>
      <c r="H4" s="19">
        <v>1.5</v>
      </c>
      <c r="I4" s="38">
        <v>180</v>
      </c>
      <c r="J4" s="39"/>
      <c r="K4" s="40"/>
      <c r="L4" s="19"/>
      <c r="M4" s="40"/>
      <c r="N4" s="41"/>
      <c r="O4" s="42">
        <f t="shared" ref="O4:O6" si="0">SUM(I4)</f>
        <v>180</v>
      </c>
      <c r="P4" s="43">
        <f>SUM(O4:O11)</f>
        <v>4233.4424</v>
      </c>
      <c r="Q4" s="43" t="s">
        <v>40</v>
      </c>
      <c r="R4" s="68">
        <f>SUM(2400/32)*H4</f>
        <v>112.5</v>
      </c>
      <c r="S4" s="69">
        <f>SUM(52.41/32)*H4</f>
        <v>2.45671875</v>
      </c>
      <c r="T4" s="68"/>
      <c r="U4" s="68"/>
      <c r="V4" s="68"/>
      <c r="W4" s="68">
        <f>SUM(R4:V4)</f>
        <v>114.95671875</v>
      </c>
      <c r="X4" s="70">
        <f>SUM(37.28/32)*H4</f>
        <v>1.7475</v>
      </c>
      <c r="Y4" s="70"/>
      <c r="Z4" s="70"/>
      <c r="AA4" s="70">
        <f>SUM(X4:Z4)</f>
        <v>1.7475</v>
      </c>
      <c r="AB4" s="80">
        <v>7.24</v>
      </c>
      <c r="AC4" s="68">
        <f>SUM(AA4*AB4)</f>
        <v>12.6519</v>
      </c>
      <c r="AD4" s="68">
        <f>SUM(W4+AC4)</f>
        <v>127.60861875</v>
      </c>
      <c r="AE4" s="68">
        <f>SUM(O4-AD4)</f>
        <v>52.39138125</v>
      </c>
    </row>
    <row r="5" customFormat="1" spans="1:31">
      <c r="A5" s="18"/>
      <c r="B5" s="19"/>
      <c r="C5" s="20">
        <v>240529000005</v>
      </c>
      <c r="D5" s="21">
        <v>45447</v>
      </c>
      <c r="E5" s="21" t="s">
        <v>41</v>
      </c>
      <c r="F5" s="19" t="s">
        <v>42</v>
      </c>
      <c r="G5" s="19" t="s">
        <v>43</v>
      </c>
      <c r="H5" s="19">
        <v>0.6</v>
      </c>
      <c r="I5" s="38">
        <v>250</v>
      </c>
      <c r="J5" s="39"/>
      <c r="K5" s="40"/>
      <c r="L5" s="19"/>
      <c r="M5" s="40"/>
      <c r="N5" s="41"/>
      <c r="O5" s="42">
        <f t="shared" si="0"/>
        <v>250</v>
      </c>
      <c r="P5" s="44"/>
      <c r="Q5" s="44"/>
      <c r="R5" s="68">
        <f t="shared" ref="R5:R11" si="1">SUM(2400/32)*H5</f>
        <v>45</v>
      </c>
      <c r="S5" s="69">
        <f t="shared" ref="S5:S11" si="2">SUM(52.41/32)*H5</f>
        <v>0.9826875</v>
      </c>
      <c r="T5" s="68"/>
      <c r="U5" s="68"/>
      <c r="V5" s="68"/>
      <c r="W5" s="68">
        <f t="shared" ref="W5:W11" si="3">SUM(R5:V5)</f>
        <v>45.9826875</v>
      </c>
      <c r="X5" s="70">
        <f t="shared" ref="X5:X11" si="4">SUM(37.28/32)*H5</f>
        <v>0.699</v>
      </c>
      <c r="Y5" s="70"/>
      <c r="Z5" s="70"/>
      <c r="AA5" s="70">
        <f t="shared" ref="AA5:AA11" si="5">SUM(X5:Z5)</f>
        <v>0.699</v>
      </c>
      <c r="AB5" s="80">
        <v>7.24</v>
      </c>
      <c r="AC5" s="68">
        <f t="shared" ref="AC5:AC11" si="6">SUM(AA5*AB5)</f>
        <v>5.06076</v>
      </c>
      <c r="AD5" s="68">
        <f t="shared" ref="AD5:AD11" si="7">SUM(W5+AC5)</f>
        <v>51.0434475</v>
      </c>
      <c r="AE5" s="68">
        <f t="shared" ref="AE5:AE11" si="8">SUM(O5-AD5)</f>
        <v>198.9565525</v>
      </c>
    </row>
    <row r="6" customFormat="1" spans="1:31">
      <c r="A6" s="18"/>
      <c r="B6" s="19"/>
      <c r="C6" s="20">
        <v>240530000014</v>
      </c>
      <c r="D6" s="21">
        <v>45447</v>
      </c>
      <c r="E6" s="21" t="s">
        <v>44</v>
      </c>
      <c r="F6" s="19" t="s">
        <v>45</v>
      </c>
      <c r="G6" s="19" t="s">
        <v>46</v>
      </c>
      <c r="H6" s="19">
        <v>3.5</v>
      </c>
      <c r="I6" s="38">
        <v>402.5</v>
      </c>
      <c r="J6" s="39"/>
      <c r="K6" s="40"/>
      <c r="L6" s="19"/>
      <c r="M6" s="40"/>
      <c r="N6" s="41"/>
      <c r="O6" s="42">
        <f t="shared" si="0"/>
        <v>402.5</v>
      </c>
      <c r="P6" s="44"/>
      <c r="Q6" s="44"/>
      <c r="R6" s="68">
        <f t="shared" si="1"/>
        <v>262.5</v>
      </c>
      <c r="S6" s="69">
        <f t="shared" si="2"/>
        <v>5.73234375</v>
      </c>
      <c r="T6" s="68"/>
      <c r="U6" s="68"/>
      <c r="V6" s="68"/>
      <c r="W6" s="68">
        <f t="shared" si="3"/>
        <v>268.23234375</v>
      </c>
      <c r="X6" s="70">
        <f t="shared" si="4"/>
        <v>4.0775</v>
      </c>
      <c r="Y6" s="70"/>
      <c r="Z6" s="70"/>
      <c r="AA6" s="70">
        <f t="shared" si="5"/>
        <v>4.0775</v>
      </c>
      <c r="AB6" s="80">
        <v>7.24</v>
      </c>
      <c r="AC6" s="68">
        <f t="shared" si="6"/>
        <v>29.5211</v>
      </c>
      <c r="AD6" s="68">
        <f t="shared" si="7"/>
        <v>297.75344375</v>
      </c>
      <c r="AE6" s="68">
        <f t="shared" si="8"/>
        <v>104.74655625</v>
      </c>
    </row>
    <row r="7" customFormat="1" spans="1:31">
      <c r="A7" s="18"/>
      <c r="B7" s="19"/>
      <c r="C7" s="20">
        <v>240530000019</v>
      </c>
      <c r="D7" s="21">
        <v>45447</v>
      </c>
      <c r="E7" s="21" t="s">
        <v>41</v>
      </c>
      <c r="F7" s="19" t="s">
        <v>42</v>
      </c>
      <c r="G7" s="19" t="s">
        <v>47</v>
      </c>
      <c r="H7" s="19">
        <v>0.66</v>
      </c>
      <c r="I7" s="45"/>
      <c r="J7" s="46">
        <v>23920</v>
      </c>
      <c r="K7" s="40"/>
      <c r="L7" s="47">
        <f>SUM(J7/M7)</f>
        <v>1506.29722921914</v>
      </c>
      <c r="M7" s="48">
        <v>15.88</v>
      </c>
      <c r="N7" s="41">
        <v>7.24</v>
      </c>
      <c r="O7" s="42">
        <f>SUM(M7*N7)</f>
        <v>114.9712</v>
      </c>
      <c r="P7" s="44"/>
      <c r="Q7" s="44"/>
      <c r="R7" s="68">
        <f t="shared" si="1"/>
        <v>49.5</v>
      </c>
      <c r="S7" s="69">
        <f t="shared" si="2"/>
        <v>1.08095625</v>
      </c>
      <c r="T7" s="68"/>
      <c r="U7" s="68"/>
      <c r="V7" s="68"/>
      <c r="W7" s="68">
        <f t="shared" si="3"/>
        <v>50.58095625</v>
      </c>
      <c r="X7" s="70">
        <f t="shared" si="4"/>
        <v>0.7689</v>
      </c>
      <c r="Y7" s="70"/>
      <c r="Z7" s="70"/>
      <c r="AA7" s="70">
        <f t="shared" si="5"/>
        <v>0.7689</v>
      </c>
      <c r="AB7" s="80">
        <v>7.24</v>
      </c>
      <c r="AC7" s="68">
        <f t="shared" si="6"/>
        <v>5.566836</v>
      </c>
      <c r="AD7" s="68">
        <f t="shared" si="7"/>
        <v>56.14779225</v>
      </c>
      <c r="AE7" s="68">
        <f t="shared" si="8"/>
        <v>58.82340775</v>
      </c>
    </row>
    <row r="8" customFormat="1" spans="1:31">
      <c r="A8" s="18"/>
      <c r="B8" s="19"/>
      <c r="C8" s="20">
        <v>240530000026</v>
      </c>
      <c r="D8" s="21">
        <v>45447</v>
      </c>
      <c r="E8" s="21" t="s">
        <v>48</v>
      </c>
      <c r="F8" s="19" t="s">
        <v>49</v>
      </c>
      <c r="G8" s="19" t="s">
        <v>50</v>
      </c>
      <c r="H8" s="19">
        <v>6</v>
      </c>
      <c r="I8" s="38">
        <v>690</v>
      </c>
      <c r="J8" s="39"/>
      <c r="K8" s="40"/>
      <c r="L8" s="19"/>
      <c r="M8" s="40"/>
      <c r="N8" s="41"/>
      <c r="O8" s="42">
        <f t="shared" ref="O8:O10" si="9">SUM(I8)</f>
        <v>690</v>
      </c>
      <c r="P8" s="44"/>
      <c r="Q8" s="44"/>
      <c r="R8" s="68">
        <f t="shared" si="1"/>
        <v>450</v>
      </c>
      <c r="S8" s="69">
        <f t="shared" si="2"/>
        <v>9.826875</v>
      </c>
      <c r="T8" s="68"/>
      <c r="U8" s="68"/>
      <c r="V8" s="68"/>
      <c r="W8" s="68">
        <f t="shared" si="3"/>
        <v>459.826875</v>
      </c>
      <c r="X8" s="70">
        <f t="shared" si="4"/>
        <v>6.99</v>
      </c>
      <c r="Y8" s="70"/>
      <c r="Z8" s="70"/>
      <c r="AA8" s="70">
        <f t="shared" si="5"/>
        <v>6.99</v>
      </c>
      <c r="AB8" s="80">
        <v>7.24</v>
      </c>
      <c r="AC8" s="68">
        <f t="shared" si="6"/>
        <v>50.6076</v>
      </c>
      <c r="AD8" s="68">
        <f t="shared" si="7"/>
        <v>510.434475</v>
      </c>
      <c r="AE8" s="68">
        <f t="shared" si="8"/>
        <v>179.565525</v>
      </c>
    </row>
    <row r="9" customFormat="1" spans="1:31">
      <c r="A9" s="18"/>
      <c r="B9" s="19"/>
      <c r="C9" s="20">
        <v>240531000014</v>
      </c>
      <c r="D9" s="21">
        <v>45447</v>
      </c>
      <c r="E9" s="21" t="s">
        <v>51</v>
      </c>
      <c r="F9" s="19" t="s">
        <v>52</v>
      </c>
      <c r="G9" s="19" t="s">
        <v>53</v>
      </c>
      <c r="H9" s="19">
        <v>3</v>
      </c>
      <c r="I9" s="38">
        <v>375</v>
      </c>
      <c r="J9" s="39"/>
      <c r="K9" s="40"/>
      <c r="L9" s="19"/>
      <c r="M9" s="40"/>
      <c r="N9" s="41"/>
      <c r="O9" s="42">
        <f t="shared" si="9"/>
        <v>375</v>
      </c>
      <c r="P9" s="44"/>
      <c r="Q9" s="44"/>
      <c r="R9" s="68">
        <f t="shared" si="1"/>
        <v>225</v>
      </c>
      <c r="S9" s="69">
        <f t="shared" si="2"/>
        <v>4.9134375</v>
      </c>
      <c r="T9" s="68"/>
      <c r="U9" s="68">
        <v>30</v>
      </c>
      <c r="V9" s="68"/>
      <c r="W9" s="68">
        <f t="shared" si="3"/>
        <v>259.9134375</v>
      </c>
      <c r="X9" s="70">
        <f t="shared" si="4"/>
        <v>3.495</v>
      </c>
      <c r="Y9" s="70"/>
      <c r="Z9" s="70"/>
      <c r="AA9" s="70">
        <f t="shared" si="5"/>
        <v>3.495</v>
      </c>
      <c r="AB9" s="80">
        <v>7.24</v>
      </c>
      <c r="AC9" s="68">
        <f t="shared" si="6"/>
        <v>25.3038</v>
      </c>
      <c r="AD9" s="68">
        <f t="shared" si="7"/>
        <v>285.2172375</v>
      </c>
      <c r="AE9" s="68">
        <f t="shared" si="8"/>
        <v>89.7827625</v>
      </c>
    </row>
    <row r="10" customFormat="1" spans="1:31">
      <c r="A10" s="18"/>
      <c r="B10" s="19"/>
      <c r="C10" s="20">
        <v>240531000042</v>
      </c>
      <c r="D10" s="21">
        <v>45447</v>
      </c>
      <c r="E10" s="21" t="s">
        <v>51</v>
      </c>
      <c r="F10" s="19" t="s">
        <v>52</v>
      </c>
      <c r="G10" s="19" t="s">
        <v>54</v>
      </c>
      <c r="H10" s="19">
        <v>0.2</v>
      </c>
      <c r="I10" s="38">
        <v>115</v>
      </c>
      <c r="J10" s="39"/>
      <c r="K10" s="40"/>
      <c r="L10" s="19"/>
      <c r="M10" s="40"/>
      <c r="N10" s="41"/>
      <c r="O10" s="42">
        <f t="shared" si="9"/>
        <v>115</v>
      </c>
      <c r="P10" s="44"/>
      <c r="Q10" s="44"/>
      <c r="R10" s="68">
        <f t="shared" si="1"/>
        <v>15</v>
      </c>
      <c r="S10" s="69">
        <f t="shared" si="2"/>
        <v>0.3275625</v>
      </c>
      <c r="T10" s="68"/>
      <c r="U10" s="68"/>
      <c r="V10" s="68"/>
      <c r="W10" s="68">
        <f t="shared" si="3"/>
        <v>15.3275625</v>
      </c>
      <c r="X10" s="70">
        <f t="shared" si="4"/>
        <v>0.233</v>
      </c>
      <c r="Y10" s="70"/>
      <c r="Z10" s="70"/>
      <c r="AA10" s="70">
        <f t="shared" si="5"/>
        <v>0.233</v>
      </c>
      <c r="AB10" s="80">
        <v>7.24</v>
      </c>
      <c r="AC10" s="68">
        <f t="shared" si="6"/>
        <v>1.68692</v>
      </c>
      <c r="AD10" s="68">
        <f t="shared" si="7"/>
        <v>17.0144825</v>
      </c>
      <c r="AE10" s="68">
        <f t="shared" si="8"/>
        <v>97.9855175</v>
      </c>
    </row>
    <row r="11" customFormat="1" spans="1:31">
      <c r="A11" s="18"/>
      <c r="B11" s="19"/>
      <c r="C11" s="20">
        <v>240601000003</v>
      </c>
      <c r="D11" s="21">
        <v>45447</v>
      </c>
      <c r="E11" s="21" t="s">
        <v>41</v>
      </c>
      <c r="F11" s="19" t="s">
        <v>42</v>
      </c>
      <c r="G11" s="19" t="s">
        <v>55</v>
      </c>
      <c r="H11" s="19">
        <v>18</v>
      </c>
      <c r="I11" s="45"/>
      <c r="J11" s="46">
        <v>430560</v>
      </c>
      <c r="K11" s="40"/>
      <c r="L11" s="47">
        <f t="shared" ref="L11:L15" si="10">SUM(J11/M11)</f>
        <v>1480.19801980198</v>
      </c>
      <c r="M11" s="48">
        <v>290.88</v>
      </c>
      <c r="N11" s="41">
        <v>7.24</v>
      </c>
      <c r="O11" s="42">
        <f>SUM(M11*N11)</f>
        <v>2105.9712</v>
      </c>
      <c r="P11" s="49"/>
      <c r="Q11" s="49"/>
      <c r="R11" s="68">
        <f t="shared" si="1"/>
        <v>1350</v>
      </c>
      <c r="S11" s="69">
        <f t="shared" si="2"/>
        <v>29.480625</v>
      </c>
      <c r="T11" s="68"/>
      <c r="U11" s="68"/>
      <c r="V11" s="68"/>
      <c r="W11" s="68">
        <f t="shared" ref="W11:W27" si="11">SUM(R11:V11)</f>
        <v>1379.480625</v>
      </c>
      <c r="X11" s="70">
        <f t="shared" si="4"/>
        <v>20.97</v>
      </c>
      <c r="Y11" s="70"/>
      <c r="Z11" s="70"/>
      <c r="AA11" s="70">
        <f t="shared" ref="AA11:AA27" si="12">SUM(X11:Z11)</f>
        <v>20.97</v>
      </c>
      <c r="AB11" s="80">
        <v>7.24</v>
      </c>
      <c r="AC11" s="68">
        <f t="shared" ref="AC11:AC27" si="13">SUM(AA11*AB11)</f>
        <v>151.8228</v>
      </c>
      <c r="AD11" s="68">
        <f t="shared" ref="AD11:AD27" si="14">SUM(W11+AC11)</f>
        <v>1531.303425</v>
      </c>
      <c r="AE11" s="68">
        <f t="shared" ref="AE11:AE27" si="15">SUM(O11-AD11)</f>
        <v>574.667775</v>
      </c>
    </row>
    <row r="12" customFormat="1" spans="1:31">
      <c r="A12" s="18" t="s">
        <v>56</v>
      </c>
      <c r="B12" s="19" t="s">
        <v>57</v>
      </c>
      <c r="C12" s="20">
        <v>240527000014</v>
      </c>
      <c r="D12" s="21">
        <v>45449</v>
      </c>
      <c r="E12" s="21" t="s">
        <v>51</v>
      </c>
      <c r="F12" s="19" t="s">
        <v>52</v>
      </c>
      <c r="G12" s="19" t="s">
        <v>58</v>
      </c>
      <c r="H12" s="19">
        <v>725</v>
      </c>
      <c r="I12" s="38">
        <v>40025</v>
      </c>
      <c r="J12" s="39"/>
      <c r="K12" s="40"/>
      <c r="L12" s="19"/>
      <c r="M12" s="40"/>
      <c r="N12" s="41"/>
      <c r="O12" s="42">
        <f t="shared" ref="O12:O21" si="16">SUM(I12)</f>
        <v>40025</v>
      </c>
      <c r="P12" s="43">
        <f>SUM(O12:O27)</f>
        <v>171150.1748</v>
      </c>
      <c r="Q12" s="43" t="s">
        <v>59</v>
      </c>
      <c r="R12" s="68">
        <f>SUM(130662/3218)*H12</f>
        <v>29437.5233064015</v>
      </c>
      <c r="S12" s="68"/>
      <c r="T12" s="69">
        <f>SUM(320.61/3218)*H12</f>
        <v>72.2318986948415</v>
      </c>
      <c r="U12" s="69">
        <f>SUM(80+70)</f>
        <v>150</v>
      </c>
      <c r="V12" s="68"/>
      <c r="W12" s="68">
        <f t="shared" si="11"/>
        <v>29659.7552050963</v>
      </c>
      <c r="X12" s="70">
        <f>SUM(2144.68/3218)*H12</f>
        <v>483.186140459913</v>
      </c>
      <c r="Y12" s="70"/>
      <c r="Z12" s="70"/>
      <c r="AA12" s="70">
        <f t="shared" si="12"/>
        <v>483.186140459913</v>
      </c>
      <c r="AB12" s="80">
        <v>7.24</v>
      </c>
      <c r="AC12" s="68">
        <f t="shared" si="13"/>
        <v>3498.26765692977</v>
      </c>
      <c r="AD12" s="68">
        <f t="shared" si="14"/>
        <v>33158.0228620261</v>
      </c>
      <c r="AE12" s="68">
        <f t="shared" si="15"/>
        <v>6866.9771379739</v>
      </c>
    </row>
    <row r="13" customFormat="1" spans="1:31">
      <c r="A13" s="18"/>
      <c r="B13" s="19"/>
      <c r="C13" s="20">
        <v>240531000007</v>
      </c>
      <c r="D13" s="21">
        <v>45449</v>
      </c>
      <c r="E13" s="21" t="s">
        <v>48</v>
      </c>
      <c r="F13" s="19" t="s">
        <v>49</v>
      </c>
      <c r="G13" s="19" t="s">
        <v>60</v>
      </c>
      <c r="H13" s="19">
        <v>333.5</v>
      </c>
      <c r="I13" s="45"/>
      <c r="J13" s="46">
        <v>3711855</v>
      </c>
      <c r="K13" s="40"/>
      <c r="L13" s="47">
        <f t="shared" si="10"/>
        <v>1520.40461054494</v>
      </c>
      <c r="M13" s="48">
        <v>2441.36</v>
      </c>
      <c r="N13" s="41">
        <v>7.24</v>
      </c>
      <c r="O13" s="42">
        <f>SUM(M13*N13)</f>
        <v>17675.4464</v>
      </c>
      <c r="P13" s="44"/>
      <c r="Q13" s="44"/>
      <c r="R13" s="68">
        <f t="shared" ref="R13:R27" si="17">SUM(130662/3218)*H13</f>
        <v>13541.2607209447</v>
      </c>
      <c r="S13" s="68"/>
      <c r="T13" s="69">
        <f t="shared" ref="T13:T27" si="18">SUM(320.61/3218)*H13</f>
        <v>33.2266733996271</v>
      </c>
      <c r="U13" s="68"/>
      <c r="V13" s="68"/>
      <c r="W13" s="68">
        <f t="shared" si="11"/>
        <v>13574.4873943443</v>
      </c>
      <c r="X13" s="70">
        <f t="shared" ref="X13:X27" si="19">SUM(2144.68/3218)*H13</f>
        <v>222.26562461156</v>
      </c>
      <c r="Y13" s="70"/>
      <c r="Z13" s="70"/>
      <c r="AA13" s="70">
        <f t="shared" si="12"/>
        <v>222.26562461156</v>
      </c>
      <c r="AB13" s="80">
        <v>7.24</v>
      </c>
      <c r="AC13" s="68">
        <f t="shared" si="13"/>
        <v>1609.20312218769</v>
      </c>
      <c r="AD13" s="68">
        <f t="shared" si="14"/>
        <v>15183.690516532</v>
      </c>
      <c r="AE13" s="68">
        <f t="shared" si="15"/>
        <v>2491.75588346799</v>
      </c>
    </row>
    <row r="14" customFormat="1" spans="1:31">
      <c r="A14" s="18"/>
      <c r="B14" s="19"/>
      <c r="C14" s="20">
        <v>240531000027</v>
      </c>
      <c r="D14" s="21">
        <v>45449</v>
      </c>
      <c r="E14" s="21" t="s">
        <v>48</v>
      </c>
      <c r="F14" s="19" t="s">
        <v>49</v>
      </c>
      <c r="G14" s="19" t="s">
        <v>61</v>
      </c>
      <c r="H14" s="19">
        <v>38</v>
      </c>
      <c r="I14" s="45"/>
      <c r="J14" s="46">
        <v>416898</v>
      </c>
      <c r="K14" s="40"/>
      <c r="L14" s="47">
        <f t="shared" si="10"/>
        <v>1498.71661214365</v>
      </c>
      <c r="M14" s="48">
        <v>278.17</v>
      </c>
      <c r="N14" s="41">
        <v>7.24</v>
      </c>
      <c r="O14" s="42">
        <f>SUM(M14*N14)</f>
        <v>2013.9508</v>
      </c>
      <c r="P14" s="44"/>
      <c r="Q14" s="44"/>
      <c r="R14" s="68">
        <f t="shared" si="17"/>
        <v>1542.93225605966</v>
      </c>
      <c r="S14" s="68"/>
      <c r="T14" s="69">
        <f t="shared" si="18"/>
        <v>3.78594779366066</v>
      </c>
      <c r="U14" s="68"/>
      <c r="V14" s="68"/>
      <c r="W14" s="68">
        <f t="shared" si="11"/>
        <v>1546.71820385332</v>
      </c>
      <c r="X14" s="70">
        <f t="shared" si="19"/>
        <v>25.3256183965196</v>
      </c>
      <c r="Y14" s="70"/>
      <c r="Z14" s="70"/>
      <c r="AA14" s="70">
        <f t="shared" si="12"/>
        <v>25.3256183965196</v>
      </c>
      <c r="AB14" s="80">
        <v>7.24</v>
      </c>
      <c r="AC14" s="68">
        <f t="shared" si="13"/>
        <v>183.357477190802</v>
      </c>
      <c r="AD14" s="68">
        <f t="shared" si="14"/>
        <v>1730.07568104413</v>
      </c>
      <c r="AE14" s="68">
        <f t="shared" si="15"/>
        <v>283.875118955873</v>
      </c>
    </row>
    <row r="15" customFormat="1" spans="1:31">
      <c r="A15" s="18"/>
      <c r="B15" s="19"/>
      <c r="C15" s="20">
        <v>240531000037</v>
      </c>
      <c r="D15" s="21">
        <v>45449</v>
      </c>
      <c r="E15" s="21" t="s">
        <v>44</v>
      </c>
      <c r="F15" s="19" t="s">
        <v>45</v>
      </c>
      <c r="G15" s="19" t="s">
        <v>62</v>
      </c>
      <c r="H15" s="19">
        <v>39</v>
      </c>
      <c r="I15" s="42"/>
      <c r="J15" s="46">
        <v>487872</v>
      </c>
      <c r="K15" s="40"/>
      <c r="L15" s="47">
        <f t="shared" si="10"/>
        <v>1584</v>
      </c>
      <c r="M15" s="48">
        <v>308</v>
      </c>
      <c r="N15" s="41">
        <v>7.24</v>
      </c>
      <c r="O15" s="42">
        <f>SUM(M15*N15)</f>
        <v>2229.92</v>
      </c>
      <c r="P15" s="44"/>
      <c r="Q15" s="44"/>
      <c r="R15" s="68">
        <f t="shared" si="17"/>
        <v>1583.53573648229</v>
      </c>
      <c r="S15" s="68"/>
      <c r="T15" s="69">
        <f t="shared" si="18"/>
        <v>3.88557799875699</v>
      </c>
      <c r="U15" s="68">
        <v>80</v>
      </c>
      <c r="V15" s="68"/>
      <c r="W15" s="68">
        <f t="shared" si="11"/>
        <v>1667.42131448104</v>
      </c>
      <c r="X15" s="70">
        <f t="shared" si="19"/>
        <v>25.9920820385332</v>
      </c>
      <c r="Y15" s="70"/>
      <c r="Z15" s="70"/>
      <c r="AA15" s="70">
        <f t="shared" si="12"/>
        <v>25.9920820385332</v>
      </c>
      <c r="AB15" s="80">
        <v>7.24</v>
      </c>
      <c r="AC15" s="68">
        <f t="shared" si="13"/>
        <v>188.182673958981</v>
      </c>
      <c r="AD15" s="68">
        <f t="shared" si="14"/>
        <v>1855.60398844002</v>
      </c>
      <c r="AE15" s="68">
        <f t="shared" si="15"/>
        <v>374.316011559975</v>
      </c>
    </row>
    <row r="16" customFormat="1" spans="1:31">
      <c r="A16" s="18"/>
      <c r="B16" s="19"/>
      <c r="C16" s="20">
        <v>240531000044</v>
      </c>
      <c r="D16" s="21">
        <v>45449</v>
      </c>
      <c r="E16" s="21" t="s">
        <v>48</v>
      </c>
      <c r="F16" s="19" t="s">
        <v>49</v>
      </c>
      <c r="G16" s="19" t="s">
        <v>63</v>
      </c>
      <c r="H16" s="19">
        <v>5</v>
      </c>
      <c r="I16" s="38">
        <v>290</v>
      </c>
      <c r="J16" s="39"/>
      <c r="K16" s="40"/>
      <c r="L16" s="19"/>
      <c r="M16" s="40"/>
      <c r="N16" s="41"/>
      <c r="O16" s="42">
        <f t="shared" si="16"/>
        <v>290</v>
      </c>
      <c r="P16" s="44"/>
      <c r="Q16" s="44"/>
      <c r="R16" s="68">
        <f t="shared" si="17"/>
        <v>203.017402113114</v>
      </c>
      <c r="S16" s="68"/>
      <c r="T16" s="69">
        <f t="shared" si="18"/>
        <v>0.498151025481666</v>
      </c>
      <c r="U16" s="68"/>
      <c r="V16" s="68"/>
      <c r="W16" s="68">
        <f t="shared" si="11"/>
        <v>203.515553138595</v>
      </c>
      <c r="X16" s="70">
        <f t="shared" si="19"/>
        <v>3.33231821006837</v>
      </c>
      <c r="Y16" s="70"/>
      <c r="Z16" s="70"/>
      <c r="AA16" s="70">
        <f t="shared" si="12"/>
        <v>3.33231821006837</v>
      </c>
      <c r="AB16" s="80">
        <v>7.24</v>
      </c>
      <c r="AC16" s="68">
        <f t="shared" si="13"/>
        <v>24.125983840895</v>
      </c>
      <c r="AD16" s="68">
        <f t="shared" si="14"/>
        <v>227.64153697949</v>
      </c>
      <c r="AE16" s="68">
        <f t="shared" si="15"/>
        <v>62.35846302051</v>
      </c>
    </row>
    <row r="17" customFormat="1" spans="1:31">
      <c r="A17" s="18"/>
      <c r="B17" s="19"/>
      <c r="C17" s="20">
        <v>240601000006</v>
      </c>
      <c r="D17" s="21">
        <v>45449</v>
      </c>
      <c r="E17" s="21" t="s">
        <v>41</v>
      </c>
      <c r="F17" s="19" t="s">
        <v>42</v>
      </c>
      <c r="G17" s="19" t="s">
        <v>64</v>
      </c>
      <c r="H17" s="19">
        <v>5.5</v>
      </c>
      <c r="I17" s="38">
        <v>322</v>
      </c>
      <c r="J17" s="39"/>
      <c r="K17" s="40"/>
      <c r="L17" s="19"/>
      <c r="M17" s="40"/>
      <c r="N17" s="41"/>
      <c r="O17" s="42">
        <f t="shared" si="16"/>
        <v>322</v>
      </c>
      <c r="P17" s="44"/>
      <c r="Q17" s="44"/>
      <c r="R17" s="68">
        <f t="shared" si="17"/>
        <v>223.319142324425</v>
      </c>
      <c r="S17" s="68"/>
      <c r="T17" s="69">
        <f t="shared" si="18"/>
        <v>0.547966128029832</v>
      </c>
      <c r="U17" s="68"/>
      <c r="V17" s="68"/>
      <c r="W17" s="68">
        <f t="shared" si="11"/>
        <v>223.867108452455</v>
      </c>
      <c r="X17" s="70">
        <f t="shared" si="19"/>
        <v>3.6655500310752</v>
      </c>
      <c r="Y17" s="70"/>
      <c r="Z17" s="70"/>
      <c r="AA17" s="70">
        <f t="shared" si="12"/>
        <v>3.6655500310752</v>
      </c>
      <c r="AB17" s="80">
        <v>7.24</v>
      </c>
      <c r="AC17" s="68">
        <f t="shared" si="13"/>
        <v>26.5385822249845</v>
      </c>
      <c r="AD17" s="68">
        <f t="shared" si="14"/>
        <v>250.405690677439</v>
      </c>
      <c r="AE17" s="68">
        <f t="shared" si="15"/>
        <v>71.594309322561</v>
      </c>
    </row>
    <row r="18" customFormat="1" spans="1:31">
      <c r="A18" s="18"/>
      <c r="B18" s="19"/>
      <c r="C18" s="20">
        <v>240601000011</v>
      </c>
      <c r="D18" s="21">
        <v>45449</v>
      </c>
      <c r="E18" s="21" t="s">
        <v>48</v>
      </c>
      <c r="F18" s="19" t="s">
        <v>49</v>
      </c>
      <c r="G18" s="19" t="s">
        <v>65</v>
      </c>
      <c r="H18" s="19">
        <v>1</v>
      </c>
      <c r="I18" s="38">
        <v>53</v>
      </c>
      <c r="J18" s="39"/>
      <c r="K18" s="40"/>
      <c r="L18" s="19"/>
      <c r="M18" s="40"/>
      <c r="N18" s="41"/>
      <c r="O18" s="42">
        <f t="shared" si="16"/>
        <v>53</v>
      </c>
      <c r="P18" s="44"/>
      <c r="Q18" s="44"/>
      <c r="R18" s="68">
        <f t="shared" si="17"/>
        <v>40.6034804226227</v>
      </c>
      <c r="S18" s="68"/>
      <c r="T18" s="69">
        <f t="shared" si="18"/>
        <v>0.0996302050963331</v>
      </c>
      <c r="U18" s="68"/>
      <c r="V18" s="68"/>
      <c r="W18" s="68">
        <f t="shared" si="11"/>
        <v>40.7031106277191</v>
      </c>
      <c r="X18" s="70">
        <f t="shared" si="19"/>
        <v>0.666463642013673</v>
      </c>
      <c r="Y18" s="70"/>
      <c r="Z18" s="70"/>
      <c r="AA18" s="70">
        <f t="shared" si="12"/>
        <v>0.666463642013673</v>
      </c>
      <c r="AB18" s="80">
        <v>7.24</v>
      </c>
      <c r="AC18" s="68">
        <f t="shared" si="13"/>
        <v>4.82519676817899</v>
      </c>
      <c r="AD18" s="68">
        <f t="shared" si="14"/>
        <v>45.5283073958981</v>
      </c>
      <c r="AE18" s="68">
        <f t="shared" si="15"/>
        <v>7.4716926041019</v>
      </c>
    </row>
    <row r="19" customFormat="1" spans="1:31">
      <c r="A19" s="18"/>
      <c r="B19" s="19"/>
      <c r="C19" s="20">
        <v>240601000012</v>
      </c>
      <c r="D19" s="21">
        <v>45449</v>
      </c>
      <c r="E19" s="21" t="s">
        <v>66</v>
      </c>
      <c r="F19" s="19" t="s">
        <v>67</v>
      </c>
      <c r="G19" s="19" t="s">
        <v>67</v>
      </c>
      <c r="H19" s="19">
        <v>2</v>
      </c>
      <c r="I19" s="38">
        <v>119</v>
      </c>
      <c r="J19" s="39"/>
      <c r="K19" s="40"/>
      <c r="L19" s="19"/>
      <c r="M19" s="40"/>
      <c r="N19" s="41"/>
      <c r="O19" s="42">
        <f t="shared" si="16"/>
        <v>119</v>
      </c>
      <c r="P19" s="44"/>
      <c r="Q19" s="44"/>
      <c r="R19" s="68">
        <f t="shared" si="17"/>
        <v>81.2069608452455</v>
      </c>
      <c r="S19" s="68"/>
      <c r="T19" s="69">
        <f t="shared" si="18"/>
        <v>0.199260410192666</v>
      </c>
      <c r="U19" s="68"/>
      <c r="V19" s="68"/>
      <c r="W19" s="68">
        <f t="shared" si="11"/>
        <v>81.4062212554382</v>
      </c>
      <c r="X19" s="70">
        <f t="shared" si="19"/>
        <v>1.33292728402735</v>
      </c>
      <c r="Y19" s="70"/>
      <c r="Z19" s="70"/>
      <c r="AA19" s="70">
        <f t="shared" si="12"/>
        <v>1.33292728402735</v>
      </c>
      <c r="AB19" s="80">
        <v>7.24</v>
      </c>
      <c r="AC19" s="68">
        <f t="shared" si="13"/>
        <v>9.65039353635798</v>
      </c>
      <c r="AD19" s="68">
        <f t="shared" si="14"/>
        <v>91.0566147917961</v>
      </c>
      <c r="AE19" s="68">
        <f t="shared" si="15"/>
        <v>27.9433852082039</v>
      </c>
    </row>
    <row r="20" customFormat="1" spans="1:31">
      <c r="A20" s="18"/>
      <c r="B20" s="19"/>
      <c r="C20" s="20">
        <v>240602000002</v>
      </c>
      <c r="D20" s="21">
        <v>45449</v>
      </c>
      <c r="E20" s="21" t="s">
        <v>66</v>
      </c>
      <c r="F20" s="19" t="s">
        <v>68</v>
      </c>
      <c r="G20" s="19" t="s">
        <v>69</v>
      </c>
      <c r="H20" s="19">
        <v>0.62</v>
      </c>
      <c r="I20" s="38">
        <v>67</v>
      </c>
      <c r="J20" s="39"/>
      <c r="K20" s="40"/>
      <c r="L20" s="19"/>
      <c r="M20" s="40"/>
      <c r="N20" s="41"/>
      <c r="O20" s="42">
        <f t="shared" si="16"/>
        <v>67</v>
      </c>
      <c r="P20" s="44"/>
      <c r="Q20" s="44"/>
      <c r="R20" s="68">
        <f t="shared" si="17"/>
        <v>25.1741578620261</v>
      </c>
      <c r="S20" s="68"/>
      <c r="T20" s="69">
        <f t="shared" si="18"/>
        <v>0.0617707271597265</v>
      </c>
      <c r="U20" s="68"/>
      <c r="V20" s="68"/>
      <c r="W20" s="68">
        <f t="shared" si="11"/>
        <v>25.2359285891858</v>
      </c>
      <c r="X20" s="70">
        <f t="shared" si="19"/>
        <v>0.413207458048477</v>
      </c>
      <c r="Y20" s="70"/>
      <c r="Z20" s="70"/>
      <c r="AA20" s="70">
        <f t="shared" si="12"/>
        <v>0.413207458048477</v>
      </c>
      <c r="AB20" s="80">
        <v>7.24</v>
      </c>
      <c r="AC20" s="68">
        <f t="shared" si="13"/>
        <v>2.99162199627098</v>
      </c>
      <c r="AD20" s="68">
        <f t="shared" si="14"/>
        <v>28.2275505854568</v>
      </c>
      <c r="AE20" s="68">
        <f t="shared" si="15"/>
        <v>38.7724494145432</v>
      </c>
    </row>
    <row r="21" customFormat="1" spans="1:31">
      <c r="A21" s="18"/>
      <c r="B21" s="19"/>
      <c r="C21" s="20">
        <v>240602000003</v>
      </c>
      <c r="D21" s="21">
        <v>45449</v>
      </c>
      <c r="E21" s="21" t="s">
        <v>66</v>
      </c>
      <c r="F21" s="19" t="s">
        <v>68</v>
      </c>
      <c r="G21" s="19" t="s">
        <v>69</v>
      </c>
      <c r="H21" s="19">
        <v>2.5</v>
      </c>
      <c r="I21" s="38">
        <v>163</v>
      </c>
      <c r="J21" s="39"/>
      <c r="K21" s="40"/>
      <c r="L21" s="19"/>
      <c r="M21" s="40"/>
      <c r="N21" s="41"/>
      <c r="O21" s="42">
        <f t="shared" si="16"/>
        <v>163</v>
      </c>
      <c r="P21" s="44"/>
      <c r="Q21" s="44"/>
      <c r="R21" s="68">
        <f t="shared" si="17"/>
        <v>101.508701056557</v>
      </c>
      <c r="S21" s="68"/>
      <c r="T21" s="69">
        <f t="shared" si="18"/>
        <v>0.249075512740833</v>
      </c>
      <c r="U21" s="68"/>
      <c r="V21" s="68"/>
      <c r="W21" s="68">
        <f t="shared" si="11"/>
        <v>101.757776569298</v>
      </c>
      <c r="X21" s="70">
        <f t="shared" si="19"/>
        <v>1.66615910503418</v>
      </c>
      <c r="Y21" s="70"/>
      <c r="Z21" s="70"/>
      <c r="AA21" s="70">
        <f t="shared" si="12"/>
        <v>1.66615910503418</v>
      </c>
      <c r="AB21" s="80">
        <v>7.24</v>
      </c>
      <c r="AC21" s="68">
        <f t="shared" si="13"/>
        <v>12.0629919204475</v>
      </c>
      <c r="AD21" s="68">
        <f t="shared" si="14"/>
        <v>113.820768489745</v>
      </c>
      <c r="AE21" s="68">
        <f t="shared" si="15"/>
        <v>49.179231510255</v>
      </c>
    </row>
    <row r="22" customFormat="1" spans="1:31">
      <c r="A22" s="18"/>
      <c r="B22" s="19"/>
      <c r="C22" s="20">
        <v>240602000005</v>
      </c>
      <c r="D22" s="21">
        <v>45449</v>
      </c>
      <c r="E22" s="21" t="s">
        <v>48</v>
      </c>
      <c r="F22" s="19" t="s">
        <v>49</v>
      </c>
      <c r="G22" s="19" t="s">
        <v>70</v>
      </c>
      <c r="H22" s="19">
        <v>31.5</v>
      </c>
      <c r="I22" s="45"/>
      <c r="J22" s="46">
        <v>345586.5</v>
      </c>
      <c r="K22" s="40"/>
      <c r="L22" s="47">
        <f t="shared" ref="L22:L26" si="20">SUM(J22/M22)</f>
        <v>1498.70549460081</v>
      </c>
      <c r="M22" s="48">
        <v>230.59</v>
      </c>
      <c r="N22" s="41">
        <v>7.24</v>
      </c>
      <c r="O22" s="42">
        <f>SUM(M22*N22)</f>
        <v>1669.4716</v>
      </c>
      <c r="P22" s="44"/>
      <c r="Q22" s="44"/>
      <c r="R22" s="68">
        <f t="shared" si="17"/>
        <v>1279.00963331262</v>
      </c>
      <c r="S22" s="68"/>
      <c r="T22" s="69">
        <f t="shared" si="18"/>
        <v>3.13835146053449</v>
      </c>
      <c r="U22" s="68"/>
      <c r="V22" s="68"/>
      <c r="W22" s="68">
        <f t="shared" si="11"/>
        <v>1282.14798477315</v>
      </c>
      <c r="X22" s="70">
        <f t="shared" si="19"/>
        <v>20.9936047234307</v>
      </c>
      <c r="Y22" s="70"/>
      <c r="Z22" s="70"/>
      <c r="AA22" s="70">
        <f t="shared" si="12"/>
        <v>20.9936047234307</v>
      </c>
      <c r="AB22" s="80">
        <v>7.24</v>
      </c>
      <c r="AC22" s="68">
        <f t="shared" si="13"/>
        <v>151.993698197638</v>
      </c>
      <c r="AD22" s="68">
        <f t="shared" si="14"/>
        <v>1434.14168297079</v>
      </c>
      <c r="AE22" s="68">
        <f t="shared" si="15"/>
        <v>235.329917029211</v>
      </c>
    </row>
    <row r="23" customFormat="1" spans="1:31">
      <c r="A23" s="18"/>
      <c r="B23" s="19"/>
      <c r="C23" s="20">
        <v>240602000011</v>
      </c>
      <c r="D23" s="21">
        <v>45449</v>
      </c>
      <c r="E23" s="21" t="s">
        <v>48</v>
      </c>
      <c r="F23" s="19" t="s">
        <v>49</v>
      </c>
      <c r="G23" s="19" t="s">
        <v>71</v>
      </c>
      <c r="H23" s="19">
        <v>1.5</v>
      </c>
      <c r="I23" s="38">
        <v>138</v>
      </c>
      <c r="J23" s="39"/>
      <c r="K23" s="40"/>
      <c r="L23" s="19"/>
      <c r="M23" s="40"/>
      <c r="N23" s="41"/>
      <c r="O23" s="42">
        <f t="shared" ref="O23:O29" si="21">SUM(I23)</f>
        <v>138</v>
      </c>
      <c r="P23" s="44"/>
      <c r="Q23" s="44"/>
      <c r="R23" s="68">
        <f t="shared" si="17"/>
        <v>60.9052206339341</v>
      </c>
      <c r="S23" s="68"/>
      <c r="T23" s="69">
        <f t="shared" si="18"/>
        <v>0.1494453076445</v>
      </c>
      <c r="U23" s="68"/>
      <c r="V23" s="69">
        <v>13</v>
      </c>
      <c r="W23" s="68">
        <f t="shared" si="11"/>
        <v>74.0546659415786</v>
      </c>
      <c r="X23" s="70">
        <f t="shared" si="19"/>
        <v>0.999695463020509</v>
      </c>
      <c r="Y23" s="70"/>
      <c r="Z23" s="70"/>
      <c r="AA23" s="70">
        <f t="shared" si="12"/>
        <v>0.999695463020509</v>
      </c>
      <c r="AB23" s="80">
        <v>7.24</v>
      </c>
      <c r="AC23" s="68">
        <f t="shared" si="13"/>
        <v>7.23779515226849</v>
      </c>
      <c r="AD23" s="68">
        <f t="shared" si="14"/>
        <v>81.2924610938471</v>
      </c>
      <c r="AE23" s="68">
        <f t="shared" si="15"/>
        <v>56.7075389061529</v>
      </c>
    </row>
    <row r="24" customFormat="1" spans="1:31">
      <c r="A24" s="18"/>
      <c r="B24" s="19"/>
      <c r="C24" s="20">
        <v>240602000013</v>
      </c>
      <c r="D24" s="21">
        <v>45449</v>
      </c>
      <c r="E24" s="21" t="s">
        <v>48</v>
      </c>
      <c r="F24" s="19" t="s">
        <v>49</v>
      </c>
      <c r="G24" s="19" t="s">
        <v>61</v>
      </c>
      <c r="H24" s="19">
        <v>0.92</v>
      </c>
      <c r="I24" s="45"/>
      <c r="J24" s="46">
        <v>10971</v>
      </c>
      <c r="K24" s="40"/>
      <c r="L24" s="47">
        <f t="shared" si="20"/>
        <v>1498.77049180328</v>
      </c>
      <c r="M24" s="48">
        <v>7.32</v>
      </c>
      <c r="N24" s="41">
        <v>7.24</v>
      </c>
      <c r="O24" s="42">
        <f>SUM(M24*N24)</f>
        <v>52.9968</v>
      </c>
      <c r="P24" s="44"/>
      <c r="Q24" s="44"/>
      <c r="R24" s="68">
        <f t="shared" si="17"/>
        <v>37.3552019888129</v>
      </c>
      <c r="S24" s="68"/>
      <c r="T24" s="69">
        <f t="shared" si="18"/>
        <v>0.0916597886886265</v>
      </c>
      <c r="U24" s="68"/>
      <c r="V24" s="68"/>
      <c r="W24" s="68">
        <f t="shared" si="11"/>
        <v>37.4468617775016</v>
      </c>
      <c r="X24" s="70">
        <f t="shared" si="19"/>
        <v>0.613146550652579</v>
      </c>
      <c r="Y24" s="70"/>
      <c r="Z24" s="70"/>
      <c r="AA24" s="70">
        <f t="shared" si="12"/>
        <v>0.613146550652579</v>
      </c>
      <c r="AB24" s="80">
        <v>7.24</v>
      </c>
      <c r="AC24" s="68">
        <f t="shared" si="13"/>
        <v>4.43918102672467</v>
      </c>
      <c r="AD24" s="68">
        <f t="shared" si="14"/>
        <v>41.8860428042262</v>
      </c>
      <c r="AE24" s="68">
        <f t="shared" si="15"/>
        <v>11.1107571957738</v>
      </c>
    </row>
    <row r="25" customFormat="1" spans="1:31">
      <c r="A25" s="18"/>
      <c r="B25" s="19"/>
      <c r="C25" s="20">
        <v>240603000013</v>
      </c>
      <c r="D25" s="21">
        <v>45449</v>
      </c>
      <c r="E25" s="21" t="s">
        <v>37</v>
      </c>
      <c r="F25" s="19" t="s">
        <v>37</v>
      </c>
      <c r="G25" s="19" t="s">
        <v>72</v>
      </c>
      <c r="H25" s="19">
        <v>1756</v>
      </c>
      <c r="I25" s="38">
        <v>91396</v>
      </c>
      <c r="J25" s="39"/>
      <c r="K25" s="40"/>
      <c r="L25" s="19"/>
      <c r="M25" s="40"/>
      <c r="N25" s="41"/>
      <c r="O25" s="42">
        <f t="shared" si="21"/>
        <v>91396</v>
      </c>
      <c r="P25" s="44"/>
      <c r="Q25" s="44"/>
      <c r="R25" s="68">
        <f t="shared" si="17"/>
        <v>71299.7116221255</v>
      </c>
      <c r="S25" s="68"/>
      <c r="T25" s="69">
        <f t="shared" si="18"/>
        <v>174.950640149161</v>
      </c>
      <c r="U25" s="69">
        <f>SUM(1160+80+120+130)</f>
        <v>1490</v>
      </c>
      <c r="V25" s="68"/>
      <c r="W25" s="68">
        <f t="shared" si="11"/>
        <v>72964.6622622747</v>
      </c>
      <c r="X25" s="70">
        <f t="shared" si="19"/>
        <v>1170.31015537601</v>
      </c>
      <c r="Y25" s="70"/>
      <c r="Z25" s="70"/>
      <c r="AA25" s="70">
        <f t="shared" si="12"/>
        <v>1170.31015537601</v>
      </c>
      <c r="AB25" s="80">
        <v>7.24</v>
      </c>
      <c r="AC25" s="68">
        <f t="shared" si="13"/>
        <v>8473.04552492231</v>
      </c>
      <c r="AD25" s="68">
        <f t="shared" si="14"/>
        <v>81437.707787197</v>
      </c>
      <c r="AE25" s="68">
        <f t="shared" ref="AE25:AE38" si="22">SUM(O25-AD25)</f>
        <v>9958.29221280297</v>
      </c>
    </row>
    <row r="26" customFormat="1" spans="1:31">
      <c r="A26" s="18"/>
      <c r="B26" s="19"/>
      <c r="C26" s="20">
        <v>240603000016</v>
      </c>
      <c r="D26" s="21">
        <v>45449</v>
      </c>
      <c r="E26" s="21" t="s">
        <v>48</v>
      </c>
      <c r="F26" s="19" t="s">
        <v>49</v>
      </c>
      <c r="G26" s="19" t="s">
        <v>73</v>
      </c>
      <c r="H26" s="19">
        <v>116.5</v>
      </c>
      <c r="I26" s="45"/>
      <c r="J26" s="46">
        <v>1346041</v>
      </c>
      <c r="K26" s="40"/>
      <c r="L26" s="47">
        <f t="shared" si="20"/>
        <v>1578.32276069088</v>
      </c>
      <c r="M26" s="48">
        <v>852.83</v>
      </c>
      <c r="N26" s="41">
        <v>7.24</v>
      </c>
      <c r="O26" s="42">
        <f>SUM(M26*N26)</f>
        <v>6174.4892</v>
      </c>
      <c r="P26" s="44"/>
      <c r="Q26" s="44"/>
      <c r="R26" s="68">
        <f t="shared" si="17"/>
        <v>4730.30546923555</v>
      </c>
      <c r="S26" s="68"/>
      <c r="T26" s="69">
        <f t="shared" si="18"/>
        <v>11.6069188937228</v>
      </c>
      <c r="U26" s="68"/>
      <c r="V26" s="68"/>
      <c r="W26" s="68">
        <f t="shared" si="11"/>
        <v>4741.91238812927</v>
      </c>
      <c r="X26" s="70">
        <f t="shared" si="19"/>
        <v>77.6430142945929</v>
      </c>
      <c r="Y26" s="70"/>
      <c r="Z26" s="70"/>
      <c r="AA26" s="70">
        <f t="shared" si="12"/>
        <v>77.6430142945929</v>
      </c>
      <c r="AB26" s="80">
        <v>7.24</v>
      </c>
      <c r="AC26" s="68">
        <f t="shared" si="13"/>
        <v>562.135423492853</v>
      </c>
      <c r="AD26" s="68">
        <f t="shared" ref="AD26:AD38" si="23">SUM(W26+AC26)</f>
        <v>5304.04781162213</v>
      </c>
      <c r="AE26" s="68">
        <f t="shared" si="22"/>
        <v>870.441388377874</v>
      </c>
    </row>
    <row r="27" customFormat="1" spans="1:31">
      <c r="A27" s="18"/>
      <c r="B27" s="19"/>
      <c r="C27" s="20">
        <v>240603000028</v>
      </c>
      <c r="D27" s="21">
        <v>45449</v>
      </c>
      <c r="E27" s="21" t="s">
        <v>41</v>
      </c>
      <c r="F27" s="19" t="s">
        <v>42</v>
      </c>
      <c r="G27" s="19" t="s">
        <v>74</v>
      </c>
      <c r="H27" s="19">
        <v>159</v>
      </c>
      <c r="I27" s="38">
        <v>8760.9</v>
      </c>
      <c r="J27" s="39"/>
      <c r="K27" s="40"/>
      <c r="L27" s="19"/>
      <c r="M27" s="40"/>
      <c r="N27" s="41"/>
      <c r="O27" s="42">
        <f t="shared" si="21"/>
        <v>8760.9</v>
      </c>
      <c r="P27" s="49"/>
      <c r="Q27" s="49"/>
      <c r="R27" s="68">
        <f t="shared" si="17"/>
        <v>6455.95338719702</v>
      </c>
      <c r="S27" s="68"/>
      <c r="T27" s="69">
        <f t="shared" si="18"/>
        <v>15.841202610317</v>
      </c>
      <c r="U27" s="68"/>
      <c r="V27" s="68"/>
      <c r="W27" s="68">
        <f t="shared" ref="W27:W38" si="24">SUM(R27:V27)</f>
        <v>6471.79458980734</v>
      </c>
      <c r="X27" s="70">
        <f t="shared" si="19"/>
        <v>105.967719080174</v>
      </c>
      <c r="Y27" s="70"/>
      <c r="Z27" s="70"/>
      <c r="AA27" s="70">
        <f t="shared" ref="AA27:AA38" si="25">SUM(X27:Z27)</f>
        <v>105.967719080174</v>
      </c>
      <c r="AB27" s="80">
        <v>7.24</v>
      </c>
      <c r="AC27" s="68">
        <f t="shared" ref="AC27:AC38" si="26">SUM(AA27*AB27)</f>
        <v>767.20628614046</v>
      </c>
      <c r="AD27" s="68">
        <f t="shared" si="23"/>
        <v>7239.0008759478</v>
      </c>
      <c r="AE27" s="68">
        <f t="shared" si="22"/>
        <v>1521.8991240522</v>
      </c>
    </row>
    <row r="28" customFormat="1" spans="1:31">
      <c r="A28" s="18" t="s">
        <v>75</v>
      </c>
      <c r="B28" s="19" t="s">
        <v>76</v>
      </c>
      <c r="C28" s="20">
        <v>240530000023</v>
      </c>
      <c r="D28" s="21">
        <v>45450</v>
      </c>
      <c r="E28" s="21" t="s">
        <v>41</v>
      </c>
      <c r="F28" s="19" t="s">
        <v>42</v>
      </c>
      <c r="G28" s="19" t="s">
        <v>77</v>
      </c>
      <c r="H28" s="19">
        <v>0.92</v>
      </c>
      <c r="I28" s="38">
        <v>145</v>
      </c>
      <c r="J28" s="39"/>
      <c r="K28" s="40"/>
      <c r="L28" s="19"/>
      <c r="M28" s="40"/>
      <c r="N28" s="41"/>
      <c r="O28" s="42">
        <f t="shared" si="21"/>
        <v>145</v>
      </c>
      <c r="P28" s="43">
        <f>SUM(O28:O38)</f>
        <v>4875.118</v>
      </c>
      <c r="Q28" s="43" t="s">
        <v>40</v>
      </c>
      <c r="R28" s="68">
        <f>SUM(2400/32)*H28</f>
        <v>69</v>
      </c>
      <c r="S28" s="68"/>
      <c r="T28" s="69">
        <f>SUM(54.77/32)*H28</f>
        <v>1.5746375</v>
      </c>
      <c r="U28" s="68"/>
      <c r="V28" s="68"/>
      <c r="W28" s="68">
        <f t="shared" si="24"/>
        <v>70.5746375</v>
      </c>
      <c r="X28" s="70">
        <f>SUM(130.24/32)*H28</f>
        <v>3.7444</v>
      </c>
      <c r="Y28" s="70"/>
      <c r="Z28" s="70"/>
      <c r="AA28" s="70">
        <f t="shared" si="25"/>
        <v>3.7444</v>
      </c>
      <c r="AB28" s="80">
        <v>7.24</v>
      </c>
      <c r="AC28" s="68">
        <f t="shared" si="26"/>
        <v>27.109456</v>
      </c>
      <c r="AD28" s="68">
        <f t="shared" si="23"/>
        <v>97.6840935</v>
      </c>
      <c r="AE28" s="68">
        <f t="shared" si="22"/>
        <v>47.3159065</v>
      </c>
    </row>
    <row r="29" customFormat="1" spans="1:31">
      <c r="A29" s="18"/>
      <c r="B29" s="19"/>
      <c r="C29" s="20">
        <v>240531000008</v>
      </c>
      <c r="D29" s="21">
        <v>45450</v>
      </c>
      <c r="E29" s="21" t="s">
        <v>48</v>
      </c>
      <c r="F29" s="19" t="s">
        <v>49</v>
      </c>
      <c r="G29" s="19" t="s">
        <v>78</v>
      </c>
      <c r="H29" s="19">
        <v>3.5</v>
      </c>
      <c r="I29" s="38">
        <v>417.5</v>
      </c>
      <c r="J29" s="39"/>
      <c r="K29" s="40"/>
      <c r="L29" s="19"/>
      <c r="M29" s="40"/>
      <c r="N29" s="41"/>
      <c r="O29" s="42">
        <f t="shared" si="21"/>
        <v>417.5</v>
      </c>
      <c r="P29" s="44"/>
      <c r="Q29" s="44"/>
      <c r="R29" s="68">
        <f t="shared" ref="R29:R44" si="27">SUM(2400/32)*H29</f>
        <v>262.5</v>
      </c>
      <c r="S29" s="68"/>
      <c r="T29" s="69">
        <f t="shared" ref="T29:T38" si="28">SUM(54.77/32)*H29</f>
        <v>5.99046875</v>
      </c>
      <c r="U29" s="68"/>
      <c r="V29" s="68"/>
      <c r="W29" s="68">
        <f t="shared" si="24"/>
        <v>268.49046875</v>
      </c>
      <c r="X29" s="70">
        <f t="shared" ref="X29:X38" si="29">SUM(130.24/32)*H29</f>
        <v>14.245</v>
      </c>
      <c r="Y29" s="70"/>
      <c r="Z29" s="70"/>
      <c r="AA29" s="70">
        <f t="shared" si="25"/>
        <v>14.245</v>
      </c>
      <c r="AB29" s="80">
        <v>7.24</v>
      </c>
      <c r="AC29" s="68">
        <f t="shared" si="26"/>
        <v>103.1338</v>
      </c>
      <c r="AD29" s="68">
        <f t="shared" si="23"/>
        <v>371.62426875</v>
      </c>
      <c r="AE29" s="68">
        <f t="shared" si="22"/>
        <v>45.87573125</v>
      </c>
    </row>
    <row r="30" customFormat="1" spans="1:31">
      <c r="A30" s="18"/>
      <c r="B30" s="19"/>
      <c r="C30" s="20">
        <v>240602000004</v>
      </c>
      <c r="D30" s="21">
        <v>45450</v>
      </c>
      <c r="E30" s="21" t="s">
        <v>48</v>
      </c>
      <c r="F30" s="19" t="s">
        <v>79</v>
      </c>
      <c r="G30" s="19" t="s">
        <v>79</v>
      </c>
      <c r="H30" s="19">
        <v>3</v>
      </c>
      <c r="I30" s="42"/>
      <c r="J30" s="46">
        <v>75100</v>
      </c>
      <c r="K30" s="40"/>
      <c r="L30" s="47">
        <f>SUM(J30/M30)</f>
        <v>1502</v>
      </c>
      <c r="M30" s="48">
        <v>50</v>
      </c>
      <c r="N30" s="41">
        <v>7.24</v>
      </c>
      <c r="O30" s="42">
        <f>SUM(M30*N30)</f>
        <v>362</v>
      </c>
      <c r="P30" s="44"/>
      <c r="Q30" s="44"/>
      <c r="R30" s="68">
        <f t="shared" si="27"/>
        <v>225</v>
      </c>
      <c r="S30" s="68"/>
      <c r="T30" s="69">
        <f t="shared" si="28"/>
        <v>5.1346875</v>
      </c>
      <c r="U30" s="68"/>
      <c r="V30" s="68"/>
      <c r="W30" s="68">
        <f t="shared" si="24"/>
        <v>230.1346875</v>
      </c>
      <c r="X30" s="70">
        <f t="shared" si="29"/>
        <v>12.21</v>
      </c>
      <c r="Y30" s="70"/>
      <c r="Z30" s="70"/>
      <c r="AA30" s="70">
        <f t="shared" si="25"/>
        <v>12.21</v>
      </c>
      <c r="AB30" s="80">
        <v>7.24</v>
      </c>
      <c r="AC30" s="68">
        <f t="shared" si="26"/>
        <v>88.4004</v>
      </c>
      <c r="AD30" s="68">
        <f t="shared" si="23"/>
        <v>318.5350875</v>
      </c>
      <c r="AE30" s="68">
        <f t="shared" si="22"/>
        <v>43.4649125</v>
      </c>
    </row>
    <row r="31" customFormat="1" spans="1:31">
      <c r="A31" s="18"/>
      <c r="B31" s="19"/>
      <c r="C31" s="20">
        <v>240602000008</v>
      </c>
      <c r="D31" s="21">
        <v>45450</v>
      </c>
      <c r="E31" s="21" t="s">
        <v>48</v>
      </c>
      <c r="F31" s="19" t="s">
        <v>49</v>
      </c>
      <c r="G31" s="19" t="s">
        <v>80</v>
      </c>
      <c r="H31" s="19">
        <v>0.62</v>
      </c>
      <c r="I31" s="45"/>
      <c r="J31" s="46">
        <v>36320</v>
      </c>
      <c r="K31" s="40"/>
      <c r="L31" s="47">
        <f>SUM(J31/M31)</f>
        <v>1644.1828881847</v>
      </c>
      <c r="M31" s="48">
        <v>22.09</v>
      </c>
      <c r="N31" s="41">
        <v>7.24</v>
      </c>
      <c r="O31" s="42">
        <f>SUM(M31*N31)</f>
        <v>159.9316</v>
      </c>
      <c r="P31" s="44"/>
      <c r="Q31" s="44"/>
      <c r="R31" s="68">
        <f t="shared" si="27"/>
        <v>46.5</v>
      </c>
      <c r="S31" s="68"/>
      <c r="T31" s="69">
        <f t="shared" si="28"/>
        <v>1.06116875</v>
      </c>
      <c r="U31" s="68"/>
      <c r="V31" s="68"/>
      <c r="W31" s="68">
        <f t="shared" si="24"/>
        <v>47.56116875</v>
      </c>
      <c r="X31" s="70">
        <f t="shared" si="29"/>
        <v>2.5234</v>
      </c>
      <c r="Y31" s="70"/>
      <c r="Z31" s="70"/>
      <c r="AA31" s="70">
        <f t="shared" si="25"/>
        <v>2.5234</v>
      </c>
      <c r="AB31" s="80">
        <v>7.24</v>
      </c>
      <c r="AC31" s="68">
        <f t="shared" si="26"/>
        <v>18.269416</v>
      </c>
      <c r="AD31" s="68">
        <f t="shared" si="23"/>
        <v>65.83058475</v>
      </c>
      <c r="AE31" s="68">
        <f t="shared" si="22"/>
        <v>94.10101525</v>
      </c>
    </row>
    <row r="32" customFormat="1" spans="1:31">
      <c r="A32" s="18"/>
      <c r="B32" s="19"/>
      <c r="C32" s="20">
        <v>240602000009</v>
      </c>
      <c r="D32" s="21">
        <v>45450</v>
      </c>
      <c r="E32" s="21" t="s">
        <v>37</v>
      </c>
      <c r="F32" s="19" t="s">
        <v>38</v>
      </c>
      <c r="G32" s="19" t="s">
        <v>39</v>
      </c>
      <c r="H32" s="19">
        <v>6.5</v>
      </c>
      <c r="I32" s="38">
        <v>780</v>
      </c>
      <c r="J32" s="39"/>
      <c r="K32" s="40"/>
      <c r="L32" s="19"/>
      <c r="M32" s="40"/>
      <c r="N32" s="41"/>
      <c r="O32" s="42">
        <f t="shared" ref="O32:O36" si="30">SUM(I32)</f>
        <v>780</v>
      </c>
      <c r="P32" s="44"/>
      <c r="Q32" s="44"/>
      <c r="R32" s="68">
        <f t="shared" si="27"/>
        <v>487.5</v>
      </c>
      <c r="S32" s="68"/>
      <c r="T32" s="69">
        <f t="shared" si="28"/>
        <v>11.12515625</v>
      </c>
      <c r="U32" s="68"/>
      <c r="V32" s="68"/>
      <c r="W32" s="68">
        <f t="shared" si="24"/>
        <v>498.62515625</v>
      </c>
      <c r="X32" s="70">
        <f t="shared" si="29"/>
        <v>26.455</v>
      </c>
      <c r="Y32" s="70"/>
      <c r="Z32" s="70"/>
      <c r="AA32" s="70">
        <f t="shared" si="25"/>
        <v>26.455</v>
      </c>
      <c r="AB32" s="80">
        <v>7.24</v>
      </c>
      <c r="AC32" s="68">
        <f t="shared" si="26"/>
        <v>191.5342</v>
      </c>
      <c r="AD32" s="68">
        <f t="shared" si="23"/>
        <v>690.15935625</v>
      </c>
      <c r="AE32" s="68">
        <f t="shared" si="22"/>
        <v>89.84064375</v>
      </c>
    </row>
    <row r="33" customFormat="1" spans="1:31">
      <c r="A33" s="18"/>
      <c r="B33" s="19"/>
      <c r="C33" s="20">
        <v>240604000011</v>
      </c>
      <c r="D33" s="21">
        <v>45450</v>
      </c>
      <c r="E33" s="21" t="s">
        <v>51</v>
      </c>
      <c r="F33" s="19" t="s">
        <v>52</v>
      </c>
      <c r="G33" s="19" t="s">
        <v>54</v>
      </c>
      <c r="H33" s="19">
        <v>4.5</v>
      </c>
      <c r="I33" s="38">
        <v>517.5</v>
      </c>
      <c r="J33" s="39"/>
      <c r="K33" s="40"/>
      <c r="L33" s="19"/>
      <c r="M33" s="40"/>
      <c r="N33" s="41"/>
      <c r="O33" s="42">
        <f t="shared" si="30"/>
        <v>517.5</v>
      </c>
      <c r="P33" s="44"/>
      <c r="Q33" s="44"/>
      <c r="R33" s="68">
        <f t="shared" si="27"/>
        <v>337.5</v>
      </c>
      <c r="S33" s="68"/>
      <c r="T33" s="69">
        <f t="shared" si="28"/>
        <v>7.70203125</v>
      </c>
      <c r="U33" s="68"/>
      <c r="V33" s="68"/>
      <c r="W33" s="68">
        <f t="shared" si="24"/>
        <v>345.20203125</v>
      </c>
      <c r="X33" s="70">
        <f t="shared" si="29"/>
        <v>18.315</v>
      </c>
      <c r="Y33" s="70"/>
      <c r="Z33" s="70"/>
      <c r="AA33" s="70">
        <f t="shared" si="25"/>
        <v>18.315</v>
      </c>
      <c r="AB33" s="80">
        <v>7.24</v>
      </c>
      <c r="AC33" s="68">
        <f t="shared" si="26"/>
        <v>132.6006</v>
      </c>
      <c r="AD33" s="68">
        <f t="shared" si="23"/>
        <v>477.80263125</v>
      </c>
      <c r="AE33" s="68">
        <f t="shared" si="22"/>
        <v>39.69736875</v>
      </c>
    </row>
    <row r="34" customFormat="1" spans="1:31">
      <c r="A34" s="18"/>
      <c r="B34" s="19"/>
      <c r="C34" s="20">
        <v>240604000021</v>
      </c>
      <c r="D34" s="21">
        <v>45450</v>
      </c>
      <c r="E34" s="21" t="s">
        <v>44</v>
      </c>
      <c r="F34" s="19" t="s">
        <v>45</v>
      </c>
      <c r="G34" s="19" t="s">
        <v>46</v>
      </c>
      <c r="H34" s="19">
        <v>0.67</v>
      </c>
      <c r="I34" s="38">
        <v>115</v>
      </c>
      <c r="J34" s="39"/>
      <c r="K34" s="40"/>
      <c r="L34" s="19"/>
      <c r="M34" s="40"/>
      <c r="N34" s="41"/>
      <c r="O34" s="42">
        <f t="shared" si="30"/>
        <v>115</v>
      </c>
      <c r="P34" s="44"/>
      <c r="Q34" s="44"/>
      <c r="R34" s="68">
        <f t="shared" si="27"/>
        <v>50.25</v>
      </c>
      <c r="S34" s="68"/>
      <c r="T34" s="69">
        <f t="shared" si="28"/>
        <v>1.146746875</v>
      </c>
      <c r="U34" s="68"/>
      <c r="V34" s="68"/>
      <c r="W34" s="68">
        <f t="shared" si="24"/>
        <v>51.396746875</v>
      </c>
      <c r="X34" s="70">
        <f t="shared" si="29"/>
        <v>2.7269</v>
      </c>
      <c r="Y34" s="70"/>
      <c r="Z34" s="70"/>
      <c r="AA34" s="70">
        <f t="shared" si="25"/>
        <v>2.7269</v>
      </c>
      <c r="AB34" s="80">
        <v>7.24</v>
      </c>
      <c r="AC34" s="68">
        <f t="shared" si="26"/>
        <v>19.742756</v>
      </c>
      <c r="AD34" s="68">
        <f t="shared" si="23"/>
        <v>71.139502875</v>
      </c>
      <c r="AE34" s="68">
        <f t="shared" si="22"/>
        <v>43.860497125</v>
      </c>
    </row>
    <row r="35" customFormat="1" spans="1:31">
      <c r="A35" s="18"/>
      <c r="B35" s="19"/>
      <c r="C35" s="20">
        <v>240604000029</v>
      </c>
      <c r="D35" s="21">
        <v>45450</v>
      </c>
      <c r="E35" s="21" t="s">
        <v>51</v>
      </c>
      <c r="F35" s="19" t="s">
        <v>52</v>
      </c>
      <c r="G35" s="19" t="s">
        <v>81</v>
      </c>
      <c r="H35" s="19">
        <v>0.14</v>
      </c>
      <c r="I35" s="38">
        <v>120</v>
      </c>
      <c r="J35" s="39"/>
      <c r="K35" s="40"/>
      <c r="L35" s="19"/>
      <c r="M35" s="40"/>
      <c r="N35" s="41"/>
      <c r="O35" s="42">
        <f t="shared" si="30"/>
        <v>120</v>
      </c>
      <c r="P35" s="44"/>
      <c r="Q35" s="44"/>
      <c r="R35" s="68">
        <f t="shared" si="27"/>
        <v>10.5</v>
      </c>
      <c r="S35" s="68"/>
      <c r="T35" s="69">
        <f t="shared" si="28"/>
        <v>0.23961875</v>
      </c>
      <c r="U35" s="68"/>
      <c r="V35" s="68"/>
      <c r="W35" s="68">
        <f t="shared" si="24"/>
        <v>10.73961875</v>
      </c>
      <c r="X35" s="70">
        <f t="shared" si="29"/>
        <v>0.5698</v>
      </c>
      <c r="Y35" s="70"/>
      <c r="Z35" s="70"/>
      <c r="AA35" s="70">
        <f t="shared" si="25"/>
        <v>0.5698</v>
      </c>
      <c r="AB35" s="80">
        <v>7.24</v>
      </c>
      <c r="AC35" s="68">
        <f t="shared" si="26"/>
        <v>4.125352</v>
      </c>
      <c r="AD35" s="68">
        <f t="shared" si="23"/>
        <v>14.86497075</v>
      </c>
      <c r="AE35" s="68">
        <f t="shared" si="22"/>
        <v>105.13502925</v>
      </c>
    </row>
    <row r="36" customFormat="1" spans="1:31">
      <c r="A36" s="18"/>
      <c r="B36" s="19"/>
      <c r="C36" s="20">
        <v>240605000026</v>
      </c>
      <c r="D36" s="21">
        <v>45450</v>
      </c>
      <c r="E36" s="21" t="s">
        <v>44</v>
      </c>
      <c r="F36" s="19" t="s">
        <v>45</v>
      </c>
      <c r="G36" s="19" t="s">
        <v>82</v>
      </c>
      <c r="H36" s="19">
        <v>2.5</v>
      </c>
      <c r="I36" s="38">
        <v>990</v>
      </c>
      <c r="J36" s="39"/>
      <c r="K36" s="40"/>
      <c r="L36" s="19"/>
      <c r="M36" s="40"/>
      <c r="N36" s="41"/>
      <c r="O36" s="42">
        <f t="shared" si="30"/>
        <v>990</v>
      </c>
      <c r="P36" s="44"/>
      <c r="Q36" s="44"/>
      <c r="R36" s="68">
        <f t="shared" si="27"/>
        <v>187.5</v>
      </c>
      <c r="S36" s="68"/>
      <c r="T36" s="69">
        <f t="shared" si="28"/>
        <v>4.27890625</v>
      </c>
      <c r="U36" s="68"/>
      <c r="V36" s="68"/>
      <c r="W36" s="68">
        <f t="shared" si="24"/>
        <v>191.77890625</v>
      </c>
      <c r="X36" s="70">
        <f t="shared" si="29"/>
        <v>10.175</v>
      </c>
      <c r="Y36" s="70"/>
      <c r="Z36" s="70"/>
      <c r="AA36" s="70">
        <f t="shared" si="25"/>
        <v>10.175</v>
      </c>
      <c r="AB36" s="80">
        <v>7.24</v>
      </c>
      <c r="AC36" s="68">
        <f t="shared" si="26"/>
        <v>73.667</v>
      </c>
      <c r="AD36" s="68">
        <f t="shared" si="23"/>
        <v>265.44590625</v>
      </c>
      <c r="AE36" s="68">
        <f t="shared" si="22"/>
        <v>724.55409375</v>
      </c>
    </row>
    <row r="37" customFormat="1" spans="1:31">
      <c r="A37" s="18"/>
      <c r="B37" s="19"/>
      <c r="C37" s="20">
        <v>240606000010</v>
      </c>
      <c r="D37" s="21">
        <v>45450</v>
      </c>
      <c r="E37" s="21" t="s">
        <v>37</v>
      </c>
      <c r="F37" s="19" t="s">
        <v>83</v>
      </c>
      <c r="G37" s="19" t="s">
        <v>84</v>
      </c>
      <c r="H37" s="19">
        <v>5</v>
      </c>
      <c r="I37" s="42"/>
      <c r="J37" s="46">
        <v>119949.72</v>
      </c>
      <c r="K37" s="40"/>
      <c r="L37" s="47">
        <f>SUM(J37/M37)</f>
        <v>1502</v>
      </c>
      <c r="M37" s="48">
        <v>79.86</v>
      </c>
      <c r="N37" s="41">
        <v>7.24</v>
      </c>
      <c r="O37" s="42">
        <f>SUM(M37*N37)</f>
        <v>578.1864</v>
      </c>
      <c r="P37" s="44"/>
      <c r="Q37" s="44"/>
      <c r="R37" s="68">
        <f t="shared" si="27"/>
        <v>375</v>
      </c>
      <c r="S37" s="68"/>
      <c r="T37" s="69">
        <f t="shared" si="28"/>
        <v>8.5578125</v>
      </c>
      <c r="U37" s="68"/>
      <c r="V37" s="68"/>
      <c r="W37" s="68">
        <f t="shared" ref="W37:W44" si="31">SUM(R37:V37)</f>
        <v>383.5578125</v>
      </c>
      <c r="X37" s="70">
        <f t="shared" si="29"/>
        <v>20.35</v>
      </c>
      <c r="Y37" s="70"/>
      <c r="Z37" s="70"/>
      <c r="AA37" s="70">
        <f t="shared" si="25"/>
        <v>20.35</v>
      </c>
      <c r="AB37" s="80">
        <v>7.24</v>
      </c>
      <c r="AC37" s="68">
        <f t="shared" si="26"/>
        <v>147.334</v>
      </c>
      <c r="AD37" s="68">
        <f t="shared" si="23"/>
        <v>530.8918125</v>
      </c>
      <c r="AE37" s="68">
        <f t="shared" si="22"/>
        <v>47.2945875</v>
      </c>
    </row>
    <row r="38" customFormat="1" spans="1:31">
      <c r="A38" s="18"/>
      <c r="B38" s="19"/>
      <c r="C38" s="20">
        <v>240606000013</v>
      </c>
      <c r="D38" s="21">
        <v>45450</v>
      </c>
      <c r="E38" s="21" t="s">
        <v>85</v>
      </c>
      <c r="F38" s="19" t="s">
        <v>86</v>
      </c>
      <c r="G38" s="19" t="s">
        <v>87</v>
      </c>
      <c r="H38" s="19">
        <v>6</v>
      </c>
      <c r="I38" s="38">
        <v>690</v>
      </c>
      <c r="J38" s="39"/>
      <c r="K38" s="40"/>
      <c r="L38" s="19"/>
      <c r="M38" s="40"/>
      <c r="N38" s="41"/>
      <c r="O38" s="42">
        <f t="shared" ref="O38:O46" si="32">SUM(I38)</f>
        <v>690</v>
      </c>
      <c r="P38" s="49"/>
      <c r="Q38" s="49"/>
      <c r="R38" s="68">
        <f t="shared" si="27"/>
        <v>450</v>
      </c>
      <c r="S38" s="68"/>
      <c r="T38" s="69">
        <f t="shared" si="28"/>
        <v>10.269375</v>
      </c>
      <c r="U38" s="68"/>
      <c r="V38" s="68"/>
      <c r="W38" s="68">
        <f t="shared" si="31"/>
        <v>460.269375</v>
      </c>
      <c r="X38" s="70">
        <f t="shared" si="29"/>
        <v>24.42</v>
      </c>
      <c r="Y38" s="70"/>
      <c r="Z38" s="70"/>
      <c r="AA38" s="70">
        <f t="shared" si="25"/>
        <v>24.42</v>
      </c>
      <c r="AB38" s="80">
        <v>7.24</v>
      </c>
      <c r="AC38" s="68">
        <f t="shared" ref="AC38:AC44" si="33">SUM(AA38*AB38)</f>
        <v>176.8008</v>
      </c>
      <c r="AD38" s="68">
        <f t="shared" ref="AD38:AD44" si="34">SUM(W38+AC38)</f>
        <v>637.070175</v>
      </c>
      <c r="AE38" s="68">
        <f t="shared" ref="AE38:AE44" si="35">SUM(O38-AD38)</f>
        <v>52.9298249999999</v>
      </c>
    </row>
    <row r="39" customFormat="1" spans="1:31">
      <c r="A39" s="18" t="s">
        <v>88</v>
      </c>
      <c r="B39" s="19" t="s">
        <v>89</v>
      </c>
      <c r="C39" s="20">
        <v>240605000039</v>
      </c>
      <c r="D39" s="21">
        <v>45451</v>
      </c>
      <c r="E39" s="21" t="s">
        <v>41</v>
      </c>
      <c r="F39" s="19" t="s">
        <v>42</v>
      </c>
      <c r="G39" s="19" t="s">
        <v>90</v>
      </c>
      <c r="H39" s="19">
        <v>0.44</v>
      </c>
      <c r="I39" s="45"/>
      <c r="J39" s="46">
        <v>31050</v>
      </c>
      <c r="K39" s="40"/>
      <c r="L39" s="47">
        <f>SUM(J39/M39)</f>
        <v>1499.27571221632</v>
      </c>
      <c r="M39" s="48">
        <v>20.71</v>
      </c>
      <c r="N39" s="41">
        <v>7.24</v>
      </c>
      <c r="O39" s="42">
        <f>SUM(M39*N39)</f>
        <v>149.9404</v>
      </c>
      <c r="P39" s="43">
        <f>SUM(O39:O44)</f>
        <v>4614.9404</v>
      </c>
      <c r="Q39" s="43" t="s">
        <v>40</v>
      </c>
      <c r="R39" s="68">
        <f t="shared" si="27"/>
        <v>33</v>
      </c>
      <c r="S39" s="68"/>
      <c r="T39" s="68">
        <f t="shared" ref="T39:T44" si="36">SUM(54.19/32)*H39</f>
        <v>0.7451125</v>
      </c>
      <c r="U39" s="68"/>
      <c r="V39" s="68"/>
      <c r="W39" s="68">
        <f t="shared" si="31"/>
        <v>33.7451125</v>
      </c>
      <c r="X39" s="70">
        <f t="shared" ref="X39:X44" si="37">SUM(123.17/32)*H39</f>
        <v>1.6935875</v>
      </c>
      <c r="Y39" s="70"/>
      <c r="Z39" s="70"/>
      <c r="AA39" s="70">
        <f t="shared" ref="AA39:AA44" si="38">SUM(X39:Z39)</f>
        <v>1.6935875</v>
      </c>
      <c r="AB39" s="80">
        <v>7.24</v>
      </c>
      <c r="AC39" s="68">
        <f t="shared" si="33"/>
        <v>12.2615735</v>
      </c>
      <c r="AD39" s="68">
        <f t="shared" si="34"/>
        <v>46.006686</v>
      </c>
      <c r="AE39" s="68">
        <f t="shared" si="35"/>
        <v>103.933714</v>
      </c>
    </row>
    <row r="40" customFormat="1" spans="1:31">
      <c r="A40" s="18"/>
      <c r="B40" s="19"/>
      <c r="C40" s="20">
        <v>240605000047</v>
      </c>
      <c r="D40" s="21">
        <v>45451</v>
      </c>
      <c r="E40" s="21" t="s">
        <v>48</v>
      </c>
      <c r="F40" s="19" t="s">
        <v>49</v>
      </c>
      <c r="G40" s="19" t="s">
        <v>91</v>
      </c>
      <c r="H40" s="19">
        <v>8.5</v>
      </c>
      <c r="I40" s="38">
        <v>1600</v>
      </c>
      <c r="J40" s="39"/>
      <c r="K40" s="40"/>
      <c r="L40" s="19"/>
      <c r="M40" s="40"/>
      <c r="N40" s="41"/>
      <c r="O40" s="42">
        <f t="shared" si="32"/>
        <v>1600</v>
      </c>
      <c r="P40" s="44"/>
      <c r="Q40" s="44"/>
      <c r="R40" s="68">
        <f t="shared" si="27"/>
        <v>637.5</v>
      </c>
      <c r="S40" s="68"/>
      <c r="T40" s="68">
        <f t="shared" si="36"/>
        <v>14.39421875</v>
      </c>
      <c r="U40" s="68"/>
      <c r="V40" s="68"/>
      <c r="W40" s="68">
        <f t="shared" si="31"/>
        <v>651.89421875</v>
      </c>
      <c r="X40" s="70">
        <f t="shared" si="37"/>
        <v>32.71703125</v>
      </c>
      <c r="Y40" s="70"/>
      <c r="Z40" s="70"/>
      <c r="AA40" s="70">
        <f t="shared" si="38"/>
        <v>32.71703125</v>
      </c>
      <c r="AB40" s="80">
        <v>7.24</v>
      </c>
      <c r="AC40" s="68">
        <f t="shared" si="33"/>
        <v>236.87130625</v>
      </c>
      <c r="AD40" s="68">
        <f t="shared" si="34"/>
        <v>888.765525</v>
      </c>
      <c r="AE40" s="68">
        <f t="shared" si="35"/>
        <v>711.234475</v>
      </c>
    </row>
    <row r="41" customFormat="1" spans="1:31">
      <c r="A41" s="18"/>
      <c r="B41" s="19"/>
      <c r="C41" s="20">
        <v>240606000011</v>
      </c>
      <c r="D41" s="21">
        <v>45451</v>
      </c>
      <c r="E41" s="21" t="s">
        <v>51</v>
      </c>
      <c r="F41" s="19" t="s">
        <v>52</v>
      </c>
      <c r="G41" s="19" t="s">
        <v>92</v>
      </c>
      <c r="H41" s="19">
        <v>0.54</v>
      </c>
      <c r="I41" s="38">
        <v>115</v>
      </c>
      <c r="J41" s="39"/>
      <c r="K41" s="40"/>
      <c r="L41" s="19"/>
      <c r="M41" s="40"/>
      <c r="N41" s="41"/>
      <c r="O41" s="42">
        <f t="shared" si="32"/>
        <v>115</v>
      </c>
      <c r="P41" s="44"/>
      <c r="Q41" s="44"/>
      <c r="R41" s="68">
        <f t="shared" si="27"/>
        <v>40.5</v>
      </c>
      <c r="S41" s="68"/>
      <c r="T41" s="68">
        <f t="shared" si="36"/>
        <v>0.91445625</v>
      </c>
      <c r="U41" s="68"/>
      <c r="V41" s="68"/>
      <c r="W41" s="68">
        <f t="shared" si="31"/>
        <v>41.41445625</v>
      </c>
      <c r="X41" s="70">
        <f t="shared" si="37"/>
        <v>2.07849375</v>
      </c>
      <c r="Y41" s="70"/>
      <c r="Z41" s="70"/>
      <c r="AA41" s="70">
        <f t="shared" si="38"/>
        <v>2.07849375</v>
      </c>
      <c r="AB41" s="80">
        <v>7.24</v>
      </c>
      <c r="AC41" s="68">
        <f t="shared" si="33"/>
        <v>15.04829475</v>
      </c>
      <c r="AD41" s="68">
        <f t="shared" si="34"/>
        <v>56.462751</v>
      </c>
      <c r="AE41" s="68">
        <f t="shared" si="35"/>
        <v>58.537249</v>
      </c>
    </row>
    <row r="42" customFormat="1" spans="1:31">
      <c r="A42" s="18"/>
      <c r="B42" s="19"/>
      <c r="C42" s="20">
        <v>240606000019</v>
      </c>
      <c r="D42" s="21">
        <v>45451</v>
      </c>
      <c r="E42" s="21" t="s">
        <v>37</v>
      </c>
      <c r="F42" s="19" t="s">
        <v>38</v>
      </c>
      <c r="G42" s="19" t="s">
        <v>39</v>
      </c>
      <c r="H42" s="19">
        <v>0.52</v>
      </c>
      <c r="I42" s="38">
        <v>120</v>
      </c>
      <c r="J42" s="39"/>
      <c r="K42" s="40"/>
      <c r="L42" s="19"/>
      <c r="M42" s="40"/>
      <c r="N42" s="41"/>
      <c r="O42" s="42">
        <f t="shared" si="32"/>
        <v>120</v>
      </c>
      <c r="P42" s="44"/>
      <c r="Q42" s="44"/>
      <c r="R42" s="68">
        <f t="shared" si="27"/>
        <v>39</v>
      </c>
      <c r="S42" s="68"/>
      <c r="T42" s="68">
        <f t="shared" si="36"/>
        <v>0.8805875</v>
      </c>
      <c r="U42" s="68"/>
      <c r="V42" s="68"/>
      <c r="W42" s="68">
        <f t="shared" si="31"/>
        <v>39.8805875</v>
      </c>
      <c r="X42" s="70">
        <f t="shared" si="37"/>
        <v>2.0015125</v>
      </c>
      <c r="Y42" s="70"/>
      <c r="Z42" s="70"/>
      <c r="AA42" s="70">
        <f t="shared" si="38"/>
        <v>2.0015125</v>
      </c>
      <c r="AB42" s="80">
        <v>7.24</v>
      </c>
      <c r="AC42" s="68">
        <f t="shared" si="33"/>
        <v>14.4909505</v>
      </c>
      <c r="AD42" s="68">
        <f t="shared" si="34"/>
        <v>54.371538</v>
      </c>
      <c r="AE42" s="68">
        <f t="shared" ref="AE42:AE54" si="39">SUM(O42-AD42)</f>
        <v>65.628462</v>
      </c>
    </row>
    <row r="43" customFormat="1" spans="1:31">
      <c r="A43" s="18"/>
      <c r="B43" s="19"/>
      <c r="C43" s="20">
        <v>240606000026</v>
      </c>
      <c r="D43" s="21">
        <v>45451</v>
      </c>
      <c r="E43" s="21" t="s">
        <v>37</v>
      </c>
      <c r="F43" s="19" t="s">
        <v>37</v>
      </c>
      <c r="G43" s="19" t="s">
        <v>93</v>
      </c>
      <c r="H43" s="19">
        <v>20</v>
      </c>
      <c r="I43" s="38">
        <v>2400</v>
      </c>
      <c r="J43" s="39"/>
      <c r="K43" s="40"/>
      <c r="L43" s="19"/>
      <c r="M43" s="40"/>
      <c r="N43" s="41"/>
      <c r="O43" s="42">
        <f t="shared" si="32"/>
        <v>2400</v>
      </c>
      <c r="P43" s="44"/>
      <c r="Q43" s="44"/>
      <c r="R43" s="68">
        <f t="shared" si="27"/>
        <v>1500</v>
      </c>
      <c r="S43" s="68"/>
      <c r="T43" s="68">
        <f t="shared" si="36"/>
        <v>33.86875</v>
      </c>
      <c r="U43" s="68"/>
      <c r="V43" s="68"/>
      <c r="W43" s="68">
        <f t="shared" si="31"/>
        <v>1533.86875</v>
      </c>
      <c r="X43" s="70">
        <f t="shared" si="37"/>
        <v>76.98125</v>
      </c>
      <c r="Y43" s="70"/>
      <c r="Z43" s="70"/>
      <c r="AA43" s="70">
        <f t="shared" ref="AA43:AA54" si="40">SUM(X43:Z43)</f>
        <v>76.98125</v>
      </c>
      <c r="AB43" s="80">
        <v>7.24</v>
      </c>
      <c r="AC43" s="68">
        <f t="shared" si="33"/>
        <v>557.34425</v>
      </c>
      <c r="AD43" s="68">
        <f t="shared" ref="AD43:AD52" si="41">SUM(W43+AC43)</f>
        <v>2091.213</v>
      </c>
      <c r="AE43" s="68">
        <f t="shared" si="39"/>
        <v>308.787</v>
      </c>
    </row>
    <row r="44" customFormat="1" spans="1:31">
      <c r="A44" s="18"/>
      <c r="B44" s="19"/>
      <c r="C44" s="20">
        <v>240607000005</v>
      </c>
      <c r="D44" s="21">
        <v>45451</v>
      </c>
      <c r="E44" s="21" t="s">
        <v>48</v>
      </c>
      <c r="F44" s="19" t="s">
        <v>49</v>
      </c>
      <c r="G44" s="19" t="s">
        <v>91</v>
      </c>
      <c r="H44" s="19">
        <v>2</v>
      </c>
      <c r="I44" s="38">
        <v>230</v>
      </c>
      <c r="J44" s="39"/>
      <c r="K44" s="40"/>
      <c r="L44" s="19"/>
      <c r="M44" s="40"/>
      <c r="N44" s="41"/>
      <c r="O44" s="42">
        <f t="shared" si="32"/>
        <v>230</v>
      </c>
      <c r="P44" s="49"/>
      <c r="Q44" s="49"/>
      <c r="R44" s="68">
        <f t="shared" si="27"/>
        <v>150</v>
      </c>
      <c r="S44" s="68"/>
      <c r="T44" s="68">
        <f t="shared" si="36"/>
        <v>3.386875</v>
      </c>
      <c r="U44" s="68"/>
      <c r="V44" s="68"/>
      <c r="W44" s="68">
        <f t="shared" ref="W44:W53" si="42">SUM(R44:V44)</f>
        <v>153.386875</v>
      </c>
      <c r="X44" s="70">
        <f t="shared" si="37"/>
        <v>7.698125</v>
      </c>
      <c r="Y44" s="70"/>
      <c r="Z44" s="70"/>
      <c r="AA44" s="70">
        <f t="shared" si="40"/>
        <v>7.698125</v>
      </c>
      <c r="AB44" s="80">
        <v>7.24</v>
      </c>
      <c r="AC44" s="68">
        <f t="shared" ref="AC44:AC54" si="43">SUM(AA44*AB44)</f>
        <v>55.734425</v>
      </c>
      <c r="AD44" s="68">
        <f t="shared" si="41"/>
        <v>209.1213</v>
      </c>
      <c r="AE44" s="68">
        <f t="shared" si="39"/>
        <v>20.8787</v>
      </c>
    </row>
    <row r="45" customFormat="1" spans="1:31">
      <c r="A45" s="18" t="s">
        <v>94</v>
      </c>
      <c r="B45" s="19" t="s">
        <v>95</v>
      </c>
      <c r="C45" s="20">
        <v>240603000009</v>
      </c>
      <c r="D45" s="21">
        <v>45453</v>
      </c>
      <c r="E45" s="21" t="s">
        <v>44</v>
      </c>
      <c r="F45" s="19" t="s">
        <v>45</v>
      </c>
      <c r="G45" s="19" t="s">
        <v>46</v>
      </c>
      <c r="H45" s="19">
        <v>1.5</v>
      </c>
      <c r="I45" s="38">
        <v>172.5</v>
      </c>
      <c r="J45" s="39"/>
      <c r="K45" s="40"/>
      <c r="L45" s="19"/>
      <c r="M45" s="40"/>
      <c r="N45" s="41"/>
      <c r="O45" s="42">
        <f t="shared" si="32"/>
        <v>172.5</v>
      </c>
      <c r="P45" s="43">
        <f>SUM(O45:O52)</f>
        <v>6432.59320362</v>
      </c>
      <c r="Q45" s="43" t="s">
        <v>40</v>
      </c>
      <c r="R45" s="68">
        <f>SUM(2300/32)*H45</f>
        <v>107.8125</v>
      </c>
      <c r="S45" s="68"/>
      <c r="T45" s="69">
        <f>SUM(54.77/32)*H45</f>
        <v>2.56734375</v>
      </c>
      <c r="U45" s="68"/>
      <c r="V45" s="68"/>
      <c r="W45" s="68">
        <f t="shared" si="42"/>
        <v>110.37984375</v>
      </c>
      <c r="X45" s="70">
        <f>SUM(78.89/32)*H45</f>
        <v>3.69796875</v>
      </c>
      <c r="Y45" s="70"/>
      <c r="Z45" s="70"/>
      <c r="AA45" s="70">
        <f t="shared" si="40"/>
        <v>3.69796875</v>
      </c>
      <c r="AB45" s="80">
        <v>7.24</v>
      </c>
      <c r="AC45" s="68">
        <f t="shared" si="43"/>
        <v>26.77329375</v>
      </c>
      <c r="AD45" s="68">
        <f t="shared" si="41"/>
        <v>137.1531375</v>
      </c>
      <c r="AE45" s="68">
        <f t="shared" si="39"/>
        <v>35.3468625</v>
      </c>
    </row>
    <row r="46" customFormat="1" spans="1:31">
      <c r="A46" s="18"/>
      <c r="B46" s="19"/>
      <c r="C46" s="20">
        <v>240604000032</v>
      </c>
      <c r="D46" s="21">
        <v>45453</v>
      </c>
      <c r="E46" s="21" t="s">
        <v>51</v>
      </c>
      <c r="F46" s="19" t="s">
        <v>52</v>
      </c>
      <c r="G46" s="19" t="s">
        <v>96</v>
      </c>
      <c r="H46" s="19">
        <v>1.5</v>
      </c>
      <c r="I46" s="38">
        <v>197.5</v>
      </c>
      <c r="J46" s="39"/>
      <c r="K46" s="40"/>
      <c r="L46" s="19"/>
      <c r="M46" s="40"/>
      <c r="N46" s="41"/>
      <c r="O46" s="42">
        <f t="shared" si="32"/>
        <v>197.5</v>
      </c>
      <c r="P46" s="44"/>
      <c r="Q46" s="44"/>
      <c r="R46" s="68">
        <f t="shared" ref="R46:R52" si="44">SUM(2300/32)*H46</f>
        <v>107.8125</v>
      </c>
      <c r="S46" s="68"/>
      <c r="T46" s="69">
        <f t="shared" ref="T46:T52" si="45">SUM(54.77/32)*H46</f>
        <v>2.56734375</v>
      </c>
      <c r="U46" s="68"/>
      <c r="V46" s="68"/>
      <c r="W46" s="68">
        <f t="shared" si="42"/>
        <v>110.37984375</v>
      </c>
      <c r="X46" s="70">
        <f t="shared" ref="X46:X55" si="46">SUM(78.89/32)*H46</f>
        <v>3.69796875</v>
      </c>
      <c r="Y46" s="70">
        <v>3.45</v>
      </c>
      <c r="Z46" s="70"/>
      <c r="AA46" s="70">
        <f t="shared" si="40"/>
        <v>7.14796875</v>
      </c>
      <c r="AB46" s="80">
        <v>7.24</v>
      </c>
      <c r="AC46" s="68">
        <f t="shared" si="43"/>
        <v>51.75129375</v>
      </c>
      <c r="AD46" s="68">
        <f t="shared" si="41"/>
        <v>162.1311375</v>
      </c>
      <c r="AE46" s="68">
        <f t="shared" si="39"/>
        <v>35.3688625</v>
      </c>
    </row>
    <row r="47" customFormat="1" spans="1:31">
      <c r="A47" s="18"/>
      <c r="B47" s="19"/>
      <c r="C47" s="20">
        <v>240605000014</v>
      </c>
      <c r="D47" s="21">
        <v>45453</v>
      </c>
      <c r="E47" s="21" t="s">
        <v>44</v>
      </c>
      <c r="F47" s="19" t="s">
        <v>45</v>
      </c>
      <c r="G47" s="19" t="s">
        <v>97</v>
      </c>
      <c r="H47" s="19">
        <v>6.5</v>
      </c>
      <c r="I47" s="42"/>
      <c r="J47" s="46">
        <v>155923</v>
      </c>
      <c r="K47" s="40"/>
      <c r="L47" s="47">
        <f t="shared" ref="L47:L51" si="47">SUM(J47/M47)</f>
        <v>1502.00366053367</v>
      </c>
      <c r="M47" s="48">
        <v>103.81</v>
      </c>
      <c r="N47" s="41">
        <v>7.24</v>
      </c>
      <c r="O47" s="42">
        <f>SUM(M47*N47)</f>
        <v>751.5844</v>
      </c>
      <c r="P47" s="44"/>
      <c r="Q47" s="44"/>
      <c r="R47" s="68">
        <f t="shared" si="44"/>
        <v>467.1875</v>
      </c>
      <c r="S47" s="68"/>
      <c r="T47" s="69">
        <f t="shared" si="45"/>
        <v>11.12515625</v>
      </c>
      <c r="U47" s="68"/>
      <c r="V47" s="68"/>
      <c r="W47" s="68">
        <f t="shared" si="42"/>
        <v>478.31265625</v>
      </c>
      <c r="X47" s="70">
        <f t="shared" si="46"/>
        <v>16.02453125</v>
      </c>
      <c r="Y47" s="70"/>
      <c r="Z47" s="70"/>
      <c r="AA47" s="70">
        <f t="shared" si="40"/>
        <v>16.02453125</v>
      </c>
      <c r="AB47" s="80">
        <v>7.24</v>
      </c>
      <c r="AC47" s="68">
        <f t="shared" si="43"/>
        <v>116.01760625</v>
      </c>
      <c r="AD47" s="68">
        <f t="shared" si="41"/>
        <v>594.3302625</v>
      </c>
      <c r="AE47" s="68">
        <f t="shared" si="39"/>
        <v>157.2541375</v>
      </c>
    </row>
    <row r="48" customFormat="1" spans="1:31">
      <c r="A48" s="18"/>
      <c r="B48" s="19"/>
      <c r="C48" s="20">
        <v>240605000017</v>
      </c>
      <c r="D48" s="21">
        <v>45453</v>
      </c>
      <c r="E48" s="21" t="s">
        <v>51</v>
      </c>
      <c r="F48" s="19" t="s">
        <v>52</v>
      </c>
      <c r="G48" s="19" t="s">
        <v>98</v>
      </c>
      <c r="H48" s="19">
        <v>4.5</v>
      </c>
      <c r="I48" s="38">
        <v>545.5</v>
      </c>
      <c r="J48" s="39"/>
      <c r="K48" s="40"/>
      <c r="L48" s="19"/>
      <c r="M48" s="40"/>
      <c r="N48" s="41"/>
      <c r="O48" s="42">
        <f t="shared" ref="O48:O52" si="48">SUM(I48)</f>
        <v>545.5</v>
      </c>
      <c r="P48" s="44"/>
      <c r="Q48" s="44"/>
      <c r="R48" s="68">
        <f t="shared" si="44"/>
        <v>323.4375</v>
      </c>
      <c r="S48" s="68"/>
      <c r="T48" s="69">
        <f t="shared" si="45"/>
        <v>7.70203125</v>
      </c>
      <c r="U48" s="68"/>
      <c r="V48" s="68"/>
      <c r="W48" s="68">
        <f t="shared" si="42"/>
        <v>331.13953125</v>
      </c>
      <c r="X48" s="70">
        <f t="shared" si="46"/>
        <v>11.09390625</v>
      </c>
      <c r="Y48" s="70">
        <v>3.8</v>
      </c>
      <c r="Z48" s="70"/>
      <c r="AA48" s="70">
        <f t="shared" si="40"/>
        <v>14.89390625</v>
      </c>
      <c r="AB48" s="80">
        <v>7.24</v>
      </c>
      <c r="AC48" s="68">
        <f t="shared" si="43"/>
        <v>107.83188125</v>
      </c>
      <c r="AD48" s="68">
        <f t="shared" si="41"/>
        <v>438.9714125</v>
      </c>
      <c r="AE48" s="68">
        <f t="shared" si="39"/>
        <v>106.5285875</v>
      </c>
    </row>
    <row r="49" customFormat="1" spans="1:31">
      <c r="A49" s="18"/>
      <c r="B49" s="19"/>
      <c r="C49" s="20">
        <v>240605000021</v>
      </c>
      <c r="D49" s="21">
        <v>45453</v>
      </c>
      <c r="E49" s="21" t="s">
        <v>51</v>
      </c>
      <c r="F49" s="19" t="s">
        <v>52</v>
      </c>
      <c r="G49" s="19" t="s">
        <v>99</v>
      </c>
      <c r="H49" s="19">
        <v>3</v>
      </c>
      <c r="I49" s="38">
        <v>950</v>
      </c>
      <c r="J49" s="39"/>
      <c r="K49" s="40"/>
      <c r="L49" s="47"/>
      <c r="M49" s="40"/>
      <c r="N49" s="41"/>
      <c r="O49" s="42">
        <f t="shared" si="48"/>
        <v>950</v>
      </c>
      <c r="P49" s="44"/>
      <c r="Q49" s="44"/>
      <c r="R49" s="68">
        <f t="shared" si="44"/>
        <v>215.625</v>
      </c>
      <c r="S49" s="68"/>
      <c r="T49" s="69">
        <f t="shared" si="45"/>
        <v>5.1346875</v>
      </c>
      <c r="U49" s="68"/>
      <c r="V49" s="68"/>
      <c r="W49" s="68">
        <f t="shared" si="42"/>
        <v>220.7596875</v>
      </c>
      <c r="X49" s="70">
        <f t="shared" si="46"/>
        <v>7.3959375</v>
      </c>
      <c r="Y49" s="70"/>
      <c r="Z49" s="70"/>
      <c r="AA49" s="70">
        <f t="shared" si="40"/>
        <v>7.3959375</v>
      </c>
      <c r="AB49" s="80">
        <v>7.24</v>
      </c>
      <c r="AC49" s="68">
        <f t="shared" si="43"/>
        <v>53.5465875</v>
      </c>
      <c r="AD49" s="68">
        <f t="shared" si="41"/>
        <v>274.306275</v>
      </c>
      <c r="AE49" s="68">
        <f t="shared" si="39"/>
        <v>675.693725</v>
      </c>
    </row>
    <row r="50" customFormat="1" spans="1:31">
      <c r="A50" s="18"/>
      <c r="B50" s="19"/>
      <c r="C50" s="20">
        <v>240605000048</v>
      </c>
      <c r="D50" s="21">
        <v>45453</v>
      </c>
      <c r="E50" s="21" t="s">
        <v>66</v>
      </c>
      <c r="F50" s="19" t="s">
        <v>100</v>
      </c>
      <c r="G50" s="19" t="s">
        <v>101</v>
      </c>
      <c r="H50" s="19">
        <v>0.59</v>
      </c>
      <c r="I50" s="42"/>
      <c r="J50" s="46">
        <v>24002</v>
      </c>
      <c r="K50" s="40"/>
      <c r="L50" s="47">
        <f t="shared" si="47"/>
        <v>1502.00245613259</v>
      </c>
      <c r="M50" s="48">
        <v>15.9800005</v>
      </c>
      <c r="N50" s="41">
        <v>7.24</v>
      </c>
      <c r="O50" s="42">
        <f>SUM(M50*N50)</f>
        <v>115.69520362</v>
      </c>
      <c r="P50" s="44"/>
      <c r="Q50" s="44"/>
      <c r="R50" s="68">
        <f t="shared" si="44"/>
        <v>42.40625</v>
      </c>
      <c r="S50" s="68"/>
      <c r="T50" s="69">
        <f t="shared" si="45"/>
        <v>1.009821875</v>
      </c>
      <c r="U50" s="68"/>
      <c r="V50" s="68"/>
      <c r="W50" s="68">
        <f t="shared" si="42"/>
        <v>43.416071875</v>
      </c>
      <c r="X50" s="70">
        <f t="shared" si="46"/>
        <v>1.454534375</v>
      </c>
      <c r="Y50" s="70"/>
      <c r="Z50" s="70"/>
      <c r="AA50" s="70">
        <f t="shared" si="40"/>
        <v>1.454534375</v>
      </c>
      <c r="AB50" s="80">
        <v>7.24</v>
      </c>
      <c r="AC50" s="68">
        <f t="shared" si="43"/>
        <v>10.530828875</v>
      </c>
      <c r="AD50" s="68">
        <f t="shared" si="41"/>
        <v>53.94690075</v>
      </c>
      <c r="AE50" s="68">
        <f t="shared" si="39"/>
        <v>61.74830287</v>
      </c>
    </row>
    <row r="51" customFormat="1" spans="1:31">
      <c r="A51" s="18"/>
      <c r="B51" s="19"/>
      <c r="C51" s="20">
        <v>240606000024</v>
      </c>
      <c r="D51" s="21">
        <v>45453</v>
      </c>
      <c r="E51" s="21" t="s">
        <v>44</v>
      </c>
      <c r="F51" s="19" t="s">
        <v>45</v>
      </c>
      <c r="G51" s="19" t="s">
        <v>62</v>
      </c>
      <c r="H51" s="19">
        <v>31</v>
      </c>
      <c r="I51" s="42"/>
      <c r="J51" s="46">
        <v>784301.76</v>
      </c>
      <c r="K51" s="40"/>
      <c r="L51" s="47">
        <f t="shared" si="47"/>
        <v>1584</v>
      </c>
      <c r="M51" s="48">
        <v>495.14</v>
      </c>
      <c r="N51" s="41">
        <v>7.24</v>
      </c>
      <c r="O51" s="42">
        <f>SUM(M51*N51)</f>
        <v>3584.8136</v>
      </c>
      <c r="P51" s="44"/>
      <c r="Q51" s="44"/>
      <c r="R51" s="68">
        <f t="shared" si="44"/>
        <v>2228.125</v>
      </c>
      <c r="S51" s="68"/>
      <c r="T51" s="69">
        <f t="shared" si="45"/>
        <v>53.0584375</v>
      </c>
      <c r="U51" s="68"/>
      <c r="V51" s="68"/>
      <c r="W51" s="68">
        <f t="shared" si="42"/>
        <v>2281.1834375</v>
      </c>
      <c r="X51" s="70">
        <f t="shared" si="46"/>
        <v>76.4246875</v>
      </c>
      <c r="Y51" s="70"/>
      <c r="Z51" s="70"/>
      <c r="AA51" s="70">
        <f t="shared" si="40"/>
        <v>76.4246875</v>
      </c>
      <c r="AB51" s="80">
        <v>7.24</v>
      </c>
      <c r="AC51" s="68">
        <f t="shared" si="43"/>
        <v>553.3147375</v>
      </c>
      <c r="AD51" s="68">
        <f t="shared" ref="AD51:AD82" si="49">SUM(W51+AC51)</f>
        <v>2834.498175</v>
      </c>
      <c r="AE51" s="68">
        <f t="shared" si="39"/>
        <v>750.315425</v>
      </c>
    </row>
    <row r="52" customFormat="1" spans="1:31">
      <c r="A52" s="18"/>
      <c r="B52" s="19"/>
      <c r="C52" s="20">
        <v>240608000006</v>
      </c>
      <c r="D52" s="21">
        <v>45453</v>
      </c>
      <c r="E52" s="21" t="s">
        <v>51</v>
      </c>
      <c r="F52" s="19" t="s">
        <v>52</v>
      </c>
      <c r="G52" s="19" t="s">
        <v>54</v>
      </c>
      <c r="H52" s="19">
        <v>0.19</v>
      </c>
      <c r="I52" s="38">
        <v>115</v>
      </c>
      <c r="J52" s="39"/>
      <c r="K52" s="40"/>
      <c r="L52" s="19"/>
      <c r="M52" s="40"/>
      <c r="N52" s="41"/>
      <c r="O52" s="42">
        <f t="shared" si="48"/>
        <v>115</v>
      </c>
      <c r="P52" s="49"/>
      <c r="Q52" s="49"/>
      <c r="R52" s="68">
        <f t="shared" si="44"/>
        <v>13.65625</v>
      </c>
      <c r="S52" s="68"/>
      <c r="T52" s="69">
        <f t="shared" si="45"/>
        <v>0.325196875</v>
      </c>
      <c r="U52" s="68"/>
      <c r="V52" s="68"/>
      <c r="W52" s="68">
        <f t="shared" si="42"/>
        <v>13.981446875</v>
      </c>
      <c r="X52" s="70">
        <f t="shared" si="46"/>
        <v>0.468409375</v>
      </c>
      <c r="Y52" s="70"/>
      <c r="Z52" s="70"/>
      <c r="AA52" s="70">
        <f t="shared" si="40"/>
        <v>0.468409375</v>
      </c>
      <c r="AB52" s="80">
        <v>7.24</v>
      </c>
      <c r="AC52" s="68">
        <f t="shared" si="43"/>
        <v>3.391283875</v>
      </c>
      <c r="AD52" s="68">
        <f t="shared" si="49"/>
        <v>17.37273075</v>
      </c>
      <c r="AE52" s="68">
        <f t="shared" si="39"/>
        <v>97.62726925</v>
      </c>
    </row>
    <row r="53" customFormat="1" spans="1:31">
      <c r="A53" s="18" t="s">
        <v>94</v>
      </c>
      <c r="B53" s="19" t="s">
        <v>102</v>
      </c>
      <c r="C53" s="20">
        <v>240607000029</v>
      </c>
      <c r="D53" s="21">
        <v>45453</v>
      </c>
      <c r="E53" s="21" t="s">
        <v>37</v>
      </c>
      <c r="F53" s="19" t="s">
        <v>37</v>
      </c>
      <c r="G53" s="19" t="s">
        <v>72</v>
      </c>
      <c r="H53" s="19">
        <v>11</v>
      </c>
      <c r="I53" s="45"/>
      <c r="J53" s="46">
        <v>285660</v>
      </c>
      <c r="K53" s="40"/>
      <c r="L53" s="47">
        <f t="shared" ref="L53:L58" si="50">SUM(J53/M53)</f>
        <v>1498.740818468</v>
      </c>
      <c r="M53" s="48">
        <v>190.6</v>
      </c>
      <c r="N53" s="41">
        <v>7.24</v>
      </c>
      <c r="O53" s="42">
        <f>SUM(M53*N53)</f>
        <v>1379.944</v>
      </c>
      <c r="P53" s="43">
        <f>SUM(O53:O55)</f>
        <v>1914.944</v>
      </c>
      <c r="Q53" s="43" t="s">
        <v>40</v>
      </c>
      <c r="R53" s="68">
        <f>SUM(2300/28)*H53</f>
        <v>903.571428571429</v>
      </c>
      <c r="S53" s="68"/>
      <c r="T53" s="69">
        <f>SUM(54.77/28)*H53</f>
        <v>21.5167857142857</v>
      </c>
      <c r="U53" s="68"/>
      <c r="V53" s="68"/>
      <c r="W53" s="68">
        <f t="shared" si="42"/>
        <v>925.088214285714</v>
      </c>
      <c r="X53" s="70">
        <f t="shared" si="46"/>
        <v>27.1184375</v>
      </c>
      <c r="Y53" s="70"/>
      <c r="Z53" s="70"/>
      <c r="AA53" s="70">
        <f t="shared" si="40"/>
        <v>27.1184375</v>
      </c>
      <c r="AB53" s="80">
        <v>7.24</v>
      </c>
      <c r="AC53" s="68">
        <f t="shared" si="43"/>
        <v>196.3374875</v>
      </c>
      <c r="AD53" s="68">
        <f t="shared" si="49"/>
        <v>1121.42570178571</v>
      </c>
      <c r="AE53" s="68">
        <f t="shared" si="39"/>
        <v>258.518298214286</v>
      </c>
    </row>
    <row r="54" customFormat="1" spans="1:31">
      <c r="A54" s="18"/>
      <c r="B54" s="19"/>
      <c r="C54" s="20">
        <v>240608000015</v>
      </c>
      <c r="D54" s="21">
        <v>45453</v>
      </c>
      <c r="E54" s="21" t="s">
        <v>44</v>
      </c>
      <c r="F54" s="19" t="s">
        <v>45</v>
      </c>
      <c r="G54" s="19" t="s">
        <v>46</v>
      </c>
      <c r="H54" s="19">
        <v>0.52</v>
      </c>
      <c r="I54" s="38">
        <v>115</v>
      </c>
      <c r="J54" s="39"/>
      <c r="K54" s="40"/>
      <c r="L54" s="19"/>
      <c r="M54" s="40"/>
      <c r="N54" s="41"/>
      <c r="O54" s="42">
        <f t="shared" ref="O54:O56" si="51">SUM(I54)</f>
        <v>115</v>
      </c>
      <c r="P54" s="44"/>
      <c r="Q54" s="44"/>
      <c r="R54" s="68">
        <f>SUM(2300/28)*H54</f>
        <v>42.7142857142857</v>
      </c>
      <c r="S54" s="68"/>
      <c r="T54" s="69">
        <f>SUM(54.77/28)*H54</f>
        <v>1.01715714285714</v>
      </c>
      <c r="U54" s="68"/>
      <c r="V54" s="68"/>
      <c r="W54" s="68">
        <f t="shared" ref="W54:W85" si="52">SUM(R54:V54)</f>
        <v>43.7314428571429</v>
      </c>
      <c r="X54" s="70">
        <f t="shared" si="46"/>
        <v>1.2819625</v>
      </c>
      <c r="Y54" s="70"/>
      <c r="Z54" s="70"/>
      <c r="AA54" s="70">
        <f t="shared" si="40"/>
        <v>1.2819625</v>
      </c>
      <c r="AB54" s="80">
        <v>7.24</v>
      </c>
      <c r="AC54" s="68">
        <f t="shared" si="43"/>
        <v>9.2814085</v>
      </c>
      <c r="AD54" s="68">
        <f t="shared" si="49"/>
        <v>53.0128513571429</v>
      </c>
      <c r="AE54" s="68">
        <f t="shared" si="39"/>
        <v>61.9871486428571</v>
      </c>
    </row>
    <row r="55" customFormat="1" spans="1:31">
      <c r="A55" s="18"/>
      <c r="B55" s="19"/>
      <c r="C55" s="20">
        <v>240608000018</v>
      </c>
      <c r="D55" s="21">
        <v>45453</v>
      </c>
      <c r="E55" s="21" t="s">
        <v>37</v>
      </c>
      <c r="F55" s="19" t="s">
        <v>38</v>
      </c>
      <c r="G55" s="19" t="s">
        <v>39</v>
      </c>
      <c r="H55" s="19">
        <v>3.5</v>
      </c>
      <c r="I55" s="38">
        <v>420</v>
      </c>
      <c r="J55" s="39"/>
      <c r="K55" s="40"/>
      <c r="L55" s="19"/>
      <c r="M55" s="40"/>
      <c r="N55" s="41"/>
      <c r="O55" s="42">
        <f t="shared" si="51"/>
        <v>420</v>
      </c>
      <c r="P55" s="49"/>
      <c r="Q55" s="49"/>
      <c r="R55" s="68">
        <f>SUM(2300/28)*H55</f>
        <v>287.5</v>
      </c>
      <c r="S55" s="68"/>
      <c r="T55" s="69">
        <f>SUM(54.77/28)*H55</f>
        <v>6.84625</v>
      </c>
      <c r="U55" s="68"/>
      <c r="V55" s="68"/>
      <c r="W55" s="68">
        <f t="shared" si="52"/>
        <v>294.34625</v>
      </c>
      <c r="X55" s="70">
        <f t="shared" si="46"/>
        <v>8.62859375</v>
      </c>
      <c r="Y55" s="70"/>
      <c r="Z55" s="70"/>
      <c r="AA55" s="70">
        <f t="shared" ref="AA55:AA86" si="53">SUM(X55:Z55)</f>
        <v>8.62859375</v>
      </c>
      <c r="AB55" s="80">
        <v>7.24</v>
      </c>
      <c r="AC55" s="68">
        <f t="shared" ref="AC55:AC86" si="54">SUM(AA55*AB55)</f>
        <v>62.47101875</v>
      </c>
      <c r="AD55" s="68">
        <f t="shared" si="49"/>
        <v>356.81726875</v>
      </c>
      <c r="AE55" s="68">
        <f t="shared" ref="AE55:AE86" si="55">SUM(O55-AD55)</f>
        <v>63.18273125</v>
      </c>
    </row>
    <row r="56" customFormat="1" spans="1:31">
      <c r="A56" s="18" t="s">
        <v>103</v>
      </c>
      <c r="B56" s="19" t="s">
        <v>104</v>
      </c>
      <c r="C56" s="20">
        <v>240602000019</v>
      </c>
      <c r="D56" s="21">
        <v>45454</v>
      </c>
      <c r="E56" s="21" t="s">
        <v>48</v>
      </c>
      <c r="F56" s="19" t="s">
        <v>49</v>
      </c>
      <c r="G56" s="19" t="s">
        <v>105</v>
      </c>
      <c r="H56" s="19">
        <v>1.5</v>
      </c>
      <c r="I56" s="38">
        <v>90</v>
      </c>
      <c r="J56" s="39"/>
      <c r="K56" s="40"/>
      <c r="L56" s="19"/>
      <c r="M56" s="40"/>
      <c r="N56" s="41"/>
      <c r="O56" s="42">
        <f t="shared" si="51"/>
        <v>90</v>
      </c>
      <c r="P56" s="43">
        <f>SUM(O56:O134)</f>
        <v>229324.88801448</v>
      </c>
      <c r="Q56" s="71" t="s">
        <v>106</v>
      </c>
      <c r="R56" s="68">
        <f>SUM(156402/3839)*H56</f>
        <v>61.110445428497</v>
      </c>
      <c r="S56" s="68"/>
      <c r="T56" s="69">
        <f>SUM(536.96/3839)*H56</f>
        <v>0.209804636624121</v>
      </c>
      <c r="U56" s="68"/>
      <c r="V56" s="68"/>
      <c r="W56" s="68">
        <f t="shared" si="52"/>
        <v>61.3202500651211</v>
      </c>
      <c r="X56" s="70">
        <f>SUM(3188.23/3839)*H56</f>
        <v>1.24572675175827</v>
      </c>
      <c r="Y56" s="70"/>
      <c r="Z56" s="70"/>
      <c r="AA56" s="70">
        <f t="shared" si="53"/>
        <v>1.24572675175827</v>
      </c>
      <c r="AB56" s="80">
        <v>7.24</v>
      </c>
      <c r="AC56" s="68">
        <f t="shared" si="54"/>
        <v>9.01906168272988</v>
      </c>
      <c r="AD56" s="68">
        <f t="shared" si="49"/>
        <v>70.339311747851</v>
      </c>
      <c r="AE56" s="68">
        <f t="shared" si="55"/>
        <v>19.660688252149</v>
      </c>
    </row>
    <row r="57" customFormat="1" spans="1:31">
      <c r="A57" s="18"/>
      <c r="B57" s="19"/>
      <c r="C57" s="20">
        <v>240602000021</v>
      </c>
      <c r="D57" s="21">
        <v>45454</v>
      </c>
      <c r="E57" s="21" t="s">
        <v>51</v>
      </c>
      <c r="F57" s="19" t="s">
        <v>52</v>
      </c>
      <c r="G57" s="19" t="s">
        <v>107</v>
      </c>
      <c r="H57" s="19">
        <v>97.5</v>
      </c>
      <c r="I57" s="45"/>
      <c r="J57" s="46">
        <v>1303458.3</v>
      </c>
      <c r="K57" s="40"/>
      <c r="L57" s="47">
        <f t="shared" si="50"/>
        <v>1498.69304266841</v>
      </c>
      <c r="M57" s="48">
        <v>869.73</v>
      </c>
      <c r="N57" s="41">
        <v>7.24</v>
      </c>
      <c r="O57" s="42">
        <f>SUM(M57*N57)</f>
        <v>6296.8452</v>
      </c>
      <c r="P57" s="44"/>
      <c r="Q57" s="44"/>
      <c r="R57" s="68">
        <f t="shared" ref="R57:R88" si="56">SUM(156402/3839)*H57</f>
        <v>3972.1789528523</v>
      </c>
      <c r="S57" s="68"/>
      <c r="T57" s="69">
        <f t="shared" ref="T57:T88" si="57">SUM(536.96/3839)*H57</f>
        <v>13.6373013805679</v>
      </c>
      <c r="U57" s="68">
        <f>SUM(80+30)</f>
        <v>110</v>
      </c>
      <c r="V57" s="68"/>
      <c r="W57" s="68">
        <f t="shared" si="52"/>
        <v>4095.81625423287</v>
      </c>
      <c r="X57" s="70">
        <f t="shared" ref="X57:X88" si="58">SUM(3188.23/3839)*H57</f>
        <v>80.9722388642876</v>
      </c>
      <c r="Y57" s="70"/>
      <c r="Z57" s="70"/>
      <c r="AA57" s="70">
        <f t="shared" si="53"/>
        <v>80.9722388642876</v>
      </c>
      <c r="AB57" s="80">
        <v>7.24</v>
      </c>
      <c r="AC57" s="68">
        <f t="shared" si="54"/>
        <v>586.239009377442</v>
      </c>
      <c r="AD57" s="68">
        <f t="shared" si="49"/>
        <v>4682.05526361031</v>
      </c>
      <c r="AE57" s="68">
        <f t="shared" si="55"/>
        <v>1614.78993638968</v>
      </c>
    </row>
    <row r="58" customFormat="1" spans="1:31">
      <c r="A58" s="18"/>
      <c r="B58" s="19"/>
      <c r="C58" s="20">
        <v>240602000022</v>
      </c>
      <c r="D58" s="21">
        <v>45454</v>
      </c>
      <c r="E58" s="21" t="s">
        <v>51</v>
      </c>
      <c r="F58" s="19" t="s">
        <v>52</v>
      </c>
      <c r="G58" s="19" t="s">
        <v>108</v>
      </c>
      <c r="H58" s="19">
        <v>8.5</v>
      </c>
      <c r="I58" s="42"/>
      <c r="J58" s="46">
        <v>113229</v>
      </c>
      <c r="K58" s="40"/>
      <c r="L58" s="47">
        <f t="shared" si="50"/>
        <v>1532.19215155616</v>
      </c>
      <c r="M58" s="48">
        <v>73.9</v>
      </c>
      <c r="N58" s="41">
        <v>7.24</v>
      </c>
      <c r="O58" s="42">
        <f>SUM(M58*N58)</f>
        <v>535.036</v>
      </c>
      <c r="P58" s="44"/>
      <c r="Q58" s="44"/>
      <c r="R58" s="68">
        <f t="shared" si="56"/>
        <v>346.292524094816</v>
      </c>
      <c r="S58" s="68"/>
      <c r="T58" s="69">
        <f t="shared" si="57"/>
        <v>1.18889294087002</v>
      </c>
      <c r="U58" s="68"/>
      <c r="V58" s="68"/>
      <c r="W58" s="68">
        <f t="shared" si="52"/>
        <v>347.481417035686</v>
      </c>
      <c r="X58" s="70">
        <f t="shared" si="58"/>
        <v>7.05911825996353</v>
      </c>
      <c r="Y58" s="70"/>
      <c r="Z58" s="70"/>
      <c r="AA58" s="70">
        <f t="shared" si="53"/>
        <v>7.05911825996353</v>
      </c>
      <c r="AB58" s="80">
        <v>7.24</v>
      </c>
      <c r="AC58" s="68">
        <f t="shared" si="54"/>
        <v>51.108016202136</v>
      </c>
      <c r="AD58" s="68">
        <f t="shared" si="49"/>
        <v>398.589433237822</v>
      </c>
      <c r="AE58" s="68">
        <f t="shared" si="55"/>
        <v>136.446566762178</v>
      </c>
    </row>
    <row r="59" customFormat="1" spans="1:31">
      <c r="A59" s="18"/>
      <c r="B59" s="19"/>
      <c r="C59" s="20">
        <v>240602000025</v>
      </c>
      <c r="D59" s="21">
        <v>45454</v>
      </c>
      <c r="E59" s="21" t="s">
        <v>51</v>
      </c>
      <c r="F59" s="19" t="s">
        <v>52</v>
      </c>
      <c r="G59" s="19" t="s">
        <v>109</v>
      </c>
      <c r="H59" s="19">
        <v>62.5</v>
      </c>
      <c r="I59" s="38">
        <v>6875</v>
      </c>
      <c r="J59" s="39"/>
      <c r="K59" s="40"/>
      <c r="L59" s="19"/>
      <c r="M59" s="40"/>
      <c r="N59" s="41"/>
      <c r="O59" s="42">
        <f t="shared" ref="O59:O64" si="59">SUM(I59)</f>
        <v>6875</v>
      </c>
      <c r="P59" s="44"/>
      <c r="Q59" s="44"/>
      <c r="R59" s="68">
        <f t="shared" si="56"/>
        <v>2546.26855952071</v>
      </c>
      <c r="S59" s="68"/>
      <c r="T59" s="69">
        <f t="shared" si="57"/>
        <v>8.74185985933837</v>
      </c>
      <c r="U59" s="68"/>
      <c r="V59" s="68"/>
      <c r="W59" s="68">
        <f t="shared" si="52"/>
        <v>2555.01041938005</v>
      </c>
      <c r="X59" s="70">
        <f t="shared" si="58"/>
        <v>51.9052813232613</v>
      </c>
      <c r="Y59" s="70"/>
      <c r="Z59" s="70"/>
      <c r="AA59" s="70">
        <f t="shared" si="53"/>
        <v>51.9052813232613</v>
      </c>
      <c r="AB59" s="80">
        <v>7.24</v>
      </c>
      <c r="AC59" s="68">
        <f t="shared" si="54"/>
        <v>375.794236780412</v>
      </c>
      <c r="AD59" s="68">
        <f t="shared" si="49"/>
        <v>2930.80465616046</v>
      </c>
      <c r="AE59" s="68">
        <f t="shared" si="55"/>
        <v>3944.19534383954</v>
      </c>
    </row>
    <row r="60" customFormat="1" spans="1:31">
      <c r="A60" s="18"/>
      <c r="B60" s="19"/>
      <c r="C60" s="20">
        <v>240603000003</v>
      </c>
      <c r="D60" s="21">
        <v>45454</v>
      </c>
      <c r="E60" s="21" t="s">
        <v>51</v>
      </c>
      <c r="F60" s="19" t="s">
        <v>52</v>
      </c>
      <c r="G60" s="19" t="s">
        <v>110</v>
      </c>
      <c r="H60" s="19">
        <v>8</v>
      </c>
      <c r="I60" s="38">
        <v>462</v>
      </c>
      <c r="J60" s="39"/>
      <c r="K60" s="40"/>
      <c r="L60" s="19"/>
      <c r="M60" s="40"/>
      <c r="N60" s="41"/>
      <c r="O60" s="42">
        <f t="shared" si="59"/>
        <v>462</v>
      </c>
      <c r="P60" s="44"/>
      <c r="Q60" s="44"/>
      <c r="R60" s="68">
        <f t="shared" si="56"/>
        <v>325.922375618651</v>
      </c>
      <c r="S60" s="68"/>
      <c r="T60" s="69">
        <f t="shared" si="57"/>
        <v>1.11895806199531</v>
      </c>
      <c r="U60" s="68"/>
      <c r="V60" s="68"/>
      <c r="W60" s="68">
        <f t="shared" si="52"/>
        <v>327.041333680646</v>
      </c>
      <c r="X60" s="70">
        <f t="shared" si="58"/>
        <v>6.64387600937744</v>
      </c>
      <c r="Y60" s="70"/>
      <c r="Z60" s="70"/>
      <c r="AA60" s="70">
        <f t="shared" si="53"/>
        <v>6.64387600937744</v>
      </c>
      <c r="AB60" s="80">
        <v>7.24</v>
      </c>
      <c r="AC60" s="68">
        <f t="shared" si="54"/>
        <v>48.1016623078927</v>
      </c>
      <c r="AD60" s="68">
        <f t="shared" si="49"/>
        <v>375.142995988539</v>
      </c>
      <c r="AE60" s="68">
        <f t="shared" si="55"/>
        <v>86.8570040114613</v>
      </c>
    </row>
    <row r="61" customFormat="1" spans="1:31">
      <c r="A61" s="18"/>
      <c r="B61" s="19"/>
      <c r="C61" s="20">
        <v>240603000004</v>
      </c>
      <c r="D61" s="21">
        <v>45454</v>
      </c>
      <c r="E61" s="21" t="s">
        <v>51</v>
      </c>
      <c r="F61" s="19" t="s">
        <v>52</v>
      </c>
      <c r="G61" s="19" t="s">
        <v>111</v>
      </c>
      <c r="H61" s="19">
        <v>12</v>
      </c>
      <c r="I61" s="38">
        <v>780</v>
      </c>
      <c r="J61" s="39"/>
      <c r="K61" s="40"/>
      <c r="L61" s="19"/>
      <c r="M61" s="40"/>
      <c r="N61" s="41"/>
      <c r="O61" s="42">
        <f t="shared" si="59"/>
        <v>780</v>
      </c>
      <c r="P61" s="44"/>
      <c r="Q61" s="44"/>
      <c r="R61" s="68">
        <f t="shared" si="56"/>
        <v>488.883563427976</v>
      </c>
      <c r="S61" s="68"/>
      <c r="T61" s="69">
        <f t="shared" si="57"/>
        <v>1.67843709299297</v>
      </c>
      <c r="U61" s="68"/>
      <c r="V61" s="68"/>
      <c r="W61" s="68">
        <f t="shared" si="52"/>
        <v>490.562000520969</v>
      </c>
      <c r="X61" s="70">
        <f t="shared" si="58"/>
        <v>9.96581401406616</v>
      </c>
      <c r="Y61" s="70"/>
      <c r="Z61" s="70"/>
      <c r="AA61" s="70">
        <f t="shared" si="53"/>
        <v>9.96581401406616</v>
      </c>
      <c r="AB61" s="80">
        <v>7.24</v>
      </c>
      <c r="AC61" s="68">
        <f t="shared" si="54"/>
        <v>72.152493461839</v>
      </c>
      <c r="AD61" s="68">
        <f t="shared" si="49"/>
        <v>562.714493982808</v>
      </c>
      <c r="AE61" s="68">
        <f t="shared" si="55"/>
        <v>217.285506017192</v>
      </c>
    </row>
    <row r="62" customFormat="1" spans="1:31">
      <c r="A62" s="18"/>
      <c r="B62" s="19"/>
      <c r="C62" s="20">
        <v>240603000006</v>
      </c>
      <c r="D62" s="21">
        <v>45454</v>
      </c>
      <c r="E62" s="21" t="s">
        <v>51</v>
      </c>
      <c r="F62" s="19" t="s">
        <v>52</v>
      </c>
      <c r="G62" s="19" t="s">
        <v>112</v>
      </c>
      <c r="H62" s="19">
        <v>22.5</v>
      </c>
      <c r="I62" s="38">
        <v>1192.5</v>
      </c>
      <c r="J62" s="39"/>
      <c r="K62" s="40"/>
      <c r="L62" s="19"/>
      <c r="M62" s="40"/>
      <c r="N62" s="41"/>
      <c r="O62" s="42">
        <f t="shared" si="59"/>
        <v>1192.5</v>
      </c>
      <c r="P62" s="44"/>
      <c r="Q62" s="44"/>
      <c r="R62" s="68">
        <f t="shared" si="56"/>
        <v>916.656681427455</v>
      </c>
      <c r="S62" s="68"/>
      <c r="T62" s="69">
        <f t="shared" si="57"/>
        <v>3.14706954936181</v>
      </c>
      <c r="U62" s="68"/>
      <c r="V62" s="68"/>
      <c r="W62" s="68">
        <f t="shared" si="52"/>
        <v>919.803750976817</v>
      </c>
      <c r="X62" s="70">
        <f t="shared" si="58"/>
        <v>18.6859012763741</v>
      </c>
      <c r="Y62" s="70"/>
      <c r="Z62" s="70"/>
      <c r="AA62" s="70">
        <f t="shared" si="53"/>
        <v>18.6859012763741</v>
      </c>
      <c r="AB62" s="80">
        <v>7.24</v>
      </c>
      <c r="AC62" s="68">
        <f t="shared" si="54"/>
        <v>135.285925240948</v>
      </c>
      <c r="AD62" s="68">
        <f t="shared" si="49"/>
        <v>1055.08967621777</v>
      </c>
      <c r="AE62" s="68">
        <f t="shared" si="55"/>
        <v>137.410323782235</v>
      </c>
    </row>
    <row r="63" customFormat="1" spans="1:31">
      <c r="A63" s="18"/>
      <c r="B63" s="19"/>
      <c r="C63" s="20">
        <v>240603000007</v>
      </c>
      <c r="D63" s="21">
        <v>45454</v>
      </c>
      <c r="E63" s="21" t="s">
        <v>51</v>
      </c>
      <c r="F63" s="19" t="s">
        <v>52</v>
      </c>
      <c r="G63" s="19" t="s">
        <v>113</v>
      </c>
      <c r="H63" s="19">
        <v>2</v>
      </c>
      <c r="I63" s="38">
        <v>119</v>
      </c>
      <c r="J63" s="39"/>
      <c r="K63" s="40"/>
      <c r="L63" s="19"/>
      <c r="M63" s="40"/>
      <c r="N63" s="41"/>
      <c r="O63" s="42">
        <f t="shared" si="59"/>
        <v>119</v>
      </c>
      <c r="P63" s="44"/>
      <c r="Q63" s="44"/>
      <c r="R63" s="68">
        <f t="shared" si="56"/>
        <v>81.4805939046627</v>
      </c>
      <c r="S63" s="68"/>
      <c r="T63" s="69">
        <f t="shared" si="57"/>
        <v>0.279739515498828</v>
      </c>
      <c r="U63" s="68"/>
      <c r="V63" s="68"/>
      <c r="W63" s="68">
        <f t="shared" si="52"/>
        <v>81.7603334201615</v>
      </c>
      <c r="X63" s="70">
        <f t="shared" si="58"/>
        <v>1.66096900234436</v>
      </c>
      <c r="Y63" s="70"/>
      <c r="Z63" s="70"/>
      <c r="AA63" s="70">
        <f t="shared" si="53"/>
        <v>1.66096900234436</v>
      </c>
      <c r="AB63" s="80">
        <v>7.24</v>
      </c>
      <c r="AC63" s="68">
        <f t="shared" si="54"/>
        <v>12.0254155769732</v>
      </c>
      <c r="AD63" s="68">
        <f t="shared" si="49"/>
        <v>93.7857489971347</v>
      </c>
      <c r="AE63" s="68">
        <f t="shared" si="55"/>
        <v>25.2142510028653</v>
      </c>
    </row>
    <row r="64" customFormat="1" spans="1:31">
      <c r="A64" s="18"/>
      <c r="B64" s="19"/>
      <c r="C64" s="20">
        <v>240603000008</v>
      </c>
      <c r="D64" s="21">
        <v>45454</v>
      </c>
      <c r="E64" s="21" t="s">
        <v>37</v>
      </c>
      <c r="F64" s="19" t="s">
        <v>37</v>
      </c>
      <c r="G64" s="19" t="s">
        <v>114</v>
      </c>
      <c r="H64" s="19">
        <v>89</v>
      </c>
      <c r="I64" s="38">
        <v>6473</v>
      </c>
      <c r="J64" s="39"/>
      <c r="K64" s="40"/>
      <c r="L64" s="19"/>
      <c r="M64" s="40"/>
      <c r="N64" s="41"/>
      <c r="O64" s="42">
        <f t="shared" si="59"/>
        <v>6473</v>
      </c>
      <c r="P64" s="44"/>
      <c r="Q64" s="44"/>
      <c r="R64" s="68">
        <f t="shared" si="56"/>
        <v>3625.88642875749</v>
      </c>
      <c r="S64" s="68"/>
      <c r="T64" s="69">
        <f t="shared" si="57"/>
        <v>12.4484084396978</v>
      </c>
      <c r="U64" s="68"/>
      <c r="V64" s="68"/>
      <c r="W64" s="68">
        <f t="shared" si="52"/>
        <v>3638.33483719719</v>
      </c>
      <c r="X64" s="70">
        <f t="shared" si="58"/>
        <v>73.913120604324</v>
      </c>
      <c r="Y64" s="70"/>
      <c r="Z64" s="70"/>
      <c r="AA64" s="70">
        <f t="shared" si="53"/>
        <v>73.913120604324</v>
      </c>
      <c r="AB64" s="80">
        <v>7.24</v>
      </c>
      <c r="AC64" s="68">
        <f t="shared" si="54"/>
        <v>535.130993175306</v>
      </c>
      <c r="AD64" s="68">
        <f t="shared" si="49"/>
        <v>4173.46583037249</v>
      </c>
      <c r="AE64" s="68">
        <f t="shared" si="55"/>
        <v>2299.53416962751</v>
      </c>
    </row>
    <row r="65" customFormat="1" spans="1:31">
      <c r="A65" s="18"/>
      <c r="B65" s="19"/>
      <c r="C65" s="20">
        <v>240603000017</v>
      </c>
      <c r="D65" s="21">
        <v>45454</v>
      </c>
      <c r="E65" s="21" t="s">
        <v>51</v>
      </c>
      <c r="F65" s="19" t="s">
        <v>52</v>
      </c>
      <c r="G65" s="19" t="s">
        <v>115</v>
      </c>
      <c r="H65" s="19">
        <v>18</v>
      </c>
      <c r="I65" s="45"/>
      <c r="J65" s="46">
        <v>197478</v>
      </c>
      <c r="K65" s="40"/>
      <c r="L65" s="47">
        <f t="shared" ref="L65:L69" si="60">SUM(J65/M65)</f>
        <v>1498.77049180328</v>
      </c>
      <c r="M65" s="48">
        <v>131.76</v>
      </c>
      <c r="N65" s="41">
        <v>7.24</v>
      </c>
      <c r="O65" s="42">
        <f t="shared" ref="O65:O69" si="61">SUM(M65*N65)</f>
        <v>953.9424</v>
      </c>
      <c r="P65" s="44"/>
      <c r="Q65" s="44"/>
      <c r="R65" s="68">
        <f t="shared" si="56"/>
        <v>733.325345141964</v>
      </c>
      <c r="S65" s="68"/>
      <c r="T65" s="69">
        <f t="shared" si="57"/>
        <v>2.51765563948945</v>
      </c>
      <c r="U65" s="68"/>
      <c r="V65" s="68"/>
      <c r="W65" s="68">
        <f t="shared" si="52"/>
        <v>735.843000781453</v>
      </c>
      <c r="X65" s="70">
        <f t="shared" si="58"/>
        <v>14.9487210210992</v>
      </c>
      <c r="Y65" s="70"/>
      <c r="Z65" s="70"/>
      <c r="AA65" s="70">
        <f t="shared" si="53"/>
        <v>14.9487210210992</v>
      </c>
      <c r="AB65" s="80">
        <v>7.24</v>
      </c>
      <c r="AC65" s="68">
        <f t="shared" si="54"/>
        <v>108.228740192759</v>
      </c>
      <c r="AD65" s="68">
        <f t="shared" si="49"/>
        <v>844.071740974212</v>
      </c>
      <c r="AE65" s="68">
        <f t="shared" si="55"/>
        <v>109.870659025788</v>
      </c>
    </row>
    <row r="66" customFormat="1" spans="1:31">
      <c r="A66" s="18"/>
      <c r="B66" s="19"/>
      <c r="C66" s="20">
        <v>240603000021</v>
      </c>
      <c r="D66" s="21">
        <v>45454</v>
      </c>
      <c r="E66" s="21" t="s">
        <v>44</v>
      </c>
      <c r="F66" s="19" t="s">
        <v>45</v>
      </c>
      <c r="G66" s="19" t="s">
        <v>116</v>
      </c>
      <c r="H66" s="19">
        <v>14</v>
      </c>
      <c r="I66" s="42"/>
      <c r="J66" s="46">
        <v>182042.4</v>
      </c>
      <c r="K66" s="40"/>
      <c r="L66" s="47">
        <f t="shared" si="60"/>
        <v>1502</v>
      </c>
      <c r="M66" s="48">
        <v>121.2</v>
      </c>
      <c r="N66" s="41">
        <v>7.24</v>
      </c>
      <c r="O66" s="42">
        <f t="shared" si="61"/>
        <v>877.488</v>
      </c>
      <c r="P66" s="44"/>
      <c r="Q66" s="44"/>
      <c r="R66" s="68">
        <f t="shared" si="56"/>
        <v>570.364157332639</v>
      </c>
      <c r="S66" s="68"/>
      <c r="T66" s="69">
        <f t="shared" si="57"/>
        <v>1.9581766084918</v>
      </c>
      <c r="U66" s="68"/>
      <c r="V66" s="68"/>
      <c r="W66" s="68">
        <f t="shared" si="52"/>
        <v>572.322333941131</v>
      </c>
      <c r="X66" s="70">
        <f t="shared" si="58"/>
        <v>11.6267830164105</v>
      </c>
      <c r="Y66" s="70"/>
      <c r="Z66" s="70"/>
      <c r="AA66" s="70">
        <f t="shared" si="53"/>
        <v>11.6267830164105</v>
      </c>
      <c r="AB66" s="80">
        <v>7.24</v>
      </c>
      <c r="AC66" s="68">
        <f t="shared" si="54"/>
        <v>84.1779090388122</v>
      </c>
      <c r="AD66" s="68">
        <f t="shared" si="49"/>
        <v>656.500242979943</v>
      </c>
      <c r="AE66" s="68">
        <f t="shared" si="55"/>
        <v>220.987757020057</v>
      </c>
    </row>
    <row r="67" customFormat="1" spans="1:31">
      <c r="A67" s="18"/>
      <c r="B67" s="19"/>
      <c r="C67" s="20">
        <v>240603000022</v>
      </c>
      <c r="D67" s="21">
        <v>45454</v>
      </c>
      <c r="E67" s="21" t="s">
        <v>44</v>
      </c>
      <c r="F67" s="19" t="s">
        <v>45</v>
      </c>
      <c r="G67" s="19" t="s">
        <v>117</v>
      </c>
      <c r="H67" s="19">
        <v>27</v>
      </c>
      <c r="I67" s="38">
        <v>1439</v>
      </c>
      <c r="J67" s="39"/>
      <c r="K67" s="40"/>
      <c r="L67" s="19"/>
      <c r="M67" s="40"/>
      <c r="N67" s="41"/>
      <c r="O67" s="42">
        <f t="shared" ref="O67:O72" si="62">SUM(I67)</f>
        <v>1439</v>
      </c>
      <c r="P67" s="44"/>
      <c r="Q67" s="44"/>
      <c r="R67" s="68">
        <f t="shared" si="56"/>
        <v>1099.98801771295</v>
      </c>
      <c r="S67" s="68"/>
      <c r="T67" s="69">
        <f t="shared" si="57"/>
        <v>3.77648345923418</v>
      </c>
      <c r="U67" s="68"/>
      <c r="V67" s="68"/>
      <c r="W67" s="68">
        <f t="shared" si="52"/>
        <v>1103.76450117218</v>
      </c>
      <c r="X67" s="70">
        <f t="shared" si="58"/>
        <v>22.4230815316489</v>
      </c>
      <c r="Y67" s="70"/>
      <c r="Z67" s="70"/>
      <c r="AA67" s="70">
        <f t="shared" si="53"/>
        <v>22.4230815316489</v>
      </c>
      <c r="AB67" s="80">
        <v>7.24</v>
      </c>
      <c r="AC67" s="68">
        <f t="shared" si="54"/>
        <v>162.343110289138</v>
      </c>
      <c r="AD67" s="68">
        <f t="shared" si="49"/>
        <v>1266.10761146132</v>
      </c>
      <c r="AE67" s="68">
        <f t="shared" si="55"/>
        <v>172.892388538682</v>
      </c>
    </row>
    <row r="68" customFormat="1" spans="1:31">
      <c r="A68" s="18"/>
      <c r="B68" s="19"/>
      <c r="C68" s="20">
        <v>240603000024</v>
      </c>
      <c r="D68" s="21">
        <v>45454</v>
      </c>
      <c r="E68" s="21" t="s">
        <v>44</v>
      </c>
      <c r="F68" s="19" t="s">
        <v>45</v>
      </c>
      <c r="G68" s="19" t="s">
        <v>118</v>
      </c>
      <c r="H68" s="19">
        <v>3</v>
      </c>
      <c r="I68" s="42"/>
      <c r="J68" s="46">
        <v>41154</v>
      </c>
      <c r="K68" s="40"/>
      <c r="L68" s="47">
        <f t="shared" si="60"/>
        <v>1501.97080291971</v>
      </c>
      <c r="M68" s="48">
        <v>27.4</v>
      </c>
      <c r="N68" s="41">
        <v>7.24</v>
      </c>
      <c r="O68" s="42">
        <f t="shared" si="61"/>
        <v>198.376</v>
      </c>
      <c r="P68" s="44"/>
      <c r="Q68" s="44"/>
      <c r="R68" s="68">
        <f t="shared" si="56"/>
        <v>122.220890856994</v>
      </c>
      <c r="S68" s="68"/>
      <c r="T68" s="69">
        <f t="shared" si="57"/>
        <v>0.419609273248242</v>
      </c>
      <c r="U68" s="68"/>
      <c r="V68" s="68"/>
      <c r="W68" s="68">
        <f t="shared" si="52"/>
        <v>122.640500130242</v>
      </c>
      <c r="X68" s="70">
        <f t="shared" si="58"/>
        <v>2.49145350351654</v>
      </c>
      <c r="Y68" s="70"/>
      <c r="Z68" s="70"/>
      <c r="AA68" s="70">
        <f t="shared" si="53"/>
        <v>2.49145350351654</v>
      </c>
      <c r="AB68" s="80">
        <v>7.24</v>
      </c>
      <c r="AC68" s="68">
        <f t="shared" si="54"/>
        <v>18.0381233654598</v>
      </c>
      <c r="AD68" s="68">
        <f t="shared" si="49"/>
        <v>140.678623495702</v>
      </c>
      <c r="AE68" s="68">
        <f t="shared" si="55"/>
        <v>57.697376504298</v>
      </c>
    </row>
    <row r="69" customFormat="1" spans="1:31">
      <c r="A69" s="18"/>
      <c r="B69" s="19"/>
      <c r="C69" s="20">
        <v>240603000025</v>
      </c>
      <c r="D69" s="21">
        <v>45454</v>
      </c>
      <c r="E69" s="21" t="s">
        <v>51</v>
      </c>
      <c r="F69" s="19" t="s">
        <v>52</v>
      </c>
      <c r="G69" s="19" t="s">
        <v>119</v>
      </c>
      <c r="H69" s="19">
        <v>8.5</v>
      </c>
      <c r="I69" s="42"/>
      <c r="J69" s="46">
        <v>120013</v>
      </c>
      <c r="K69" s="40"/>
      <c r="L69" s="47">
        <f t="shared" si="60"/>
        <v>1623.99188092016</v>
      </c>
      <c r="M69" s="48">
        <v>73.9</v>
      </c>
      <c r="N69" s="41">
        <v>7.24</v>
      </c>
      <c r="O69" s="42">
        <f t="shared" si="61"/>
        <v>535.036</v>
      </c>
      <c r="P69" s="44"/>
      <c r="Q69" s="44"/>
      <c r="R69" s="68">
        <f t="shared" si="56"/>
        <v>346.292524094816</v>
      </c>
      <c r="S69" s="68"/>
      <c r="T69" s="69">
        <f t="shared" si="57"/>
        <v>1.18889294087002</v>
      </c>
      <c r="U69" s="68"/>
      <c r="V69" s="68"/>
      <c r="W69" s="68">
        <f t="shared" si="52"/>
        <v>347.481417035686</v>
      </c>
      <c r="X69" s="70">
        <f t="shared" si="58"/>
        <v>7.05911825996353</v>
      </c>
      <c r="Y69" s="70"/>
      <c r="Z69" s="70"/>
      <c r="AA69" s="70">
        <f t="shared" si="53"/>
        <v>7.05911825996353</v>
      </c>
      <c r="AB69" s="80">
        <v>7.24</v>
      </c>
      <c r="AC69" s="68">
        <f t="shared" si="54"/>
        <v>51.108016202136</v>
      </c>
      <c r="AD69" s="68">
        <f t="shared" si="49"/>
        <v>398.589433237822</v>
      </c>
      <c r="AE69" s="68">
        <f t="shared" si="55"/>
        <v>136.446566762178</v>
      </c>
    </row>
    <row r="70" customFormat="1" spans="1:31">
      <c r="A70" s="18"/>
      <c r="B70" s="19"/>
      <c r="C70" s="20">
        <v>240603000026</v>
      </c>
      <c r="D70" s="21">
        <v>45454</v>
      </c>
      <c r="E70" s="21" t="s">
        <v>48</v>
      </c>
      <c r="F70" s="19" t="s">
        <v>49</v>
      </c>
      <c r="G70" s="19" t="s">
        <v>120</v>
      </c>
      <c r="H70" s="19">
        <v>0.21</v>
      </c>
      <c r="I70" s="38">
        <v>53</v>
      </c>
      <c r="J70" s="39"/>
      <c r="K70" s="40"/>
      <c r="L70" s="19"/>
      <c r="M70" s="40"/>
      <c r="N70" s="41"/>
      <c r="O70" s="42">
        <f t="shared" si="62"/>
        <v>53</v>
      </c>
      <c r="P70" s="44"/>
      <c r="Q70" s="44"/>
      <c r="R70" s="68">
        <f t="shared" si="56"/>
        <v>8.55546235998958</v>
      </c>
      <c r="S70" s="68"/>
      <c r="T70" s="69">
        <f t="shared" si="57"/>
        <v>0.0293726491273769</v>
      </c>
      <c r="U70" s="68"/>
      <c r="V70" s="68"/>
      <c r="W70" s="68">
        <f t="shared" si="52"/>
        <v>8.58483500911696</v>
      </c>
      <c r="X70" s="70">
        <f t="shared" si="58"/>
        <v>0.174401745246158</v>
      </c>
      <c r="Y70" s="70"/>
      <c r="Z70" s="70"/>
      <c r="AA70" s="70">
        <f t="shared" si="53"/>
        <v>0.174401745246158</v>
      </c>
      <c r="AB70" s="80">
        <v>7.24</v>
      </c>
      <c r="AC70" s="68">
        <f t="shared" si="54"/>
        <v>1.26266863558218</v>
      </c>
      <c r="AD70" s="68">
        <f t="shared" si="49"/>
        <v>9.84750364469914</v>
      </c>
      <c r="AE70" s="68">
        <f t="shared" si="55"/>
        <v>43.1524963553009</v>
      </c>
    </row>
    <row r="71" customFormat="1" spans="1:31">
      <c r="A71" s="18"/>
      <c r="B71" s="19"/>
      <c r="C71" s="20">
        <v>240604000001</v>
      </c>
      <c r="D71" s="21">
        <v>45454</v>
      </c>
      <c r="E71" s="21" t="s">
        <v>48</v>
      </c>
      <c r="F71" s="19" t="s">
        <v>49</v>
      </c>
      <c r="G71" s="19" t="s">
        <v>121</v>
      </c>
      <c r="H71" s="19">
        <v>229</v>
      </c>
      <c r="I71" s="38">
        <v>15445</v>
      </c>
      <c r="J71" s="39"/>
      <c r="K71" s="40"/>
      <c r="L71" s="19"/>
      <c r="M71" s="40"/>
      <c r="N71" s="41"/>
      <c r="O71" s="42">
        <f t="shared" si="62"/>
        <v>15445</v>
      </c>
      <c r="P71" s="44"/>
      <c r="Q71" s="44"/>
      <c r="R71" s="68">
        <f t="shared" si="56"/>
        <v>9329.52800208388</v>
      </c>
      <c r="S71" s="68"/>
      <c r="T71" s="69">
        <f t="shared" si="57"/>
        <v>32.0301745246158</v>
      </c>
      <c r="U71" s="69">
        <v>60</v>
      </c>
      <c r="V71" s="68"/>
      <c r="W71" s="68">
        <f t="shared" si="52"/>
        <v>9421.55817660849</v>
      </c>
      <c r="X71" s="70">
        <f t="shared" si="58"/>
        <v>190.180950768429</v>
      </c>
      <c r="Y71" s="70"/>
      <c r="Z71" s="70"/>
      <c r="AA71" s="70">
        <f t="shared" si="53"/>
        <v>190.180950768429</v>
      </c>
      <c r="AB71" s="80">
        <v>7.24</v>
      </c>
      <c r="AC71" s="68">
        <f t="shared" si="54"/>
        <v>1376.91008356343</v>
      </c>
      <c r="AD71" s="68">
        <f t="shared" si="49"/>
        <v>10798.4682601719</v>
      </c>
      <c r="AE71" s="68">
        <f t="shared" si="55"/>
        <v>4646.53173982808</v>
      </c>
    </row>
    <row r="72" customFormat="1" spans="1:31">
      <c r="A72" s="18"/>
      <c r="B72" s="19"/>
      <c r="C72" s="20">
        <v>240604000002</v>
      </c>
      <c r="D72" s="21">
        <v>45454</v>
      </c>
      <c r="E72" s="21" t="s">
        <v>66</v>
      </c>
      <c r="F72" s="19" t="s">
        <v>122</v>
      </c>
      <c r="G72" s="19" t="s">
        <v>123</v>
      </c>
      <c r="H72" s="19">
        <v>0.5</v>
      </c>
      <c r="I72" s="38">
        <v>61</v>
      </c>
      <c r="J72" s="39"/>
      <c r="K72" s="40"/>
      <c r="L72" s="19"/>
      <c r="M72" s="40"/>
      <c r="N72" s="41"/>
      <c r="O72" s="42">
        <f t="shared" si="62"/>
        <v>61</v>
      </c>
      <c r="P72" s="44"/>
      <c r="Q72" s="44"/>
      <c r="R72" s="68">
        <f t="shared" si="56"/>
        <v>20.3701484761657</v>
      </c>
      <c r="S72" s="68"/>
      <c r="T72" s="69">
        <f t="shared" si="57"/>
        <v>0.069934878874707</v>
      </c>
      <c r="U72" s="68"/>
      <c r="V72" s="68"/>
      <c r="W72" s="68">
        <f t="shared" si="52"/>
        <v>20.4400833550404</v>
      </c>
      <c r="X72" s="70">
        <f t="shared" si="58"/>
        <v>0.41524225058609</v>
      </c>
      <c r="Y72" s="70"/>
      <c r="Z72" s="70"/>
      <c r="AA72" s="70">
        <f t="shared" si="53"/>
        <v>0.41524225058609</v>
      </c>
      <c r="AB72" s="80">
        <v>7.24</v>
      </c>
      <c r="AC72" s="68">
        <f t="shared" si="54"/>
        <v>3.00635389424329</v>
      </c>
      <c r="AD72" s="68">
        <f t="shared" si="49"/>
        <v>23.4464372492837</v>
      </c>
      <c r="AE72" s="68">
        <f t="shared" si="55"/>
        <v>37.5535627507163</v>
      </c>
    </row>
    <row r="73" customFormat="1" spans="1:31">
      <c r="A73" s="18"/>
      <c r="B73" s="19"/>
      <c r="C73" s="20">
        <v>240604000003</v>
      </c>
      <c r="D73" s="21">
        <v>45454</v>
      </c>
      <c r="E73" s="21" t="s">
        <v>48</v>
      </c>
      <c r="F73" s="19" t="s">
        <v>49</v>
      </c>
      <c r="G73" s="19" t="s">
        <v>124</v>
      </c>
      <c r="H73" s="19">
        <v>5</v>
      </c>
      <c r="I73" s="45"/>
      <c r="J73" s="46">
        <v>72000</v>
      </c>
      <c r="K73" s="40"/>
      <c r="L73" s="47">
        <f t="shared" ref="L73:L76" si="63">SUM(J73/M73)</f>
        <v>1629.32790224033</v>
      </c>
      <c r="M73" s="48">
        <v>44.19</v>
      </c>
      <c r="N73" s="41">
        <v>7.24</v>
      </c>
      <c r="O73" s="42">
        <f>SUM(M73*N73)</f>
        <v>319.9356</v>
      </c>
      <c r="P73" s="44"/>
      <c r="Q73" s="44"/>
      <c r="R73" s="68">
        <f t="shared" si="56"/>
        <v>203.701484761657</v>
      </c>
      <c r="S73" s="68"/>
      <c r="T73" s="69">
        <f t="shared" si="57"/>
        <v>0.69934878874707</v>
      </c>
      <c r="U73" s="68"/>
      <c r="V73" s="68"/>
      <c r="W73" s="68">
        <f t="shared" si="52"/>
        <v>204.400833550404</v>
      </c>
      <c r="X73" s="70">
        <f t="shared" si="58"/>
        <v>4.1524225058609</v>
      </c>
      <c r="Y73" s="70"/>
      <c r="Z73" s="70"/>
      <c r="AA73" s="70">
        <f t="shared" si="53"/>
        <v>4.1524225058609</v>
      </c>
      <c r="AB73" s="80">
        <v>7.24</v>
      </c>
      <c r="AC73" s="68">
        <f t="shared" si="54"/>
        <v>30.0635389424329</v>
      </c>
      <c r="AD73" s="68">
        <f t="shared" si="49"/>
        <v>234.464372492837</v>
      </c>
      <c r="AE73" s="68">
        <f t="shared" si="55"/>
        <v>85.4712275071633</v>
      </c>
    </row>
    <row r="74" customFormat="1" spans="1:31">
      <c r="A74" s="18"/>
      <c r="B74" s="19"/>
      <c r="C74" s="20">
        <v>240604000004</v>
      </c>
      <c r="D74" s="21">
        <v>45454</v>
      </c>
      <c r="E74" s="21" t="s">
        <v>48</v>
      </c>
      <c r="F74" s="19" t="s">
        <v>49</v>
      </c>
      <c r="G74" s="19" t="s">
        <v>124</v>
      </c>
      <c r="H74" s="19">
        <v>20.5</v>
      </c>
      <c r="I74" s="45"/>
      <c r="J74" s="46">
        <v>276750</v>
      </c>
      <c r="K74" s="40"/>
      <c r="L74" s="47">
        <f t="shared" si="63"/>
        <v>1629.09112314575</v>
      </c>
      <c r="M74" s="48">
        <v>169.88</v>
      </c>
      <c r="N74" s="41">
        <v>7.24</v>
      </c>
      <c r="O74" s="42">
        <f>SUM(M74*N74)</f>
        <v>1229.9312</v>
      </c>
      <c r="P74" s="44"/>
      <c r="Q74" s="44"/>
      <c r="R74" s="68">
        <f t="shared" si="56"/>
        <v>835.176087522792</v>
      </c>
      <c r="S74" s="68"/>
      <c r="T74" s="69">
        <f t="shared" si="57"/>
        <v>2.86733003386299</v>
      </c>
      <c r="U74" s="68"/>
      <c r="V74" s="68"/>
      <c r="W74" s="68">
        <f t="shared" si="52"/>
        <v>838.043417556655</v>
      </c>
      <c r="X74" s="70">
        <f t="shared" si="58"/>
        <v>17.0249322740297</v>
      </c>
      <c r="Y74" s="70"/>
      <c r="Z74" s="70"/>
      <c r="AA74" s="70">
        <f t="shared" si="53"/>
        <v>17.0249322740297</v>
      </c>
      <c r="AB74" s="80">
        <v>7.24</v>
      </c>
      <c r="AC74" s="68">
        <f t="shared" si="54"/>
        <v>123.260509663975</v>
      </c>
      <c r="AD74" s="68">
        <f t="shared" si="49"/>
        <v>961.30392722063</v>
      </c>
      <c r="AE74" s="68">
        <f t="shared" si="55"/>
        <v>268.62727277937</v>
      </c>
    </row>
    <row r="75" customFormat="1" spans="1:31">
      <c r="A75" s="18"/>
      <c r="B75" s="19"/>
      <c r="C75" s="20">
        <v>240604000005</v>
      </c>
      <c r="D75" s="21">
        <v>45454</v>
      </c>
      <c r="E75" s="21" t="s">
        <v>48</v>
      </c>
      <c r="F75" s="19" t="s">
        <v>49</v>
      </c>
      <c r="G75" s="19" t="s">
        <v>80</v>
      </c>
      <c r="H75" s="19">
        <v>45</v>
      </c>
      <c r="I75" s="45"/>
      <c r="J75" s="46">
        <v>684859</v>
      </c>
      <c r="K75" s="40"/>
      <c r="L75" s="47">
        <f t="shared" si="63"/>
        <v>1643.4906769696</v>
      </c>
      <c r="M75" s="48">
        <v>416.71</v>
      </c>
      <c r="N75" s="41">
        <v>7.24</v>
      </c>
      <c r="O75" s="42">
        <f>SUM(M75*N75)</f>
        <v>3016.9804</v>
      </c>
      <c r="P75" s="44"/>
      <c r="Q75" s="44"/>
      <c r="R75" s="68">
        <f t="shared" si="56"/>
        <v>1833.31336285491</v>
      </c>
      <c r="S75" s="68"/>
      <c r="T75" s="69">
        <f t="shared" si="57"/>
        <v>6.29413909872363</v>
      </c>
      <c r="U75" s="68"/>
      <c r="V75" s="69">
        <v>407</v>
      </c>
      <c r="W75" s="68">
        <f t="shared" si="52"/>
        <v>2246.60750195363</v>
      </c>
      <c r="X75" s="70">
        <f t="shared" si="58"/>
        <v>37.3718025527481</v>
      </c>
      <c r="Y75" s="70"/>
      <c r="Z75" s="70"/>
      <c r="AA75" s="70">
        <f t="shared" si="53"/>
        <v>37.3718025527481</v>
      </c>
      <c r="AB75" s="80">
        <v>7.24</v>
      </c>
      <c r="AC75" s="68">
        <f t="shared" si="54"/>
        <v>270.571850481896</v>
      </c>
      <c r="AD75" s="68">
        <f t="shared" si="49"/>
        <v>2517.17935243553</v>
      </c>
      <c r="AE75" s="68">
        <f t="shared" si="55"/>
        <v>499.80104756447</v>
      </c>
    </row>
    <row r="76" customFormat="1" spans="1:31">
      <c r="A76" s="18"/>
      <c r="B76" s="19"/>
      <c r="C76" s="20">
        <v>240604000009</v>
      </c>
      <c r="D76" s="21">
        <v>45454</v>
      </c>
      <c r="E76" s="21" t="s">
        <v>41</v>
      </c>
      <c r="F76" s="19" t="s">
        <v>42</v>
      </c>
      <c r="G76" s="19" t="s">
        <v>125</v>
      </c>
      <c r="H76" s="19">
        <v>1.5</v>
      </c>
      <c r="I76" s="42"/>
      <c r="J76" s="46">
        <v>19000.3</v>
      </c>
      <c r="K76" s="40"/>
      <c r="L76" s="47">
        <f t="shared" si="63"/>
        <v>1501.99988126483</v>
      </c>
      <c r="M76" s="48">
        <v>12.650001</v>
      </c>
      <c r="N76" s="41">
        <v>7.24</v>
      </c>
      <c r="O76" s="42">
        <f>SUM(M76*N76)</f>
        <v>91.58600724</v>
      </c>
      <c r="P76" s="44"/>
      <c r="Q76" s="44"/>
      <c r="R76" s="68">
        <f t="shared" si="56"/>
        <v>61.110445428497</v>
      </c>
      <c r="S76" s="68"/>
      <c r="T76" s="69">
        <f t="shared" si="57"/>
        <v>0.209804636624121</v>
      </c>
      <c r="U76" s="68"/>
      <c r="V76" s="68"/>
      <c r="W76" s="68">
        <f t="shared" si="52"/>
        <v>61.3202500651211</v>
      </c>
      <c r="X76" s="70">
        <f t="shared" si="58"/>
        <v>1.24572675175827</v>
      </c>
      <c r="Y76" s="70"/>
      <c r="Z76" s="70"/>
      <c r="AA76" s="70">
        <f t="shared" si="53"/>
        <v>1.24572675175827</v>
      </c>
      <c r="AB76" s="80">
        <v>7.24</v>
      </c>
      <c r="AC76" s="68">
        <f t="shared" si="54"/>
        <v>9.01906168272988</v>
      </c>
      <c r="AD76" s="68">
        <f t="shared" si="49"/>
        <v>70.339311747851</v>
      </c>
      <c r="AE76" s="68">
        <f t="shared" si="55"/>
        <v>21.246695492149</v>
      </c>
    </row>
    <row r="77" customFormat="1" spans="1:31">
      <c r="A77" s="18"/>
      <c r="B77" s="19"/>
      <c r="C77" s="81">
        <v>240604000010</v>
      </c>
      <c r="D77" s="82">
        <v>45454</v>
      </c>
      <c r="E77" s="21" t="s">
        <v>48</v>
      </c>
      <c r="F77" s="83" t="s">
        <v>49</v>
      </c>
      <c r="G77" s="83" t="s">
        <v>126</v>
      </c>
      <c r="H77" s="83">
        <v>502</v>
      </c>
      <c r="I77" s="38">
        <v>28250</v>
      </c>
      <c r="J77" s="39"/>
      <c r="K77" s="40"/>
      <c r="L77" s="19"/>
      <c r="M77" s="40"/>
      <c r="N77" s="41"/>
      <c r="O77" s="42">
        <f t="shared" ref="O77:O83" si="64">SUM(I77)</f>
        <v>28250</v>
      </c>
      <c r="P77" s="44"/>
      <c r="Q77" s="44"/>
      <c r="R77" s="68">
        <f t="shared" si="56"/>
        <v>20451.6290700703</v>
      </c>
      <c r="S77" s="68"/>
      <c r="T77" s="69">
        <f t="shared" si="57"/>
        <v>70.2146183902058</v>
      </c>
      <c r="U77" s="69">
        <f>SUM(200+220)</f>
        <v>420</v>
      </c>
      <c r="V77" s="69">
        <f>SUM(134+23)</f>
        <v>157</v>
      </c>
      <c r="W77" s="68">
        <f t="shared" si="52"/>
        <v>21098.8436884605</v>
      </c>
      <c r="X77" s="70">
        <f t="shared" si="58"/>
        <v>416.903219588435</v>
      </c>
      <c r="Y77" s="70"/>
      <c r="Z77" s="70"/>
      <c r="AA77" s="70">
        <f t="shared" si="53"/>
        <v>416.903219588435</v>
      </c>
      <c r="AB77" s="80">
        <v>7.24</v>
      </c>
      <c r="AC77" s="68">
        <f t="shared" si="54"/>
        <v>3018.37930982027</v>
      </c>
      <c r="AD77" s="68">
        <f t="shared" si="49"/>
        <v>24117.2229982808</v>
      </c>
      <c r="AE77" s="68">
        <f t="shared" si="55"/>
        <v>4132.7770017192</v>
      </c>
    </row>
    <row r="78" customFormat="1" spans="1:31">
      <c r="A78" s="18"/>
      <c r="B78" s="19"/>
      <c r="C78" s="20">
        <v>240604000012</v>
      </c>
      <c r="D78" s="21">
        <v>45454</v>
      </c>
      <c r="E78" s="21" t="s">
        <v>44</v>
      </c>
      <c r="F78" s="19" t="s">
        <v>45</v>
      </c>
      <c r="G78" s="19" t="s">
        <v>127</v>
      </c>
      <c r="H78" s="19">
        <v>1.5</v>
      </c>
      <c r="I78" s="42"/>
      <c r="J78" s="46">
        <v>19051</v>
      </c>
      <c r="K78" s="40"/>
      <c r="L78" s="47">
        <f>SUM(J78/M78)</f>
        <v>1506.00778608634</v>
      </c>
      <c r="M78" s="48">
        <v>12.650001</v>
      </c>
      <c r="N78" s="41">
        <v>7.24</v>
      </c>
      <c r="O78" s="42">
        <f>SUM(M78*N78)</f>
        <v>91.58600724</v>
      </c>
      <c r="P78" s="44"/>
      <c r="Q78" s="44"/>
      <c r="R78" s="68">
        <f t="shared" si="56"/>
        <v>61.110445428497</v>
      </c>
      <c r="S78" s="68"/>
      <c r="T78" s="69">
        <f t="shared" si="57"/>
        <v>0.209804636624121</v>
      </c>
      <c r="U78" s="68"/>
      <c r="V78" s="68"/>
      <c r="W78" s="68">
        <f t="shared" si="52"/>
        <v>61.3202500651211</v>
      </c>
      <c r="X78" s="70">
        <f t="shared" si="58"/>
        <v>1.24572675175827</v>
      </c>
      <c r="Y78" s="70"/>
      <c r="Z78" s="70"/>
      <c r="AA78" s="70">
        <f t="shared" si="53"/>
        <v>1.24572675175827</v>
      </c>
      <c r="AB78" s="80">
        <v>7.24</v>
      </c>
      <c r="AC78" s="68">
        <f t="shared" si="54"/>
        <v>9.01906168272988</v>
      </c>
      <c r="AD78" s="68">
        <f t="shared" si="49"/>
        <v>70.339311747851</v>
      </c>
      <c r="AE78" s="68">
        <f t="shared" si="55"/>
        <v>21.246695492149</v>
      </c>
    </row>
    <row r="79" customFormat="1" spans="1:31">
      <c r="A79" s="18"/>
      <c r="B79" s="19"/>
      <c r="C79" s="20">
        <v>240604000014</v>
      </c>
      <c r="D79" s="21">
        <v>45454</v>
      </c>
      <c r="E79" s="21" t="s">
        <v>41</v>
      </c>
      <c r="F79" s="19" t="s">
        <v>42</v>
      </c>
      <c r="G79" s="19" t="s">
        <v>74</v>
      </c>
      <c r="H79" s="19">
        <v>482</v>
      </c>
      <c r="I79" s="38">
        <v>27758.2</v>
      </c>
      <c r="J79" s="39"/>
      <c r="K79" s="40"/>
      <c r="L79" s="19"/>
      <c r="M79" s="40"/>
      <c r="N79" s="41"/>
      <c r="O79" s="42">
        <f t="shared" si="64"/>
        <v>27758.2</v>
      </c>
      <c r="P79" s="44"/>
      <c r="Q79" s="44"/>
      <c r="R79" s="68">
        <f t="shared" si="56"/>
        <v>19636.8231310237</v>
      </c>
      <c r="S79" s="68"/>
      <c r="T79" s="69">
        <f t="shared" si="57"/>
        <v>67.4172232352175</v>
      </c>
      <c r="U79" s="69">
        <f>SUM(590+360)</f>
        <v>950</v>
      </c>
      <c r="V79" s="68"/>
      <c r="W79" s="68">
        <f t="shared" si="52"/>
        <v>20654.2403542589</v>
      </c>
      <c r="X79" s="70">
        <f t="shared" si="58"/>
        <v>400.293529564991</v>
      </c>
      <c r="Y79" s="70"/>
      <c r="Z79" s="70"/>
      <c r="AA79" s="70">
        <f t="shared" si="53"/>
        <v>400.293529564991</v>
      </c>
      <c r="AB79" s="80">
        <v>7.24</v>
      </c>
      <c r="AC79" s="68">
        <f t="shared" si="54"/>
        <v>2898.12515405053</v>
      </c>
      <c r="AD79" s="68">
        <f t="shared" si="49"/>
        <v>23552.3655083095</v>
      </c>
      <c r="AE79" s="68">
        <f t="shared" si="55"/>
        <v>4205.83449169054</v>
      </c>
    </row>
    <row r="80" customFormat="1" spans="1:31">
      <c r="A80" s="18"/>
      <c r="B80" s="19"/>
      <c r="C80" s="20">
        <v>240604000015</v>
      </c>
      <c r="D80" s="21">
        <v>45454</v>
      </c>
      <c r="E80" s="21" t="s">
        <v>37</v>
      </c>
      <c r="F80" s="19" t="s">
        <v>37</v>
      </c>
      <c r="G80" s="19" t="s">
        <v>128</v>
      </c>
      <c r="H80" s="19">
        <v>16.5</v>
      </c>
      <c r="I80" s="38">
        <v>946.5</v>
      </c>
      <c r="J80" s="39"/>
      <c r="K80" s="40"/>
      <c r="L80" s="19"/>
      <c r="M80" s="40"/>
      <c r="N80" s="41"/>
      <c r="O80" s="42">
        <f t="shared" si="64"/>
        <v>946.5</v>
      </c>
      <c r="P80" s="44"/>
      <c r="Q80" s="44"/>
      <c r="R80" s="68">
        <f t="shared" si="56"/>
        <v>672.214899713467</v>
      </c>
      <c r="S80" s="68"/>
      <c r="T80" s="69">
        <f t="shared" si="57"/>
        <v>2.30785100286533</v>
      </c>
      <c r="U80" s="68"/>
      <c r="V80" s="68"/>
      <c r="W80" s="68">
        <f t="shared" si="52"/>
        <v>674.522750716332</v>
      </c>
      <c r="X80" s="70">
        <f t="shared" si="58"/>
        <v>13.702994269341</v>
      </c>
      <c r="Y80" s="70"/>
      <c r="Z80" s="70"/>
      <c r="AA80" s="70">
        <f t="shared" si="53"/>
        <v>13.702994269341</v>
      </c>
      <c r="AB80" s="80">
        <v>7.24</v>
      </c>
      <c r="AC80" s="68">
        <f t="shared" si="54"/>
        <v>99.2096785100287</v>
      </c>
      <c r="AD80" s="68">
        <f t="shared" si="49"/>
        <v>773.732429226361</v>
      </c>
      <c r="AE80" s="68">
        <f t="shared" si="55"/>
        <v>172.767570773639</v>
      </c>
    </row>
    <row r="81" customFormat="1" spans="1:31">
      <c r="A81" s="18"/>
      <c r="B81" s="19"/>
      <c r="C81" s="20">
        <v>240604000017</v>
      </c>
      <c r="D81" s="21">
        <v>45454</v>
      </c>
      <c r="E81" s="21" t="s">
        <v>51</v>
      </c>
      <c r="F81" s="19" t="s">
        <v>52</v>
      </c>
      <c r="G81" s="19" t="s">
        <v>129</v>
      </c>
      <c r="H81" s="19">
        <v>13</v>
      </c>
      <c r="I81" s="38">
        <v>799</v>
      </c>
      <c r="J81" s="39"/>
      <c r="K81" s="40"/>
      <c r="L81" s="19"/>
      <c r="M81" s="40"/>
      <c r="N81" s="41"/>
      <c r="O81" s="42">
        <f t="shared" si="64"/>
        <v>799</v>
      </c>
      <c r="P81" s="44"/>
      <c r="Q81" s="44"/>
      <c r="R81" s="68">
        <f t="shared" si="56"/>
        <v>529.623860380307</v>
      </c>
      <c r="S81" s="68"/>
      <c r="T81" s="69">
        <f t="shared" si="57"/>
        <v>1.81830685074238</v>
      </c>
      <c r="U81" s="68"/>
      <c r="V81" s="68"/>
      <c r="W81" s="68">
        <f t="shared" si="52"/>
        <v>531.44216723105</v>
      </c>
      <c r="X81" s="70">
        <f t="shared" si="58"/>
        <v>10.7962985152383</v>
      </c>
      <c r="Y81" s="70"/>
      <c r="Z81" s="70"/>
      <c r="AA81" s="70">
        <f t="shared" si="53"/>
        <v>10.7962985152383</v>
      </c>
      <c r="AB81" s="80">
        <v>7.24</v>
      </c>
      <c r="AC81" s="68">
        <f t="shared" si="54"/>
        <v>78.1652012503256</v>
      </c>
      <c r="AD81" s="68">
        <f t="shared" si="49"/>
        <v>609.607368481375</v>
      </c>
      <c r="AE81" s="68">
        <f t="shared" si="55"/>
        <v>189.392631518625</v>
      </c>
    </row>
    <row r="82" customFormat="1" spans="1:31">
      <c r="A82" s="18"/>
      <c r="B82" s="19"/>
      <c r="C82" s="20">
        <v>240604000020</v>
      </c>
      <c r="D82" s="21">
        <v>45454</v>
      </c>
      <c r="E82" s="21" t="s">
        <v>48</v>
      </c>
      <c r="F82" s="19" t="s">
        <v>49</v>
      </c>
      <c r="G82" s="19" t="s">
        <v>61</v>
      </c>
      <c r="H82" s="19">
        <v>11</v>
      </c>
      <c r="I82" s="38">
        <v>583</v>
      </c>
      <c r="J82" s="39"/>
      <c r="K82" s="40"/>
      <c r="L82" s="19"/>
      <c r="M82" s="40"/>
      <c r="N82" s="41"/>
      <c r="O82" s="42">
        <f t="shared" si="64"/>
        <v>583</v>
      </c>
      <c r="P82" s="44"/>
      <c r="Q82" s="44"/>
      <c r="R82" s="68">
        <f t="shared" si="56"/>
        <v>448.143266475645</v>
      </c>
      <c r="S82" s="68"/>
      <c r="T82" s="69">
        <f t="shared" si="57"/>
        <v>1.53856733524355</v>
      </c>
      <c r="U82" s="68"/>
      <c r="V82" s="68"/>
      <c r="W82" s="68">
        <f t="shared" si="52"/>
        <v>449.681833810888</v>
      </c>
      <c r="X82" s="70">
        <f t="shared" si="58"/>
        <v>9.13532951289398</v>
      </c>
      <c r="Y82" s="70"/>
      <c r="Z82" s="70"/>
      <c r="AA82" s="70">
        <f t="shared" si="53"/>
        <v>9.13532951289398</v>
      </c>
      <c r="AB82" s="80">
        <v>7.24</v>
      </c>
      <c r="AC82" s="68">
        <f t="shared" si="54"/>
        <v>66.1397856733524</v>
      </c>
      <c r="AD82" s="68">
        <f t="shared" si="49"/>
        <v>515.821619484241</v>
      </c>
      <c r="AE82" s="68">
        <f t="shared" si="55"/>
        <v>67.1783805157593</v>
      </c>
    </row>
    <row r="83" customFormat="1" spans="1:31">
      <c r="A83" s="18"/>
      <c r="B83" s="19"/>
      <c r="C83" s="20">
        <v>240604000023</v>
      </c>
      <c r="D83" s="21">
        <v>45454</v>
      </c>
      <c r="E83" s="21" t="s">
        <v>44</v>
      </c>
      <c r="F83" s="19" t="s">
        <v>45</v>
      </c>
      <c r="G83" s="19" t="s">
        <v>130</v>
      </c>
      <c r="H83" s="19">
        <v>24</v>
      </c>
      <c r="I83" s="38">
        <v>1328</v>
      </c>
      <c r="J83" s="39"/>
      <c r="K83" s="40"/>
      <c r="L83" s="19"/>
      <c r="M83" s="40"/>
      <c r="N83" s="41"/>
      <c r="O83" s="42">
        <f t="shared" si="64"/>
        <v>1328</v>
      </c>
      <c r="P83" s="44"/>
      <c r="Q83" s="44"/>
      <c r="R83" s="68">
        <f t="shared" si="56"/>
        <v>977.767126855952</v>
      </c>
      <c r="S83" s="68"/>
      <c r="T83" s="69">
        <f t="shared" si="57"/>
        <v>3.35687418598593</v>
      </c>
      <c r="U83" s="68"/>
      <c r="V83" s="68"/>
      <c r="W83" s="68">
        <f t="shared" si="52"/>
        <v>981.124001041938</v>
      </c>
      <c r="X83" s="70">
        <f t="shared" si="58"/>
        <v>19.9316280281323</v>
      </c>
      <c r="Y83" s="70"/>
      <c r="Z83" s="70"/>
      <c r="AA83" s="70">
        <f t="shared" si="53"/>
        <v>19.9316280281323</v>
      </c>
      <c r="AB83" s="80">
        <v>7.24</v>
      </c>
      <c r="AC83" s="68">
        <f t="shared" si="54"/>
        <v>144.304986923678</v>
      </c>
      <c r="AD83" s="68">
        <f t="shared" ref="AD83:AD114" si="65">SUM(W83+AC83)</f>
        <v>1125.42898796562</v>
      </c>
      <c r="AE83" s="68">
        <f t="shared" si="55"/>
        <v>202.571012034384</v>
      </c>
    </row>
    <row r="84" customFormat="1" spans="1:31">
      <c r="A84" s="18"/>
      <c r="B84" s="19"/>
      <c r="C84" s="20">
        <v>240604000026</v>
      </c>
      <c r="D84" s="21">
        <v>45454</v>
      </c>
      <c r="E84" s="21" t="s">
        <v>48</v>
      </c>
      <c r="F84" s="19" t="s">
        <v>49</v>
      </c>
      <c r="G84" s="19" t="s">
        <v>73</v>
      </c>
      <c r="H84" s="19">
        <v>2</v>
      </c>
      <c r="I84" s="45"/>
      <c r="J84" s="46">
        <v>28885</v>
      </c>
      <c r="K84" s="40"/>
      <c r="L84" s="47">
        <f t="shared" ref="L84:L88" si="66">SUM(J84/M84)</f>
        <v>1578.41530054645</v>
      </c>
      <c r="M84" s="48">
        <v>18.3</v>
      </c>
      <c r="N84" s="41">
        <v>7.24</v>
      </c>
      <c r="O84" s="42">
        <f>SUM(M84*N84)</f>
        <v>132.492</v>
      </c>
      <c r="P84" s="44"/>
      <c r="Q84" s="44"/>
      <c r="R84" s="68">
        <f t="shared" si="56"/>
        <v>81.4805939046627</v>
      </c>
      <c r="S84" s="68"/>
      <c r="T84" s="69">
        <f t="shared" si="57"/>
        <v>0.279739515498828</v>
      </c>
      <c r="U84" s="68"/>
      <c r="V84" s="69">
        <v>13</v>
      </c>
      <c r="W84" s="68">
        <f t="shared" si="52"/>
        <v>94.7603334201615</v>
      </c>
      <c r="X84" s="70">
        <f t="shared" si="58"/>
        <v>1.66096900234436</v>
      </c>
      <c r="Y84" s="70"/>
      <c r="Z84" s="70"/>
      <c r="AA84" s="70">
        <f t="shared" si="53"/>
        <v>1.66096900234436</v>
      </c>
      <c r="AB84" s="80">
        <v>7.24</v>
      </c>
      <c r="AC84" s="68">
        <f t="shared" si="54"/>
        <v>12.0254155769732</v>
      </c>
      <c r="AD84" s="68">
        <f t="shared" si="65"/>
        <v>106.785748997135</v>
      </c>
      <c r="AE84" s="68">
        <f t="shared" si="55"/>
        <v>25.7062510028653</v>
      </c>
    </row>
    <row r="85" customFormat="1" spans="1:31">
      <c r="A85" s="18"/>
      <c r="B85" s="19"/>
      <c r="C85" s="20">
        <v>240604000030</v>
      </c>
      <c r="D85" s="21">
        <v>45454</v>
      </c>
      <c r="E85" s="21" t="s">
        <v>85</v>
      </c>
      <c r="F85" s="19" t="s">
        <v>86</v>
      </c>
      <c r="G85" s="19" t="s">
        <v>131</v>
      </c>
      <c r="H85" s="19">
        <v>6.5</v>
      </c>
      <c r="I85" s="38">
        <v>363.5</v>
      </c>
      <c r="J85" s="39"/>
      <c r="K85" s="40"/>
      <c r="L85" s="19"/>
      <c r="M85" s="40"/>
      <c r="N85" s="41"/>
      <c r="O85" s="42">
        <f>SUM(I85)</f>
        <v>363.5</v>
      </c>
      <c r="P85" s="44"/>
      <c r="Q85" s="44"/>
      <c r="R85" s="68">
        <f t="shared" si="56"/>
        <v>264.811930190154</v>
      </c>
      <c r="S85" s="68"/>
      <c r="T85" s="69">
        <f t="shared" si="57"/>
        <v>0.909153425371191</v>
      </c>
      <c r="U85" s="68"/>
      <c r="V85" s="68"/>
      <c r="W85" s="68">
        <f t="shared" si="52"/>
        <v>265.721083615525</v>
      </c>
      <c r="X85" s="70">
        <f t="shared" si="58"/>
        <v>5.39814925761917</v>
      </c>
      <c r="Y85" s="70"/>
      <c r="Z85" s="70"/>
      <c r="AA85" s="70">
        <f t="shared" si="53"/>
        <v>5.39814925761917</v>
      </c>
      <c r="AB85" s="80">
        <v>7.24</v>
      </c>
      <c r="AC85" s="68">
        <f t="shared" si="54"/>
        <v>39.0826006251628</v>
      </c>
      <c r="AD85" s="68">
        <f t="shared" si="65"/>
        <v>304.803684240688</v>
      </c>
      <c r="AE85" s="68">
        <f t="shared" si="55"/>
        <v>58.6963157593123</v>
      </c>
    </row>
    <row r="86" customFormat="1" spans="1:31">
      <c r="A86" s="18"/>
      <c r="B86" s="19"/>
      <c r="C86" s="20">
        <v>240604000033</v>
      </c>
      <c r="D86" s="21">
        <v>45454</v>
      </c>
      <c r="E86" s="21" t="s">
        <v>44</v>
      </c>
      <c r="F86" s="19" t="s">
        <v>45</v>
      </c>
      <c r="G86" s="19" t="s">
        <v>62</v>
      </c>
      <c r="H86" s="19">
        <v>315</v>
      </c>
      <c r="I86" s="42"/>
      <c r="J86" s="46">
        <v>3728615.04</v>
      </c>
      <c r="K86" s="40"/>
      <c r="L86" s="47">
        <f t="shared" si="66"/>
        <v>1506</v>
      </c>
      <c r="M86" s="48">
        <v>2475.84</v>
      </c>
      <c r="N86" s="41">
        <v>7.24</v>
      </c>
      <c r="O86" s="42">
        <f t="shared" ref="O84:O88" si="67">SUM(M86*N86)</f>
        <v>17925.0816</v>
      </c>
      <c r="P86" s="44"/>
      <c r="Q86" s="44"/>
      <c r="R86" s="68">
        <f t="shared" si="56"/>
        <v>12833.1935399844</v>
      </c>
      <c r="S86" s="68"/>
      <c r="T86" s="69">
        <f t="shared" si="57"/>
        <v>44.0589736910654</v>
      </c>
      <c r="U86" s="69">
        <v>320</v>
      </c>
      <c r="V86" s="68"/>
      <c r="W86" s="68">
        <f t="shared" ref="W86:W117" si="68">SUM(R86:V86)</f>
        <v>13197.2525136754</v>
      </c>
      <c r="X86" s="70">
        <f t="shared" si="58"/>
        <v>261.602617869237</v>
      </c>
      <c r="Y86" s="70"/>
      <c r="Z86" s="70"/>
      <c r="AA86" s="70">
        <f t="shared" si="53"/>
        <v>261.602617869237</v>
      </c>
      <c r="AB86" s="80">
        <v>7.24</v>
      </c>
      <c r="AC86" s="68">
        <f t="shared" si="54"/>
        <v>1894.00295337327</v>
      </c>
      <c r="AD86" s="68">
        <f t="shared" si="65"/>
        <v>15091.2554670487</v>
      </c>
      <c r="AE86" s="68">
        <f t="shared" si="55"/>
        <v>2833.82613295129</v>
      </c>
    </row>
    <row r="87" customFormat="1" spans="1:31">
      <c r="A87" s="18"/>
      <c r="B87" s="19"/>
      <c r="C87" s="20">
        <v>240605000001</v>
      </c>
      <c r="D87" s="21">
        <v>45454</v>
      </c>
      <c r="E87" s="21" t="s">
        <v>51</v>
      </c>
      <c r="F87" s="19" t="s">
        <v>52</v>
      </c>
      <c r="G87" s="19" t="s">
        <v>53</v>
      </c>
      <c r="H87" s="19">
        <v>3</v>
      </c>
      <c r="I87" s="45"/>
      <c r="J87" s="46">
        <v>36639</v>
      </c>
      <c r="K87" s="40"/>
      <c r="L87" s="47">
        <f t="shared" si="66"/>
        <v>1499.14075286416</v>
      </c>
      <c r="M87" s="48">
        <v>24.44</v>
      </c>
      <c r="N87" s="41">
        <v>7.24</v>
      </c>
      <c r="O87" s="42">
        <f t="shared" si="67"/>
        <v>176.9456</v>
      </c>
      <c r="P87" s="44"/>
      <c r="Q87" s="44"/>
      <c r="R87" s="68">
        <f t="shared" si="56"/>
        <v>122.220890856994</v>
      </c>
      <c r="S87" s="68"/>
      <c r="T87" s="69">
        <f t="shared" si="57"/>
        <v>0.419609273248242</v>
      </c>
      <c r="U87" s="68"/>
      <c r="V87" s="68"/>
      <c r="W87" s="68">
        <f t="shared" si="68"/>
        <v>122.640500130242</v>
      </c>
      <c r="X87" s="70">
        <f t="shared" si="58"/>
        <v>2.49145350351654</v>
      </c>
      <c r="Y87" s="70"/>
      <c r="Z87" s="70"/>
      <c r="AA87" s="70">
        <f t="shared" ref="AA87:AA118" si="69">SUM(X87:Z87)</f>
        <v>2.49145350351654</v>
      </c>
      <c r="AB87" s="80">
        <v>7.24</v>
      </c>
      <c r="AC87" s="68">
        <f t="shared" ref="AC87:AC118" si="70">SUM(AA87*AB87)</f>
        <v>18.0381233654598</v>
      </c>
      <c r="AD87" s="68">
        <f t="shared" si="65"/>
        <v>140.678623495702</v>
      </c>
      <c r="AE87" s="68">
        <f t="shared" ref="AE87:AE118" si="71">SUM(O87-AD87)</f>
        <v>36.266976504298</v>
      </c>
    </row>
    <row r="88" customFormat="1" spans="1:31">
      <c r="A88" s="18"/>
      <c r="B88" s="19"/>
      <c r="C88" s="20">
        <v>240605000002</v>
      </c>
      <c r="D88" s="21">
        <v>45454</v>
      </c>
      <c r="E88" s="21" t="s">
        <v>51</v>
      </c>
      <c r="F88" s="19" t="s">
        <v>52</v>
      </c>
      <c r="G88" s="19" t="s">
        <v>107</v>
      </c>
      <c r="H88" s="19">
        <v>67.5</v>
      </c>
      <c r="I88" s="45"/>
      <c r="J88" s="46">
        <v>835038</v>
      </c>
      <c r="K88" s="40"/>
      <c r="L88" s="47">
        <f t="shared" si="66"/>
        <v>1498.68624143006</v>
      </c>
      <c r="M88" s="48">
        <v>557.18</v>
      </c>
      <c r="N88" s="41">
        <v>7.24</v>
      </c>
      <c r="O88" s="42">
        <f t="shared" si="67"/>
        <v>4033.9832</v>
      </c>
      <c r="P88" s="44"/>
      <c r="Q88" s="44"/>
      <c r="R88" s="68">
        <f t="shared" si="56"/>
        <v>2749.97004428237</v>
      </c>
      <c r="S88" s="68"/>
      <c r="T88" s="69">
        <f t="shared" si="57"/>
        <v>9.44120864808544</v>
      </c>
      <c r="U88" s="68">
        <v>110</v>
      </c>
      <c r="V88" s="68"/>
      <c r="W88" s="68">
        <f t="shared" si="68"/>
        <v>2869.41125293045</v>
      </c>
      <c r="X88" s="70">
        <f t="shared" si="58"/>
        <v>56.0577038291222</v>
      </c>
      <c r="Y88" s="70"/>
      <c r="Z88" s="70"/>
      <c r="AA88" s="70">
        <f t="shared" si="69"/>
        <v>56.0577038291222</v>
      </c>
      <c r="AB88" s="80">
        <v>7.24</v>
      </c>
      <c r="AC88" s="68">
        <f t="shared" si="70"/>
        <v>405.857775722845</v>
      </c>
      <c r="AD88" s="68">
        <f t="shared" si="65"/>
        <v>3275.2690286533</v>
      </c>
      <c r="AE88" s="68">
        <f t="shared" si="71"/>
        <v>758.714171346705</v>
      </c>
    </row>
    <row r="89" customFormat="1" spans="1:31">
      <c r="A89" s="18"/>
      <c r="B89" s="19"/>
      <c r="C89" s="20">
        <v>240605000007</v>
      </c>
      <c r="D89" s="21">
        <v>45454</v>
      </c>
      <c r="E89" s="21" t="s">
        <v>37</v>
      </c>
      <c r="F89" s="19" t="s">
        <v>37</v>
      </c>
      <c r="G89" s="19" t="s">
        <v>132</v>
      </c>
      <c r="H89" s="19">
        <v>1.5</v>
      </c>
      <c r="I89" s="38">
        <v>151</v>
      </c>
      <c r="J89" s="39"/>
      <c r="K89" s="40"/>
      <c r="L89" s="19"/>
      <c r="M89" s="40"/>
      <c r="N89" s="41"/>
      <c r="O89" s="42">
        <f t="shared" ref="O89:O93" si="72">SUM(I89)</f>
        <v>151</v>
      </c>
      <c r="P89" s="44"/>
      <c r="Q89" s="44"/>
      <c r="R89" s="68">
        <f t="shared" ref="R89:R134" si="73">SUM(156402/3839)*H89</f>
        <v>61.110445428497</v>
      </c>
      <c r="S89" s="68"/>
      <c r="T89" s="69">
        <f t="shared" ref="T89:T134" si="74">SUM(536.96/3839)*H89</f>
        <v>0.209804636624121</v>
      </c>
      <c r="U89" s="68"/>
      <c r="V89" s="68"/>
      <c r="W89" s="68">
        <f t="shared" si="68"/>
        <v>61.3202500651211</v>
      </c>
      <c r="X89" s="70">
        <f t="shared" ref="X89:X134" si="75">SUM(3188.23/3839)*H89</f>
        <v>1.24572675175827</v>
      </c>
      <c r="Y89" s="70"/>
      <c r="Z89" s="70"/>
      <c r="AA89" s="70">
        <f t="shared" si="69"/>
        <v>1.24572675175827</v>
      </c>
      <c r="AB89" s="80">
        <v>7.24</v>
      </c>
      <c r="AC89" s="68">
        <f t="shared" si="70"/>
        <v>9.01906168272988</v>
      </c>
      <c r="AD89" s="68">
        <f t="shared" si="65"/>
        <v>70.339311747851</v>
      </c>
      <c r="AE89" s="68">
        <f t="shared" si="71"/>
        <v>80.660688252149</v>
      </c>
    </row>
    <row r="90" customFormat="1" spans="1:31">
      <c r="A90" s="18"/>
      <c r="B90" s="19"/>
      <c r="C90" s="20">
        <v>240605000008</v>
      </c>
      <c r="D90" s="21">
        <v>45454</v>
      </c>
      <c r="E90" s="21" t="s">
        <v>41</v>
      </c>
      <c r="F90" s="19" t="s">
        <v>42</v>
      </c>
      <c r="G90" s="19" t="s">
        <v>133</v>
      </c>
      <c r="H90" s="19">
        <v>4.5</v>
      </c>
      <c r="I90" s="42"/>
      <c r="J90" s="46">
        <v>55498.9</v>
      </c>
      <c r="K90" s="40"/>
      <c r="L90" s="47">
        <f t="shared" ref="L90:L98" si="76">SUM(J90/M90)</f>
        <v>1502</v>
      </c>
      <c r="M90" s="48">
        <v>36.95</v>
      </c>
      <c r="N90" s="41">
        <v>7.24</v>
      </c>
      <c r="O90" s="42">
        <f t="shared" ref="O90:O98" si="77">SUM(M90*N90)</f>
        <v>267.518</v>
      </c>
      <c r="P90" s="44"/>
      <c r="Q90" s="44"/>
      <c r="R90" s="68">
        <f t="shared" si="73"/>
        <v>183.331336285491</v>
      </c>
      <c r="S90" s="68"/>
      <c r="T90" s="69">
        <f t="shared" si="74"/>
        <v>0.629413909872363</v>
      </c>
      <c r="U90" s="68"/>
      <c r="V90" s="68"/>
      <c r="W90" s="68">
        <f t="shared" si="68"/>
        <v>183.960750195363</v>
      </c>
      <c r="X90" s="70">
        <f t="shared" si="75"/>
        <v>3.73718025527481</v>
      </c>
      <c r="Y90" s="70"/>
      <c r="Z90" s="70"/>
      <c r="AA90" s="70">
        <f t="shared" si="69"/>
        <v>3.73718025527481</v>
      </c>
      <c r="AB90" s="80">
        <v>7.24</v>
      </c>
      <c r="AC90" s="68">
        <f t="shared" si="70"/>
        <v>27.0571850481896</v>
      </c>
      <c r="AD90" s="68">
        <f t="shared" si="65"/>
        <v>211.017935243553</v>
      </c>
      <c r="AE90" s="68">
        <f t="shared" si="71"/>
        <v>56.500064756447</v>
      </c>
    </row>
    <row r="91" customFormat="1" spans="1:31">
      <c r="A91" s="18"/>
      <c r="B91" s="19"/>
      <c r="C91" s="20">
        <v>240605000009</v>
      </c>
      <c r="D91" s="21">
        <v>45454</v>
      </c>
      <c r="E91" s="21" t="s">
        <v>41</v>
      </c>
      <c r="F91" s="19" t="s">
        <v>42</v>
      </c>
      <c r="G91" s="19" t="s">
        <v>134</v>
      </c>
      <c r="H91" s="19">
        <v>20</v>
      </c>
      <c r="I91" s="38">
        <v>1060</v>
      </c>
      <c r="J91" s="39"/>
      <c r="K91" s="40"/>
      <c r="L91" s="19"/>
      <c r="M91" s="40"/>
      <c r="N91" s="41"/>
      <c r="O91" s="42">
        <f t="shared" si="72"/>
        <v>1060</v>
      </c>
      <c r="P91" s="44"/>
      <c r="Q91" s="44"/>
      <c r="R91" s="68">
        <f t="shared" si="73"/>
        <v>814.805939046627</v>
      </c>
      <c r="S91" s="68"/>
      <c r="T91" s="69">
        <f t="shared" si="74"/>
        <v>2.79739515498828</v>
      </c>
      <c r="U91" s="68"/>
      <c r="V91" s="68"/>
      <c r="W91" s="68">
        <f t="shared" si="68"/>
        <v>817.603334201615</v>
      </c>
      <c r="X91" s="70">
        <f t="shared" si="75"/>
        <v>16.6096900234436</v>
      </c>
      <c r="Y91" s="70"/>
      <c r="Z91" s="70"/>
      <c r="AA91" s="70">
        <f t="shared" si="69"/>
        <v>16.6096900234436</v>
      </c>
      <c r="AB91" s="80">
        <v>7.24</v>
      </c>
      <c r="AC91" s="68">
        <f t="shared" si="70"/>
        <v>120.254155769732</v>
      </c>
      <c r="AD91" s="68">
        <f t="shared" si="65"/>
        <v>937.857489971347</v>
      </c>
      <c r="AE91" s="68">
        <f t="shared" si="71"/>
        <v>122.142510028653</v>
      </c>
    </row>
    <row r="92" customFormat="1" spans="1:31">
      <c r="A92" s="18"/>
      <c r="B92" s="19"/>
      <c r="C92" s="20">
        <v>240605000010</v>
      </c>
      <c r="D92" s="21">
        <v>45454</v>
      </c>
      <c r="E92" s="21" t="s">
        <v>41</v>
      </c>
      <c r="F92" s="19" t="s">
        <v>42</v>
      </c>
      <c r="G92" s="19" t="s">
        <v>135</v>
      </c>
      <c r="H92" s="19">
        <v>81.5</v>
      </c>
      <c r="I92" s="38">
        <v>4701</v>
      </c>
      <c r="J92" s="39"/>
      <c r="K92" s="40"/>
      <c r="L92" s="19"/>
      <c r="M92" s="40"/>
      <c r="N92" s="41"/>
      <c r="O92" s="42">
        <f t="shared" si="72"/>
        <v>4701</v>
      </c>
      <c r="P92" s="44"/>
      <c r="Q92" s="44"/>
      <c r="R92" s="68">
        <f t="shared" si="73"/>
        <v>3320.334201615</v>
      </c>
      <c r="S92" s="68"/>
      <c r="T92" s="69">
        <f t="shared" si="74"/>
        <v>11.3993852565772</v>
      </c>
      <c r="U92" s="68"/>
      <c r="V92" s="68"/>
      <c r="W92" s="68">
        <f t="shared" si="68"/>
        <v>3331.73358687158</v>
      </c>
      <c r="X92" s="70">
        <f t="shared" si="75"/>
        <v>67.6844868455327</v>
      </c>
      <c r="Y92" s="70"/>
      <c r="Z92" s="70"/>
      <c r="AA92" s="70">
        <f t="shared" si="69"/>
        <v>67.6844868455327</v>
      </c>
      <c r="AB92" s="80">
        <v>7.24</v>
      </c>
      <c r="AC92" s="68">
        <f t="shared" si="70"/>
        <v>490.035684761657</v>
      </c>
      <c r="AD92" s="68">
        <f t="shared" si="65"/>
        <v>3821.76927163324</v>
      </c>
      <c r="AE92" s="68">
        <f t="shared" si="71"/>
        <v>879.230728366762</v>
      </c>
    </row>
    <row r="93" customFormat="1" spans="1:31">
      <c r="A93" s="18"/>
      <c r="B93" s="19"/>
      <c r="C93" s="20">
        <v>240605000011</v>
      </c>
      <c r="D93" s="21">
        <v>45454</v>
      </c>
      <c r="E93" s="21" t="s">
        <v>136</v>
      </c>
      <c r="F93" s="19" t="s">
        <v>137</v>
      </c>
      <c r="G93" s="19" t="s">
        <v>138</v>
      </c>
      <c r="H93" s="19">
        <v>6.5</v>
      </c>
      <c r="I93" s="38">
        <v>402.5</v>
      </c>
      <c r="J93" s="39"/>
      <c r="K93" s="40"/>
      <c r="L93" s="19"/>
      <c r="M93" s="40"/>
      <c r="N93" s="41"/>
      <c r="O93" s="42">
        <f t="shared" si="72"/>
        <v>402.5</v>
      </c>
      <c r="P93" s="44"/>
      <c r="Q93" s="44"/>
      <c r="R93" s="68">
        <f t="shared" si="73"/>
        <v>264.811930190154</v>
      </c>
      <c r="S93" s="68"/>
      <c r="T93" s="69">
        <f t="shared" si="74"/>
        <v>0.909153425371191</v>
      </c>
      <c r="U93" s="68"/>
      <c r="V93" s="68"/>
      <c r="W93" s="68">
        <f t="shared" si="68"/>
        <v>265.721083615525</v>
      </c>
      <c r="X93" s="70">
        <f t="shared" si="75"/>
        <v>5.39814925761917</v>
      </c>
      <c r="Y93" s="70"/>
      <c r="Z93" s="70"/>
      <c r="AA93" s="70">
        <f t="shared" si="69"/>
        <v>5.39814925761917</v>
      </c>
      <c r="AB93" s="80">
        <v>7.24</v>
      </c>
      <c r="AC93" s="68">
        <f t="shared" si="70"/>
        <v>39.0826006251628</v>
      </c>
      <c r="AD93" s="68">
        <f t="shared" si="65"/>
        <v>304.803684240688</v>
      </c>
      <c r="AE93" s="68">
        <f t="shared" si="71"/>
        <v>97.6963157593123</v>
      </c>
    </row>
    <row r="94" customFormat="1" spans="1:31">
      <c r="A94" s="18"/>
      <c r="B94" s="19"/>
      <c r="C94" s="20">
        <v>240605000012</v>
      </c>
      <c r="D94" s="21">
        <v>45454</v>
      </c>
      <c r="E94" s="21" t="s">
        <v>51</v>
      </c>
      <c r="F94" s="19" t="s">
        <v>52</v>
      </c>
      <c r="G94" s="19" t="s">
        <v>139</v>
      </c>
      <c r="H94" s="19">
        <v>4.5</v>
      </c>
      <c r="I94" s="45"/>
      <c r="J94" s="46">
        <v>56511</v>
      </c>
      <c r="K94" s="40"/>
      <c r="L94" s="47">
        <f t="shared" si="76"/>
        <v>1498.96551724138</v>
      </c>
      <c r="M94" s="48">
        <v>37.7</v>
      </c>
      <c r="N94" s="41">
        <v>7.24</v>
      </c>
      <c r="O94" s="42">
        <f t="shared" si="77"/>
        <v>272.948</v>
      </c>
      <c r="P94" s="44"/>
      <c r="Q94" s="44"/>
      <c r="R94" s="68">
        <f t="shared" si="73"/>
        <v>183.331336285491</v>
      </c>
      <c r="S94" s="68"/>
      <c r="T94" s="69">
        <f t="shared" si="74"/>
        <v>0.629413909872363</v>
      </c>
      <c r="U94" s="68"/>
      <c r="V94" s="68"/>
      <c r="W94" s="68">
        <f t="shared" si="68"/>
        <v>183.960750195363</v>
      </c>
      <c r="X94" s="70">
        <f t="shared" si="75"/>
        <v>3.73718025527481</v>
      </c>
      <c r="Y94" s="70"/>
      <c r="Z94" s="70"/>
      <c r="AA94" s="70">
        <f t="shared" si="69"/>
        <v>3.73718025527481</v>
      </c>
      <c r="AB94" s="80">
        <v>7.24</v>
      </c>
      <c r="AC94" s="68">
        <f t="shared" si="70"/>
        <v>27.0571850481896</v>
      </c>
      <c r="AD94" s="68">
        <f t="shared" si="65"/>
        <v>211.017935243553</v>
      </c>
      <c r="AE94" s="68">
        <f t="shared" si="71"/>
        <v>61.930064756447</v>
      </c>
    </row>
    <row r="95" customFormat="1" spans="1:31">
      <c r="A95" s="18"/>
      <c r="B95" s="19"/>
      <c r="C95" s="20">
        <v>240605000013</v>
      </c>
      <c r="D95" s="21">
        <v>45454</v>
      </c>
      <c r="E95" s="21" t="s">
        <v>41</v>
      </c>
      <c r="F95" s="19" t="s">
        <v>42</v>
      </c>
      <c r="G95" s="19" t="s">
        <v>140</v>
      </c>
      <c r="H95" s="19">
        <v>2.5</v>
      </c>
      <c r="I95" s="42"/>
      <c r="J95" s="46">
        <v>30500</v>
      </c>
      <c r="K95" s="40"/>
      <c r="L95" s="47">
        <f t="shared" si="76"/>
        <v>1506.17283950617</v>
      </c>
      <c r="M95" s="48">
        <v>20.25</v>
      </c>
      <c r="N95" s="41">
        <v>7.24</v>
      </c>
      <c r="O95" s="42">
        <f t="shared" si="77"/>
        <v>146.61</v>
      </c>
      <c r="P95" s="44"/>
      <c r="Q95" s="44"/>
      <c r="R95" s="68">
        <f t="shared" si="73"/>
        <v>101.850742380828</v>
      </c>
      <c r="S95" s="68"/>
      <c r="T95" s="69">
        <f t="shared" si="74"/>
        <v>0.349674394373535</v>
      </c>
      <c r="U95" s="68"/>
      <c r="V95" s="68"/>
      <c r="W95" s="68">
        <f t="shared" si="68"/>
        <v>102.200416775202</v>
      </c>
      <c r="X95" s="70">
        <f t="shared" si="75"/>
        <v>2.07621125293045</v>
      </c>
      <c r="Y95" s="70"/>
      <c r="Z95" s="70"/>
      <c r="AA95" s="70">
        <f t="shared" si="69"/>
        <v>2.07621125293045</v>
      </c>
      <c r="AB95" s="80">
        <v>7.24</v>
      </c>
      <c r="AC95" s="68">
        <f t="shared" si="70"/>
        <v>15.0317694712165</v>
      </c>
      <c r="AD95" s="68">
        <f t="shared" si="65"/>
        <v>117.232186246418</v>
      </c>
      <c r="AE95" s="68">
        <f t="shared" si="71"/>
        <v>29.3778137535817</v>
      </c>
    </row>
    <row r="96" customFormat="1" spans="1:31">
      <c r="A96" s="18"/>
      <c r="B96" s="19"/>
      <c r="C96" s="20">
        <v>240605000015</v>
      </c>
      <c r="D96" s="21">
        <v>45454</v>
      </c>
      <c r="E96" s="21" t="s">
        <v>51</v>
      </c>
      <c r="F96" s="19" t="s">
        <v>52</v>
      </c>
      <c r="G96" s="19" t="s">
        <v>141</v>
      </c>
      <c r="H96" s="19">
        <v>5</v>
      </c>
      <c r="I96" s="45"/>
      <c r="J96" s="46">
        <v>66861</v>
      </c>
      <c r="K96" s="40"/>
      <c r="L96" s="47">
        <f t="shared" si="76"/>
        <v>1498.78950907868</v>
      </c>
      <c r="M96" s="48">
        <v>44.61</v>
      </c>
      <c r="N96" s="41">
        <v>7.24</v>
      </c>
      <c r="O96" s="42">
        <f t="shared" si="77"/>
        <v>322.9764</v>
      </c>
      <c r="P96" s="44"/>
      <c r="Q96" s="44"/>
      <c r="R96" s="68">
        <f t="shared" si="73"/>
        <v>203.701484761657</v>
      </c>
      <c r="S96" s="68"/>
      <c r="T96" s="69">
        <f t="shared" si="74"/>
        <v>0.69934878874707</v>
      </c>
      <c r="U96" s="68"/>
      <c r="V96" s="68"/>
      <c r="W96" s="68">
        <f t="shared" si="68"/>
        <v>204.400833550404</v>
      </c>
      <c r="X96" s="70">
        <f t="shared" si="75"/>
        <v>4.1524225058609</v>
      </c>
      <c r="Y96" s="70"/>
      <c r="Z96" s="70"/>
      <c r="AA96" s="70">
        <f t="shared" si="69"/>
        <v>4.1524225058609</v>
      </c>
      <c r="AB96" s="80">
        <v>7.24</v>
      </c>
      <c r="AC96" s="68">
        <f t="shared" si="70"/>
        <v>30.0635389424329</v>
      </c>
      <c r="AD96" s="68">
        <f t="shared" si="65"/>
        <v>234.464372492837</v>
      </c>
      <c r="AE96" s="68">
        <f t="shared" si="71"/>
        <v>88.5120275071633</v>
      </c>
    </row>
    <row r="97" customFormat="1" spans="1:31">
      <c r="A97" s="18"/>
      <c r="B97" s="19"/>
      <c r="C97" s="20">
        <v>240605000018</v>
      </c>
      <c r="D97" s="21">
        <v>45454</v>
      </c>
      <c r="E97" s="21" t="s">
        <v>48</v>
      </c>
      <c r="F97" s="19" t="s">
        <v>49</v>
      </c>
      <c r="G97" s="19" t="s">
        <v>142</v>
      </c>
      <c r="H97" s="19">
        <v>90</v>
      </c>
      <c r="I97" s="45"/>
      <c r="J97" s="46">
        <v>901320</v>
      </c>
      <c r="K97" s="40"/>
      <c r="L97" s="47">
        <f t="shared" si="76"/>
        <v>1520.41969602402</v>
      </c>
      <c r="M97" s="48">
        <v>592.81</v>
      </c>
      <c r="N97" s="41">
        <v>7.24</v>
      </c>
      <c r="O97" s="42">
        <f t="shared" si="77"/>
        <v>4291.9444</v>
      </c>
      <c r="P97" s="44"/>
      <c r="Q97" s="44"/>
      <c r="R97" s="68">
        <f t="shared" si="73"/>
        <v>3666.62672570982</v>
      </c>
      <c r="S97" s="68"/>
      <c r="T97" s="69">
        <f t="shared" si="74"/>
        <v>12.5882781974473</v>
      </c>
      <c r="U97" s="68"/>
      <c r="V97" s="68"/>
      <c r="W97" s="68">
        <f t="shared" si="68"/>
        <v>3679.21500390727</v>
      </c>
      <c r="X97" s="70">
        <f t="shared" si="75"/>
        <v>74.7436051054962</v>
      </c>
      <c r="Y97" s="70"/>
      <c r="Z97" s="70"/>
      <c r="AA97" s="70">
        <f t="shared" si="69"/>
        <v>74.7436051054962</v>
      </c>
      <c r="AB97" s="80">
        <v>7.24</v>
      </c>
      <c r="AC97" s="68">
        <f t="shared" si="70"/>
        <v>541.143700963793</v>
      </c>
      <c r="AD97" s="68">
        <f t="shared" si="65"/>
        <v>4220.35870487106</v>
      </c>
      <c r="AE97" s="68">
        <f t="shared" si="71"/>
        <v>71.5856951289397</v>
      </c>
    </row>
    <row r="98" customFormat="1" spans="1:31">
      <c r="A98" s="18"/>
      <c r="B98" s="19"/>
      <c r="C98" s="20">
        <v>240605000019</v>
      </c>
      <c r="D98" s="21">
        <v>45454</v>
      </c>
      <c r="E98" s="21" t="s">
        <v>48</v>
      </c>
      <c r="F98" s="19" t="s">
        <v>49</v>
      </c>
      <c r="G98" s="19" t="s">
        <v>143</v>
      </c>
      <c r="H98" s="19">
        <v>0.6</v>
      </c>
      <c r="I98" s="45"/>
      <c r="J98" s="46">
        <v>12688</v>
      </c>
      <c r="K98" s="40"/>
      <c r="L98" s="47">
        <f t="shared" si="76"/>
        <v>1506.88836104513</v>
      </c>
      <c r="M98" s="48">
        <v>8.42</v>
      </c>
      <c r="N98" s="41">
        <v>7.24</v>
      </c>
      <c r="O98" s="42">
        <f t="shared" si="77"/>
        <v>60.9608</v>
      </c>
      <c r="P98" s="44"/>
      <c r="Q98" s="44"/>
      <c r="R98" s="68">
        <f t="shared" si="73"/>
        <v>24.4441781713988</v>
      </c>
      <c r="S98" s="68"/>
      <c r="T98" s="69">
        <f t="shared" si="74"/>
        <v>0.0839218546496484</v>
      </c>
      <c r="U98" s="68"/>
      <c r="V98" s="68"/>
      <c r="W98" s="68">
        <f t="shared" si="68"/>
        <v>24.5281000260484</v>
      </c>
      <c r="X98" s="70">
        <f t="shared" si="75"/>
        <v>0.498290700703308</v>
      </c>
      <c r="Y98" s="70"/>
      <c r="Z98" s="70"/>
      <c r="AA98" s="70">
        <f t="shared" si="69"/>
        <v>0.498290700703308</v>
      </c>
      <c r="AB98" s="80">
        <v>7.24</v>
      </c>
      <c r="AC98" s="68">
        <f t="shared" si="70"/>
        <v>3.60762467309195</v>
      </c>
      <c r="AD98" s="68">
        <f t="shared" si="65"/>
        <v>28.1357246991404</v>
      </c>
      <c r="AE98" s="68">
        <f t="shared" si="71"/>
        <v>32.8250753008596</v>
      </c>
    </row>
    <row r="99" customFormat="1" spans="1:31">
      <c r="A99" s="18"/>
      <c r="B99" s="19"/>
      <c r="C99" s="81">
        <v>240605000024</v>
      </c>
      <c r="D99" s="82">
        <v>45454</v>
      </c>
      <c r="E99" s="21" t="s">
        <v>51</v>
      </c>
      <c r="F99" s="83" t="s">
        <v>52</v>
      </c>
      <c r="G99" s="83" t="s">
        <v>144</v>
      </c>
      <c r="H99" s="83">
        <v>0.88</v>
      </c>
      <c r="I99" s="38">
        <v>61</v>
      </c>
      <c r="J99" s="39"/>
      <c r="K99" s="40"/>
      <c r="L99" s="19"/>
      <c r="M99" s="40"/>
      <c r="N99" s="41"/>
      <c r="O99" s="42">
        <f t="shared" ref="O99:O102" si="78">SUM(I99)</f>
        <v>61</v>
      </c>
      <c r="P99" s="44"/>
      <c r="Q99" s="44"/>
      <c r="R99" s="68">
        <f t="shared" si="73"/>
        <v>35.8514613180516</v>
      </c>
      <c r="S99" s="68"/>
      <c r="T99" s="69">
        <f t="shared" si="74"/>
        <v>0.123085386819484</v>
      </c>
      <c r="U99" s="68"/>
      <c r="V99" s="68"/>
      <c r="W99" s="68">
        <f t="shared" si="68"/>
        <v>35.9745467048711</v>
      </c>
      <c r="X99" s="70">
        <f t="shared" si="75"/>
        <v>0.730826361031519</v>
      </c>
      <c r="Y99" s="70"/>
      <c r="Z99" s="70"/>
      <c r="AA99" s="70">
        <f t="shared" si="69"/>
        <v>0.730826361031519</v>
      </c>
      <c r="AB99" s="80">
        <v>7.24</v>
      </c>
      <c r="AC99" s="68">
        <f t="shared" si="70"/>
        <v>5.29118285386819</v>
      </c>
      <c r="AD99" s="68">
        <f t="shared" si="65"/>
        <v>41.2657295587393</v>
      </c>
      <c r="AE99" s="68">
        <f t="shared" si="71"/>
        <v>19.7342704412607</v>
      </c>
    </row>
    <row r="100" customFormat="1" spans="1:31">
      <c r="A100" s="18"/>
      <c r="B100" s="19"/>
      <c r="C100" s="20">
        <v>240605000025</v>
      </c>
      <c r="D100" s="21">
        <v>45454</v>
      </c>
      <c r="E100" s="21" t="s">
        <v>48</v>
      </c>
      <c r="F100" s="19" t="s">
        <v>49</v>
      </c>
      <c r="G100" s="19" t="s">
        <v>61</v>
      </c>
      <c r="H100" s="19">
        <v>1.5</v>
      </c>
      <c r="I100" s="38">
        <v>79.5</v>
      </c>
      <c r="J100" s="39"/>
      <c r="K100" s="40"/>
      <c r="L100" s="19"/>
      <c r="M100" s="40"/>
      <c r="N100" s="41"/>
      <c r="O100" s="42">
        <f t="shared" si="78"/>
        <v>79.5</v>
      </c>
      <c r="P100" s="44"/>
      <c r="Q100" s="44"/>
      <c r="R100" s="68">
        <f t="shared" si="73"/>
        <v>61.110445428497</v>
      </c>
      <c r="S100" s="68"/>
      <c r="T100" s="69">
        <f t="shared" si="74"/>
        <v>0.209804636624121</v>
      </c>
      <c r="U100" s="68"/>
      <c r="V100" s="68"/>
      <c r="W100" s="68">
        <f t="shared" si="68"/>
        <v>61.3202500651211</v>
      </c>
      <c r="X100" s="70">
        <f t="shared" si="75"/>
        <v>1.24572675175827</v>
      </c>
      <c r="Y100" s="70"/>
      <c r="Z100" s="70"/>
      <c r="AA100" s="70">
        <f t="shared" si="69"/>
        <v>1.24572675175827</v>
      </c>
      <c r="AB100" s="80">
        <v>7.24</v>
      </c>
      <c r="AC100" s="68">
        <f t="shared" si="70"/>
        <v>9.01906168272988</v>
      </c>
      <c r="AD100" s="68">
        <f t="shared" si="65"/>
        <v>70.339311747851</v>
      </c>
      <c r="AE100" s="68">
        <f t="shared" si="71"/>
        <v>9.160688252149</v>
      </c>
    </row>
    <row r="101" customFormat="1" spans="1:31">
      <c r="A101" s="18"/>
      <c r="B101" s="19"/>
      <c r="C101" s="20">
        <v>240605000027</v>
      </c>
      <c r="D101" s="21">
        <v>45454</v>
      </c>
      <c r="E101" s="21" t="s">
        <v>48</v>
      </c>
      <c r="F101" s="19" t="s">
        <v>49</v>
      </c>
      <c r="G101" s="19" t="s">
        <v>145</v>
      </c>
      <c r="H101" s="19">
        <v>6.5</v>
      </c>
      <c r="I101" s="38">
        <v>402.5</v>
      </c>
      <c r="J101" s="39"/>
      <c r="K101" s="40"/>
      <c r="L101" s="19"/>
      <c r="M101" s="40"/>
      <c r="N101" s="41"/>
      <c r="O101" s="42">
        <f t="shared" si="78"/>
        <v>402.5</v>
      </c>
      <c r="P101" s="44"/>
      <c r="Q101" s="44"/>
      <c r="R101" s="68">
        <f t="shared" si="73"/>
        <v>264.811930190154</v>
      </c>
      <c r="S101" s="68"/>
      <c r="T101" s="69">
        <f t="shared" si="74"/>
        <v>0.909153425371191</v>
      </c>
      <c r="U101" s="68"/>
      <c r="V101" s="68"/>
      <c r="W101" s="68">
        <f t="shared" si="68"/>
        <v>265.721083615525</v>
      </c>
      <c r="X101" s="70">
        <f t="shared" si="75"/>
        <v>5.39814925761917</v>
      </c>
      <c r="Y101" s="70"/>
      <c r="Z101" s="70"/>
      <c r="AA101" s="70">
        <f t="shared" si="69"/>
        <v>5.39814925761917</v>
      </c>
      <c r="AB101" s="80">
        <v>7.24</v>
      </c>
      <c r="AC101" s="68">
        <f t="shared" si="70"/>
        <v>39.0826006251628</v>
      </c>
      <c r="AD101" s="68">
        <f t="shared" si="65"/>
        <v>304.803684240688</v>
      </c>
      <c r="AE101" s="68">
        <f t="shared" si="71"/>
        <v>97.6963157593123</v>
      </c>
    </row>
    <row r="102" customFormat="1" spans="1:31">
      <c r="A102" s="18"/>
      <c r="B102" s="19"/>
      <c r="C102" s="20">
        <v>240605000028</v>
      </c>
      <c r="D102" s="21">
        <v>45454</v>
      </c>
      <c r="E102" s="21" t="s">
        <v>51</v>
      </c>
      <c r="F102" s="19" t="s">
        <v>52</v>
      </c>
      <c r="G102" s="19" t="s">
        <v>146</v>
      </c>
      <c r="H102" s="19">
        <v>0.32</v>
      </c>
      <c r="I102" s="38">
        <v>67</v>
      </c>
      <c r="J102" s="39"/>
      <c r="K102" s="40"/>
      <c r="L102" s="19"/>
      <c r="M102" s="40"/>
      <c r="N102" s="41"/>
      <c r="O102" s="42">
        <f t="shared" si="78"/>
        <v>67</v>
      </c>
      <c r="P102" s="44"/>
      <c r="Q102" s="44"/>
      <c r="R102" s="68">
        <f t="shared" si="73"/>
        <v>13.036895024746</v>
      </c>
      <c r="S102" s="68"/>
      <c r="T102" s="69">
        <f t="shared" si="74"/>
        <v>0.0447583224798125</v>
      </c>
      <c r="U102" s="68"/>
      <c r="V102" s="68"/>
      <c r="W102" s="68">
        <f t="shared" si="68"/>
        <v>13.0816533472258</v>
      </c>
      <c r="X102" s="70">
        <f t="shared" si="75"/>
        <v>0.265755040375098</v>
      </c>
      <c r="Y102" s="70"/>
      <c r="Z102" s="70"/>
      <c r="AA102" s="70">
        <f t="shared" si="69"/>
        <v>0.265755040375098</v>
      </c>
      <c r="AB102" s="80">
        <v>7.24</v>
      </c>
      <c r="AC102" s="68">
        <f t="shared" si="70"/>
        <v>1.92406649231571</v>
      </c>
      <c r="AD102" s="68">
        <f t="shared" si="65"/>
        <v>15.0057198395415</v>
      </c>
      <c r="AE102" s="68">
        <f t="shared" si="71"/>
        <v>51.9942801604585</v>
      </c>
    </row>
    <row r="103" customFormat="1" spans="1:31">
      <c r="A103" s="18"/>
      <c r="B103" s="19"/>
      <c r="C103" s="20">
        <v>240605000029</v>
      </c>
      <c r="D103" s="21">
        <v>45454</v>
      </c>
      <c r="E103" s="21" t="s">
        <v>48</v>
      </c>
      <c r="F103" s="19" t="s">
        <v>49</v>
      </c>
      <c r="G103" s="19" t="s">
        <v>147</v>
      </c>
      <c r="H103" s="19">
        <v>1.5</v>
      </c>
      <c r="I103" s="45"/>
      <c r="J103" s="46">
        <v>31050</v>
      </c>
      <c r="K103" s="40"/>
      <c r="L103" s="47">
        <f t="shared" ref="L103:L108" si="79">SUM(J103/M103)</f>
        <v>1499.27571221632</v>
      </c>
      <c r="M103" s="48">
        <v>20.71</v>
      </c>
      <c r="N103" s="41">
        <v>7.24</v>
      </c>
      <c r="O103" s="42">
        <f t="shared" ref="O103:O108" si="80">SUM(M103*N103)</f>
        <v>149.9404</v>
      </c>
      <c r="P103" s="44"/>
      <c r="Q103" s="44"/>
      <c r="R103" s="68">
        <f t="shared" si="73"/>
        <v>61.110445428497</v>
      </c>
      <c r="S103" s="68"/>
      <c r="T103" s="69">
        <f t="shared" si="74"/>
        <v>0.209804636624121</v>
      </c>
      <c r="U103" s="68"/>
      <c r="V103" s="68"/>
      <c r="W103" s="68">
        <f t="shared" si="68"/>
        <v>61.3202500651211</v>
      </c>
      <c r="X103" s="70">
        <f t="shared" si="75"/>
        <v>1.24572675175827</v>
      </c>
      <c r="Y103" s="70"/>
      <c r="Z103" s="70"/>
      <c r="AA103" s="70">
        <f t="shared" si="69"/>
        <v>1.24572675175827</v>
      </c>
      <c r="AB103" s="80">
        <v>7.24</v>
      </c>
      <c r="AC103" s="68">
        <f t="shared" si="70"/>
        <v>9.01906168272988</v>
      </c>
      <c r="AD103" s="68">
        <f t="shared" si="65"/>
        <v>70.339311747851</v>
      </c>
      <c r="AE103" s="68">
        <f t="shared" si="71"/>
        <v>79.601088252149</v>
      </c>
    </row>
    <row r="104" customFormat="1" spans="1:31">
      <c r="A104" s="18"/>
      <c r="B104" s="19"/>
      <c r="C104" s="20">
        <v>240605000030</v>
      </c>
      <c r="D104" s="21">
        <v>45454</v>
      </c>
      <c r="E104" s="21" t="s">
        <v>48</v>
      </c>
      <c r="F104" s="19" t="s">
        <v>49</v>
      </c>
      <c r="G104" s="19" t="s">
        <v>124</v>
      </c>
      <c r="H104" s="19">
        <v>4</v>
      </c>
      <c r="I104" s="45"/>
      <c r="J104" s="46">
        <v>57600</v>
      </c>
      <c r="K104" s="40"/>
      <c r="L104" s="47">
        <f t="shared" si="79"/>
        <v>1629.42008486563</v>
      </c>
      <c r="M104" s="48">
        <v>35.35</v>
      </c>
      <c r="N104" s="84">
        <v>7.24</v>
      </c>
      <c r="O104" s="42">
        <f t="shared" si="80"/>
        <v>255.934</v>
      </c>
      <c r="P104" s="44"/>
      <c r="Q104" s="44"/>
      <c r="R104" s="68">
        <f t="shared" si="73"/>
        <v>162.961187809325</v>
      </c>
      <c r="S104" s="68"/>
      <c r="T104" s="69">
        <f t="shared" si="74"/>
        <v>0.559479030997656</v>
      </c>
      <c r="U104" s="68"/>
      <c r="V104" s="68"/>
      <c r="W104" s="68">
        <f t="shared" si="68"/>
        <v>163.520666840323</v>
      </c>
      <c r="X104" s="70">
        <f t="shared" si="75"/>
        <v>3.32193800468872</v>
      </c>
      <c r="Y104" s="70"/>
      <c r="Z104" s="70"/>
      <c r="AA104" s="70">
        <f t="shared" si="69"/>
        <v>3.32193800468872</v>
      </c>
      <c r="AB104" s="80">
        <v>7.24</v>
      </c>
      <c r="AC104" s="68">
        <f t="shared" si="70"/>
        <v>24.0508311539463</v>
      </c>
      <c r="AD104" s="68">
        <f t="shared" si="65"/>
        <v>187.571497994269</v>
      </c>
      <c r="AE104" s="68">
        <f t="shared" si="71"/>
        <v>68.3625020057306</v>
      </c>
    </row>
    <row r="105" customFormat="1" spans="1:31">
      <c r="A105" s="18"/>
      <c r="B105" s="19"/>
      <c r="C105" s="20">
        <v>240605000031</v>
      </c>
      <c r="D105" s="21">
        <v>45454</v>
      </c>
      <c r="E105" s="21" t="s">
        <v>48</v>
      </c>
      <c r="F105" s="19" t="s">
        <v>49</v>
      </c>
      <c r="G105" s="19" t="s">
        <v>148</v>
      </c>
      <c r="H105" s="19">
        <v>0.58</v>
      </c>
      <c r="I105" s="38">
        <v>69</v>
      </c>
      <c r="J105" s="39"/>
      <c r="K105" s="40"/>
      <c r="L105" s="19"/>
      <c r="M105" s="40"/>
      <c r="N105" s="41"/>
      <c r="O105" s="42">
        <f>SUM(I105)</f>
        <v>69</v>
      </c>
      <c r="P105" s="44"/>
      <c r="Q105" s="44"/>
      <c r="R105" s="68">
        <f t="shared" si="73"/>
        <v>23.6293722323522</v>
      </c>
      <c r="S105" s="68"/>
      <c r="T105" s="69">
        <f t="shared" si="74"/>
        <v>0.0811244594946601</v>
      </c>
      <c r="U105" s="68"/>
      <c r="V105" s="68"/>
      <c r="W105" s="68">
        <f t="shared" si="68"/>
        <v>23.7104966918468</v>
      </c>
      <c r="X105" s="70">
        <f t="shared" si="75"/>
        <v>0.481681010679865</v>
      </c>
      <c r="Y105" s="70"/>
      <c r="Z105" s="70"/>
      <c r="AA105" s="70">
        <f t="shared" si="69"/>
        <v>0.481681010679865</v>
      </c>
      <c r="AB105" s="80">
        <v>7.24</v>
      </c>
      <c r="AC105" s="68">
        <f t="shared" si="70"/>
        <v>3.48737051732222</v>
      </c>
      <c r="AD105" s="68">
        <f t="shared" si="65"/>
        <v>27.1978672091691</v>
      </c>
      <c r="AE105" s="68">
        <f t="shared" si="71"/>
        <v>41.802132790831</v>
      </c>
    </row>
    <row r="106" customFormat="1" spans="1:31">
      <c r="A106" s="18"/>
      <c r="B106" s="19"/>
      <c r="C106" s="20">
        <v>240605000032</v>
      </c>
      <c r="D106" s="21">
        <v>45454</v>
      </c>
      <c r="E106" s="21" t="s">
        <v>48</v>
      </c>
      <c r="F106" s="19" t="s">
        <v>49</v>
      </c>
      <c r="G106" s="19" t="s">
        <v>149</v>
      </c>
      <c r="H106" s="19">
        <v>1</v>
      </c>
      <c r="I106" s="45"/>
      <c r="J106" s="46">
        <v>12630</v>
      </c>
      <c r="K106" s="40"/>
      <c r="L106" s="47">
        <f t="shared" si="79"/>
        <v>1500</v>
      </c>
      <c r="M106" s="48">
        <v>8.42</v>
      </c>
      <c r="N106" s="41">
        <v>7.24</v>
      </c>
      <c r="O106" s="42">
        <f t="shared" si="80"/>
        <v>60.9608</v>
      </c>
      <c r="P106" s="44"/>
      <c r="Q106" s="44"/>
      <c r="R106" s="68">
        <f t="shared" si="73"/>
        <v>40.7402969523313</v>
      </c>
      <c r="S106" s="68"/>
      <c r="T106" s="69">
        <f t="shared" si="74"/>
        <v>0.139869757749414</v>
      </c>
      <c r="U106" s="68"/>
      <c r="V106" s="68"/>
      <c r="W106" s="68">
        <f t="shared" si="68"/>
        <v>40.8801667100808</v>
      </c>
      <c r="X106" s="70">
        <f t="shared" si="75"/>
        <v>0.83048450117218</v>
      </c>
      <c r="Y106" s="70"/>
      <c r="Z106" s="70"/>
      <c r="AA106" s="70">
        <f t="shared" si="69"/>
        <v>0.83048450117218</v>
      </c>
      <c r="AB106" s="80">
        <v>7.24</v>
      </c>
      <c r="AC106" s="68">
        <f t="shared" si="70"/>
        <v>6.01270778848659</v>
      </c>
      <c r="AD106" s="68">
        <f t="shared" si="65"/>
        <v>46.8928744985673</v>
      </c>
      <c r="AE106" s="68">
        <f t="shared" si="71"/>
        <v>14.0679255014327</v>
      </c>
    </row>
    <row r="107" customFormat="1" spans="1:31">
      <c r="A107" s="18"/>
      <c r="B107" s="19"/>
      <c r="C107" s="20">
        <v>240605000033</v>
      </c>
      <c r="D107" s="21">
        <v>45454</v>
      </c>
      <c r="E107" s="21" t="s">
        <v>48</v>
      </c>
      <c r="F107" s="19" t="s">
        <v>49</v>
      </c>
      <c r="G107" s="19" t="s">
        <v>150</v>
      </c>
      <c r="H107" s="19">
        <v>0.79</v>
      </c>
      <c r="I107" s="45"/>
      <c r="J107" s="46">
        <v>12800</v>
      </c>
      <c r="K107" s="40"/>
      <c r="L107" s="47">
        <f t="shared" si="79"/>
        <v>1520.19002375297</v>
      </c>
      <c r="M107" s="48">
        <v>8.42</v>
      </c>
      <c r="N107" s="41">
        <v>7.24</v>
      </c>
      <c r="O107" s="42">
        <f t="shared" si="80"/>
        <v>60.9608</v>
      </c>
      <c r="P107" s="44"/>
      <c r="Q107" s="44"/>
      <c r="R107" s="68">
        <f t="shared" si="73"/>
        <v>32.1848345923418</v>
      </c>
      <c r="S107" s="68"/>
      <c r="T107" s="69">
        <f t="shared" si="74"/>
        <v>0.110497108622037</v>
      </c>
      <c r="U107" s="68"/>
      <c r="V107" s="68"/>
      <c r="W107" s="68">
        <f t="shared" si="68"/>
        <v>32.2953317009638</v>
      </c>
      <c r="X107" s="70">
        <f t="shared" si="75"/>
        <v>0.656082755926022</v>
      </c>
      <c r="Y107" s="70"/>
      <c r="Z107" s="70"/>
      <c r="AA107" s="70">
        <f t="shared" si="69"/>
        <v>0.656082755926022</v>
      </c>
      <c r="AB107" s="80">
        <v>7.24</v>
      </c>
      <c r="AC107" s="68">
        <f t="shared" si="70"/>
        <v>4.7500391529044</v>
      </c>
      <c r="AD107" s="68">
        <f t="shared" si="65"/>
        <v>37.0453708538682</v>
      </c>
      <c r="AE107" s="68">
        <f t="shared" si="71"/>
        <v>23.9154291461318</v>
      </c>
    </row>
    <row r="108" customFormat="1" spans="1:31">
      <c r="A108" s="18"/>
      <c r="B108" s="19"/>
      <c r="C108" s="20">
        <v>240605000034</v>
      </c>
      <c r="D108" s="21">
        <v>45454</v>
      </c>
      <c r="E108" s="21" t="s">
        <v>48</v>
      </c>
      <c r="F108" s="19" t="s">
        <v>49</v>
      </c>
      <c r="G108" s="19" t="s">
        <v>73</v>
      </c>
      <c r="H108" s="19">
        <v>44.5</v>
      </c>
      <c r="I108" s="45"/>
      <c r="J108" s="46">
        <v>525707</v>
      </c>
      <c r="K108" s="40"/>
      <c r="L108" s="47">
        <f t="shared" si="79"/>
        <v>1578.32052359793</v>
      </c>
      <c r="M108" s="48">
        <v>333.08</v>
      </c>
      <c r="N108" s="41">
        <v>7.24</v>
      </c>
      <c r="O108" s="42">
        <f t="shared" si="80"/>
        <v>2411.4992</v>
      </c>
      <c r="P108" s="44"/>
      <c r="Q108" s="44"/>
      <c r="R108" s="68">
        <f t="shared" si="73"/>
        <v>1812.94321437874</v>
      </c>
      <c r="S108" s="68"/>
      <c r="T108" s="69">
        <f t="shared" si="74"/>
        <v>6.22420421984892</v>
      </c>
      <c r="U108" s="68"/>
      <c r="V108" s="69">
        <v>47.74</v>
      </c>
      <c r="W108" s="68">
        <f t="shared" si="68"/>
        <v>1866.90741859859</v>
      </c>
      <c r="X108" s="70">
        <f t="shared" si="75"/>
        <v>36.956560302162</v>
      </c>
      <c r="Y108" s="70"/>
      <c r="Z108" s="70"/>
      <c r="AA108" s="70">
        <f t="shared" si="69"/>
        <v>36.956560302162</v>
      </c>
      <c r="AB108" s="80">
        <v>7.24</v>
      </c>
      <c r="AC108" s="68">
        <f t="shared" si="70"/>
        <v>267.565496587653</v>
      </c>
      <c r="AD108" s="68">
        <f t="shared" si="65"/>
        <v>2134.47291518625</v>
      </c>
      <c r="AE108" s="68">
        <f t="shared" si="71"/>
        <v>277.026284813754</v>
      </c>
    </row>
    <row r="109" customFormat="1" spans="1:31">
      <c r="A109" s="18"/>
      <c r="B109" s="19"/>
      <c r="C109" s="20">
        <v>240605000038</v>
      </c>
      <c r="D109" s="21">
        <v>45454</v>
      </c>
      <c r="E109" s="21" t="s">
        <v>51</v>
      </c>
      <c r="F109" s="19" t="s">
        <v>52</v>
      </c>
      <c r="G109" s="19" t="s">
        <v>151</v>
      </c>
      <c r="H109" s="19">
        <v>6</v>
      </c>
      <c r="I109" s="38">
        <v>625</v>
      </c>
      <c r="J109" s="39"/>
      <c r="K109" s="40"/>
      <c r="L109" s="19"/>
      <c r="M109" s="40"/>
      <c r="N109" s="41"/>
      <c r="O109" s="42">
        <f>SUM(I109)</f>
        <v>625</v>
      </c>
      <c r="P109" s="44"/>
      <c r="Q109" s="44"/>
      <c r="R109" s="68">
        <f t="shared" si="73"/>
        <v>244.441781713988</v>
      </c>
      <c r="S109" s="68"/>
      <c r="T109" s="69">
        <f t="shared" si="74"/>
        <v>0.839218546496484</v>
      </c>
      <c r="U109" s="68"/>
      <c r="V109" s="68"/>
      <c r="W109" s="68">
        <f t="shared" si="68"/>
        <v>245.281000260484</v>
      </c>
      <c r="X109" s="70">
        <f t="shared" si="75"/>
        <v>4.98290700703308</v>
      </c>
      <c r="Y109" s="70"/>
      <c r="Z109" s="70"/>
      <c r="AA109" s="70">
        <f t="shared" si="69"/>
        <v>4.98290700703308</v>
      </c>
      <c r="AB109" s="80">
        <v>7.24</v>
      </c>
      <c r="AC109" s="68">
        <f t="shared" si="70"/>
        <v>36.0762467309195</v>
      </c>
      <c r="AD109" s="68">
        <f t="shared" si="65"/>
        <v>281.357246991404</v>
      </c>
      <c r="AE109" s="68">
        <f t="shared" si="71"/>
        <v>343.642753008596</v>
      </c>
    </row>
    <row r="110" customFormat="1" spans="1:31">
      <c r="A110" s="18"/>
      <c r="B110" s="19"/>
      <c r="C110" s="20">
        <v>240605000040</v>
      </c>
      <c r="D110" s="21">
        <v>45454</v>
      </c>
      <c r="E110" s="21" t="s">
        <v>44</v>
      </c>
      <c r="F110" s="19" t="s">
        <v>45</v>
      </c>
      <c r="G110" s="19" t="s">
        <v>152</v>
      </c>
      <c r="H110" s="19">
        <v>5</v>
      </c>
      <c r="I110" s="42"/>
      <c r="J110" s="46">
        <v>61582</v>
      </c>
      <c r="K110" s="40"/>
      <c r="L110" s="47">
        <f t="shared" ref="L110:L115" si="81">SUM(J110/M110)</f>
        <v>1502</v>
      </c>
      <c r="M110" s="48">
        <v>41</v>
      </c>
      <c r="N110" s="41">
        <v>7.24</v>
      </c>
      <c r="O110" s="42">
        <f t="shared" ref="O110:O115" si="82">SUM(M110*N110)</f>
        <v>296.84</v>
      </c>
      <c r="P110" s="44"/>
      <c r="Q110" s="44"/>
      <c r="R110" s="68">
        <f t="shared" si="73"/>
        <v>203.701484761657</v>
      </c>
      <c r="S110" s="68"/>
      <c r="T110" s="69">
        <f t="shared" si="74"/>
        <v>0.69934878874707</v>
      </c>
      <c r="U110" s="68"/>
      <c r="V110" s="68"/>
      <c r="W110" s="68">
        <f t="shared" si="68"/>
        <v>204.400833550404</v>
      </c>
      <c r="X110" s="70">
        <f t="shared" si="75"/>
        <v>4.1524225058609</v>
      </c>
      <c r="Y110" s="70"/>
      <c r="Z110" s="70"/>
      <c r="AA110" s="70">
        <f t="shared" si="69"/>
        <v>4.1524225058609</v>
      </c>
      <c r="AB110" s="80">
        <v>7.24</v>
      </c>
      <c r="AC110" s="68">
        <f t="shared" si="70"/>
        <v>30.0635389424329</v>
      </c>
      <c r="AD110" s="68">
        <f t="shared" si="65"/>
        <v>234.464372492837</v>
      </c>
      <c r="AE110" s="68">
        <f t="shared" si="71"/>
        <v>62.3756275071633</v>
      </c>
    </row>
    <row r="111" customFormat="1" spans="1:31">
      <c r="A111" s="18"/>
      <c r="B111" s="19"/>
      <c r="C111" s="20">
        <v>240605000041</v>
      </c>
      <c r="D111" s="21">
        <v>45454</v>
      </c>
      <c r="E111" s="21" t="s">
        <v>48</v>
      </c>
      <c r="F111" s="19" t="s">
        <v>49</v>
      </c>
      <c r="G111" s="19" t="s">
        <v>153</v>
      </c>
      <c r="H111" s="19">
        <v>174</v>
      </c>
      <c r="I111" s="38">
        <v>8700</v>
      </c>
      <c r="J111" s="39"/>
      <c r="K111" s="40"/>
      <c r="L111" s="19"/>
      <c r="M111" s="40"/>
      <c r="N111" s="41"/>
      <c r="O111" s="42">
        <f>SUM(I111)</f>
        <v>8700</v>
      </c>
      <c r="P111" s="44"/>
      <c r="Q111" s="44"/>
      <c r="R111" s="68">
        <f t="shared" si="73"/>
        <v>7088.81166970565</v>
      </c>
      <c r="S111" s="68"/>
      <c r="T111" s="69">
        <f t="shared" si="74"/>
        <v>24.337337848398</v>
      </c>
      <c r="U111" s="68"/>
      <c r="V111" s="68"/>
      <c r="W111" s="68">
        <f t="shared" si="68"/>
        <v>7113.14900755405</v>
      </c>
      <c r="X111" s="70">
        <f t="shared" si="75"/>
        <v>144.504303203959</v>
      </c>
      <c r="Y111" s="70"/>
      <c r="Z111" s="70"/>
      <c r="AA111" s="70">
        <f t="shared" si="69"/>
        <v>144.504303203959</v>
      </c>
      <c r="AB111" s="80">
        <v>7.24</v>
      </c>
      <c r="AC111" s="68">
        <f t="shared" si="70"/>
        <v>1046.21115519667</v>
      </c>
      <c r="AD111" s="68">
        <f t="shared" si="65"/>
        <v>8159.36016275072</v>
      </c>
      <c r="AE111" s="68">
        <f t="shared" si="71"/>
        <v>540.639837249284</v>
      </c>
    </row>
    <row r="112" customFormat="1" spans="1:31">
      <c r="A112" s="18"/>
      <c r="B112" s="19"/>
      <c r="C112" s="20">
        <v>240605000044</v>
      </c>
      <c r="D112" s="21">
        <v>45454</v>
      </c>
      <c r="E112" s="21" t="s">
        <v>66</v>
      </c>
      <c r="F112" s="19" t="s">
        <v>100</v>
      </c>
      <c r="G112" s="19" t="s">
        <v>154</v>
      </c>
      <c r="H112" s="19">
        <v>23.5</v>
      </c>
      <c r="I112" s="42"/>
      <c r="J112" s="46">
        <v>270060</v>
      </c>
      <c r="K112" s="40"/>
      <c r="L112" s="47">
        <f t="shared" si="81"/>
        <v>1502.0022246941</v>
      </c>
      <c r="M112" s="48">
        <v>179.8</v>
      </c>
      <c r="N112" s="41">
        <v>7.24</v>
      </c>
      <c r="O112" s="42">
        <f t="shared" si="82"/>
        <v>1301.752</v>
      </c>
      <c r="P112" s="44"/>
      <c r="Q112" s="44"/>
      <c r="R112" s="68">
        <f t="shared" si="73"/>
        <v>957.396978379786</v>
      </c>
      <c r="S112" s="68"/>
      <c r="T112" s="69">
        <f t="shared" si="74"/>
        <v>3.28693930711123</v>
      </c>
      <c r="U112" s="68"/>
      <c r="V112" s="68"/>
      <c r="W112" s="68">
        <f t="shared" si="68"/>
        <v>960.683917686898</v>
      </c>
      <c r="X112" s="70">
        <f t="shared" si="75"/>
        <v>19.5163857775462</v>
      </c>
      <c r="Y112" s="70"/>
      <c r="Z112" s="70"/>
      <c r="AA112" s="70">
        <f t="shared" si="69"/>
        <v>19.5163857775462</v>
      </c>
      <c r="AB112" s="80">
        <v>7.24</v>
      </c>
      <c r="AC112" s="68">
        <f t="shared" si="70"/>
        <v>141.298633029435</v>
      </c>
      <c r="AD112" s="68">
        <f t="shared" si="65"/>
        <v>1101.98255071633</v>
      </c>
      <c r="AE112" s="68">
        <f t="shared" si="71"/>
        <v>199.769449283668</v>
      </c>
    </row>
    <row r="113" customFormat="1" spans="1:31">
      <c r="A113" s="18"/>
      <c r="B113" s="19"/>
      <c r="C113" s="20">
        <v>240605000045</v>
      </c>
      <c r="D113" s="21">
        <v>45454</v>
      </c>
      <c r="E113" s="21" t="s">
        <v>44</v>
      </c>
      <c r="F113" s="19">
        <v>13635229849</v>
      </c>
      <c r="G113" s="19" t="s">
        <v>116</v>
      </c>
      <c r="H113" s="19">
        <v>5.5</v>
      </c>
      <c r="I113" s="42"/>
      <c r="J113" s="46">
        <v>74949</v>
      </c>
      <c r="K113" s="40"/>
      <c r="L113" s="47">
        <f t="shared" si="81"/>
        <v>1501.98396793587</v>
      </c>
      <c r="M113" s="48">
        <v>49.9</v>
      </c>
      <c r="N113" s="41">
        <v>7.24</v>
      </c>
      <c r="O113" s="42">
        <f t="shared" si="82"/>
        <v>361.276</v>
      </c>
      <c r="P113" s="44"/>
      <c r="Q113" s="44"/>
      <c r="R113" s="68">
        <f t="shared" si="73"/>
        <v>224.071633237822</v>
      </c>
      <c r="S113" s="68"/>
      <c r="T113" s="69">
        <f t="shared" si="74"/>
        <v>0.769283667621777</v>
      </c>
      <c r="U113" s="68"/>
      <c r="V113" s="68"/>
      <c r="W113" s="68">
        <f t="shared" si="68"/>
        <v>224.840916905444</v>
      </c>
      <c r="X113" s="70">
        <f t="shared" si="75"/>
        <v>4.56766475644699</v>
      </c>
      <c r="Y113" s="70"/>
      <c r="Z113" s="70"/>
      <c r="AA113" s="70">
        <f t="shared" si="69"/>
        <v>4.56766475644699</v>
      </c>
      <c r="AB113" s="80">
        <v>7.24</v>
      </c>
      <c r="AC113" s="68">
        <f t="shared" si="70"/>
        <v>33.0698928366762</v>
      </c>
      <c r="AD113" s="68">
        <f t="shared" si="65"/>
        <v>257.91080974212</v>
      </c>
      <c r="AE113" s="68">
        <f t="shared" si="71"/>
        <v>103.36519025788</v>
      </c>
    </row>
    <row r="114" customFormat="1" spans="1:31">
      <c r="A114" s="18"/>
      <c r="B114" s="19"/>
      <c r="C114" s="20">
        <v>240605000049</v>
      </c>
      <c r="D114" s="21">
        <v>45454</v>
      </c>
      <c r="E114" s="21" t="s">
        <v>66</v>
      </c>
      <c r="F114" s="19" t="s">
        <v>100</v>
      </c>
      <c r="G114" s="19" t="s">
        <v>101</v>
      </c>
      <c r="H114" s="19">
        <v>3.5</v>
      </c>
      <c r="I114" s="42"/>
      <c r="J114" s="46">
        <v>43333</v>
      </c>
      <c r="K114" s="40"/>
      <c r="L114" s="47">
        <f t="shared" si="81"/>
        <v>1502.01039861352</v>
      </c>
      <c r="M114" s="48">
        <v>28.85</v>
      </c>
      <c r="N114" s="41">
        <v>7.24</v>
      </c>
      <c r="O114" s="42">
        <f t="shared" si="82"/>
        <v>208.874</v>
      </c>
      <c r="P114" s="44"/>
      <c r="Q114" s="44"/>
      <c r="R114" s="68">
        <f t="shared" si="73"/>
        <v>142.59103933316</v>
      </c>
      <c r="S114" s="68"/>
      <c r="T114" s="69">
        <f t="shared" si="74"/>
        <v>0.489544152122949</v>
      </c>
      <c r="U114" s="68"/>
      <c r="V114" s="68"/>
      <c r="W114" s="68">
        <f t="shared" si="68"/>
        <v>143.080583485283</v>
      </c>
      <c r="X114" s="70">
        <f t="shared" si="75"/>
        <v>2.90669575410263</v>
      </c>
      <c r="Y114" s="70"/>
      <c r="Z114" s="70"/>
      <c r="AA114" s="70">
        <f t="shared" si="69"/>
        <v>2.90669575410263</v>
      </c>
      <c r="AB114" s="80">
        <v>7.24</v>
      </c>
      <c r="AC114" s="68">
        <f t="shared" si="70"/>
        <v>21.0444772597031</v>
      </c>
      <c r="AD114" s="68">
        <f t="shared" si="65"/>
        <v>164.125060744986</v>
      </c>
      <c r="AE114" s="68">
        <f t="shared" si="71"/>
        <v>44.7489392550143</v>
      </c>
    </row>
    <row r="115" customFormat="1" spans="1:31">
      <c r="A115" s="18"/>
      <c r="B115" s="19"/>
      <c r="C115" s="20">
        <v>240606000005</v>
      </c>
      <c r="D115" s="21">
        <v>45454</v>
      </c>
      <c r="E115" s="21" t="s">
        <v>41</v>
      </c>
      <c r="F115" s="19" t="s">
        <v>42</v>
      </c>
      <c r="G115" s="19" t="s">
        <v>125</v>
      </c>
      <c r="H115" s="19">
        <v>6.5</v>
      </c>
      <c r="I115" s="42"/>
      <c r="J115" s="46">
        <v>79831.3</v>
      </c>
      <c r="K115" s="40"/>
      <c r="L115" s="47">
        <f t="shared" si="81"/>
        <v>1502</v>
      </c>
      <c r="M115" s="48">
        <v>53.15</v>
      </c>
      <c r="N115" s="41">
        <v>7.24</v>
      </c>
      <c r="O115" s="42">
        <f t="shared" si="82"/>
        <v>384.806</v>
      </c>
      <c r="P115" s="44"/>
      <c r="Q115" s="44"/>
      <c r="R115" s="68">
        <f t="shared" si="73"/>
        <v>264.811930190154</v>
      </c>
      <c r="S115" s="68"/>
      <c r="T115" s="69">
        <f t="shared" si="74"/>
        <v>0.909153425371191</v>
      </c>
      <c r="U115" s="68"/>
      <c r="V115" s="68"/>
      <c r="W115" s="68">
        <f t="shared" si="68"/>
        <v>265.721083615525</v>
      </c>
      <c r="X115" s="70">
        <f t="shared" si="75"/>
        <v>5.39814925761917</v>
      </c>
      <c r="Y115" s="70"/>
      <c r="Z115" s="70"/>
      <c r="AA115" s="70">
        <f t="shared" si="69"/>
        <v>5.39814925761917</v>
      </c>
      <c r="AB115" s="80">
        <v>7.24</v>
      </c>
      <c r="AC115" s="68">
        <f t="shared" si="70"/>
        <v>39.0826006251628</v>
      </c>
      <c r="AD115" s="68">
        <f t="shared" ref="AD115:AD134" si="83">SUM(W115+AC115)</f>
        <v>304.803684240688</v>
      </c>
      <c r="AE115" s="68">
        <f t="shared" si="71"/>
        <v>80.0023157593123</v>
      </c>
    </row>
    <row r="116" customFormat="1" spans="1:31">
      <c r="A116" s="18"/>
      <c r="B116" s="19"/>
      <c r="C116" s="20">
        <v>240606000007</v>
      </c>
      <c r="D116" s="21">
        <v>45454</v>
      </c>
      <c r="E116" s="21" t="s">
        <v>41</v>
      </c>
      <c r="F116" s="19" t="s">
        <v>42</v>
      </c>
      <c r="G116" s="19" t="s">
        <v>155</v>
      </c>
      <c r="H116" s="19">
        <v>444.5</v>
      </c>
      <c r="I116" s="38">
        <v>24947</v>
      </c>
      <c r="J116" s="39"/>
      <c r="K116" s="40"/>
      <c r="L116" s="19"/>
      <c r="M116" s="40"/>
      <c r="N116" s="41"/>
      <c r="O116" s="42">
        <f t="shared" ref="O116:O121" si="84">SUM(I116)</f>
        <v>24947</v>
      </c>
      <c r="P116" s="44"/>
      <c r="Q116" s="44"/>
      <c r="R116" s="68">
        <f t="shared" si="73"/>
        <v>18109.0619953113</v>
      </c>
      <c r="S116" s="68"/>
      <c r="T116" s="69">
        <f t="shared" si="74"/>
        <v>62.1721073196145</v>
      </c>
      <c r="U116" s="68"/>
      <c r="V116" s="68"/>
      <c r="W116" s="68">
        <f t="shared" si="68"/>
        <v>18171.2341026309</v>
      </c>
      <c r="X116" s="70">
        <f t="shared" si="75"/>
        <v>369.150360771034</v>
      </c>
      <c r="Y116" s="70"/>
      <c r="Z116" s="70"/>
      <c r="AA116" s="70">
        <f t="shared" si="69"/>
        <v>369.150360771034</v>
      </c>
      <c r="AB116" s="80">
        <v>7.24</v>
      </c>
      <c r="AC116" s="68">
        <f t="shared" si="70"/>
        <v>2672.64861198229</v>
      </c>
      <c r="AD116" s="68">
        <f t="shared" si="83"/>
        <v>20843.8827146132</v>
      </c>
      <c r="AE116" s="68">
        <f t="shared" si="71"/>
        <v>4103.11728538682</v>
      </c>
    </row>
    <row r="117" customFormat="1" spans="1:31">
      <c r="A117" s="18"/>
      <c r="B117" s="19"/>
      <c r="C117" s="20">
        <v>240606000008</v>
      </c>
      <c r="D117" s="21">
        <v>45454</v>
      </c>
      <c r="E117" s="21" t="s">
        <v>51</v>
      </c>
      <c r="F117" s="19" t="s">
        <v>52</v>
      </c>
      <c r="G117" s="19" t="s">
        <v>156</v>
      </c>
      <c r="H117" s="19">
        <v>38.5</v>
      </c>
      <c r="I117" s="38">
        <v>2040.5</v>
      </c>
      <c r="J117" s="39"/>
      <c r="K117" s="40"/>
      <c r="L117" s="19"/>
      <c r="M117" s="40"/>
      <c r="N117" s="41"/>
      <c r="O117" s="42">
        <f t="shared" si="84"/>
        <v>2040.5</v>
      </c>
      <c r="P117" s="44"/>
      <c r="Q117" s="44"/>
      <c r="R117" s="68">
        <f t="shared" si="73"/>
        <v>1568.50143266476</v>
      </c>
      <c r="S117" s="68"/>
      <c r="T117" s="69">
        <f t="shared" si="74"/>
        <v>5.38498567335244</v>
      </c>
      <c r="U117" s="68"/>
      <c r="V117" s="68"/>
      <c r="W117" s="68">
        <f t="shared" si="68"/>
        <v>1573.88641833811</v>
      </c>
      <c r="X117" s="70">
        <f t="shared" si="75"/>
        <v>31.9736532951289</v>
      </c>
      <c r="Y117" s="70"/>
      <c r="Z117" s="70"/>
      <c r="AA117" s="70">
        <f t="shared" si="69"/>
        <v>31.9736532951289</v>
      </c>
      <c r="AB117" s="80">
        <v>7.24</v>
      </c>
      <c r="AC117" s="68">
        <f t="shared" si="70"/>
        <v>231.489249856734</v>
      </c>
      <c r="AD117" s="68">
        <f t="shared" si="83"/>
        <v>1805.37566819484</v>
      </c>
      <c r="AE117" s="68">
        <f t="shared" si="71"/>
        <v>235.124331805158</v>
      </c>
    </row>
    <row r="118" customFormat="1" spans="1:31">
      <c r="A118" s="18"/>
      <c r="B118" s="19"/>
      <c r="C118" s="20">
        <v>240606000009</v>
      </c>
      <c r="D118" s="21">
        <v>45454</v>
      </c>
      <c r="E118" s="21" t="s">
        <v>51</v>
      </c>
      <c r="F118" s="19" t="s">
        <v>52</v>
      </c>
      <c r="G118" s="19" t="s">
        <v>157</v>
      </c>
      <c r="H118" s="19">
        <v>2.5</v>
      </c>
      <c r="I118" s="45"/>
      <c r="J118" s="46">
        <v>33741</v>
      </c>
      <c r="K118" s="40"/>
      <c r="L118" s="47">
        <f t="shared" ref="L118:L123" si="85">SUM(J118/M118)</f>
        <v>1498.9338071968</v>
      </c>
      <c r="M118" s="48">
        <v>22.51</v>
      </c>
      <c r="N118" s="41">
        <v>7.24</v>
      </c>
      <c r="O118" s="42">
        <f t="shared" ref="O118:O123" si="86">SUM(M118*N118)</f>
        <v>162.9724</v>
      </c>
      <c r="P118" s="44"/>
      <c r="Q118" s="44"/>
      <c r="R118" s="68">
        <f t="shared" si="73"/>
        <v>101.850742380828</v>
      </c>
      <c r="S118" s="68"/>
      <c r="T118" s="69">
        <f t="shared" si="74"/>
        <v>0.349674394373535</v>
      </c>
      <c r="U118" s="68"/>
      <c r="V118" s="68"/>
      <c r="W118" s="68">
        <f t="shared" ref="W118:W134" si="87">SUM(R118:V118)</f>
        <v>102.200416775202</v>
      </c>
      <c r="X118" s="70">
        <f t="shared" si="75"/>
        <v>2.07621125293045</v>
      </c>
      <c r="Y118" s="70"/>
      <c r="Z118" s="70"/>
      <c r="AA118" s="70">
        <f t="shared" si="69"/>
        <v>2.07621125293045</v>
      </c>
      <c r="AB118" s="80">
        <v>7.24</v>
      </c>
      <c r="AC118" s="68">
        <f t="shared" si="70"/>
        <v>15.0317694712165</v>
      </c>
      <c r="AD118" s="68">
        <f t="shared" si="83"/>
        <v>117.232186246418</v>
      </c>
      <c r="AE118" s="68">
        <f t="shared" si="71"/>
        <v>45.7402137535817</v>
      </c>
    </row>
    <row r="119" customFormat="1" spans="1:31">
      <c r="A119" s="18"/>
      <c r="B119" s="19"/>
      <c r="C119" s="20">
        <v>240606000015</v>
      </c>
      <c r="D119" s="21">
        <v>45454</v>
      </c>
      <c r="E119" s="21" t="s">
        <v>41</v>
      </c>
      <c r="F119" s="19" t="s">
        <v>158</v>
      </c>
      <c r="G119" s="19" t="s">
        <v>159</v>
      </c>
      <c r="H119" s="19">
        <v>10</v>
      </c>
      <c r="I119" s="42"/>
      <c r="J119" s="46">
        <v>116990.78</v>
      </c>
      <c r="K119" s="40"/>
      <c r="L119" s="47">
        <f t="shared" si="85"/>
        <v>1502</v>
      </c>
      <c r="M119" s="48">
        <v>77.89</v>
      </c>
      <c r="N119" s="41">
        <v>7.24</v>
      </c>
      <c r="O119" s="42">
        <f t="shared" si="86"/>
        <v>563.9236</v>
      </c>
      <c r="P119" s="44"/>
      <c r="Q119" s="44"/>
      <c r="R119" s="68">
        <f t="shared" si="73"/>
        <v>407.402969523313</v>
      </c>
      <c r="S119" s="68"/>
      <c r="T119" s="69">
        <f t="shared" si="74"/>
        <v>1.39869757749414</v>
      </c>
      <c r="U119" s="68"/>
      <c r="V119" s="68"/>
      <c r="W119" s="68">
        <f t="shared" si="87"/>
        <v>408.801667100807</v>
      </c>
      <c r="X119" s="70">
        <f t="shared" si="75"/>
        <v>8.3048450117218</v>
      </c>
      <c r="Y119" s="70"/>
      <c r="Z119" s="70"/>
      <c r="AA119" s="70">
        <f t="shared" ref="AA119:AA134" si="88">SUM(X119:Z119)</f>
        <v>8.3048450117218</v>
      </c>
      <c r="AB119" s="80">
        <v>7.24</v>
      </c>
      <c r="AC119" s="68">
        <f t="shared" ref="AC119:AC134" si="89">SUM(AA119*AB119)</f>
        <v>60.1270778848658</v>
      </c>
      <c r="AD119" s="68">
        <f t="shared" si="83"/>
        <v>468.928744985673</v>
      </c>
      <c r="AE119" s="68">
        <f t="shared" ref="AE119:AE134" si="90">SUM(O119-AD119)</f>
        <v>94.9948550143266</v>
      </c>
    </row>
    <row r="120" customFormat="1" spans="1:31">
      <c r="A120" s="18"/>
      <c r="B120" s="19"/>
      <c r="C120" s="20">
        <v>240606000023</v>
      </c>
      <c r="D120" s="21">
        <v>45454</v>
      </c>
      <c r="E120" s="21" t="s">
        <v>51</v>
      </c>
      <c r="F120" s="19" t="s">
        <v>52</v>
      </c>
      <c r="G120" s="19" t="s">
        <v>160</v>
      </c>
      <c r="H120" s="19">
        <v>413.5</v>
      </c>
      <c r="I120" s="38">
        <v>21150</v>
      </c>
      <c r="J120" s="39"/>
      <c r="K120" s="40"/>
      <c r="L120" s="19"/>
      <c r="M120" s="40"/>
      <c r="N120" s="41"/>
      <c r="O120" s="42">
        <f t="shared" si="84"/>
        <v>21150</v>
      </c>
      <c r="P120" s="44"/>
      <c r="Q120" s="44"/>
      <c r="R120" s="68">
        <f t="shared" si="73"/>
        <v>16846.112789789</v>
      </c>
      <c r="S120" s="68"/>
      <c r="T120" s="69">
        <f t="shared" si="74"/>
        <v>57.8361448293827</v>
      </c>
      <c r="U120" s="68"/>
      <c r="V120" s="68"/>
      <c r="W120" s="68">
        <f t="shared" si="87"/>
        <v>16903.9489346184</v>
      </c>
      <c r="X120" s="70">
        <f t="shared" si="75"/>
        <v>343.405341234697</v>
      </c>
      <c r="Y120" s="70"/>
      <c r="Z120" s="70"/>
      <c r="AA120" s="70">
        <f t="shared" si="88"/>
        <v>343.405341234697</v>
      </c>
      <c r="AB120" s="80">
        <v>7.24</v>
      </c>
      <c r="AC120" s="68">
        <f t="shared" si="89"/>
        <v>2486.2546705392</v>
      </c>
      <c r="AD120" s="68">
        <f t="shared" si="83"/>
        <v>19390.2036051576</v>
      </c>
      <c r="AE120" s="68">
        <f t="shared" si="90"/>
        <v>1759.79639484241</v>
      </c>
    </row>
    <row r="121" customFormat="1" spans="1:31">
      <c r="A121" s="18"/>
      <c r="B121" s="19"/>
      <c r="C121" s="81">
        <v>240606000028</v>
      </c>
      <c r="D121" s="82">
        <v>45454</v>
      </c>
      <c r="E121" s="21" t="s">
        <v>85</v>
      </c>
      <c r="F121" s="83" t="s">
        <v>86</v>
      </c>
      <c r="G121" s="83" t="s">
        <v>131</v>
      </c>
      <c r="H121" s="83">
        <v>7</v>
      </c>
      <c r="I121" s="38">
        <v>435</v>
      </c>
      <c r="J121" s="39"/>
      <c r="K121" s="40"/>
      <c r="L121" s="19"/>
      <c r="M121" s="40"/>
      <c r="N121" s="41"/>
      <c r="O121" s="42">
        <f t="shared" si="84"/>
        <v>435</v>
      </c>
      <c r="P121" s="44"/>
      <c r="Q121" s="44"/>
      <c r="R121" s="68">
        <f t="shared" si="73"/>
        <v>285.182078666319</v>
      </c>
      <c r="S121" s="68"/>
      <c r="T121" s="69">
        <f t="shared" si="74"/>
        <v>0.979088304245898</v>
      </c>
      <c r="U121" s="68">
        <v>30</v>
      </c>
      <c r="V121" s="68"/>
      <c r="W121" s="68">
        <f t="shared" si="87"/>
        <v>316.161166970565</v>
      </c>
      <c r="X121" s="70">
        <f t="shared" si="75"/>
        <v>5.81339150820526</v>
      </c>
      <c r="Y121" s="70"/>
      <c r="Z121" s="70"/>
      <c r="AA121" s="70">
        <f t="shared" si="88"/>
        <v>5.81339150820526</v>
      </c>
      <c r="AB121" s="80">
        <v>7.24</v>
      </c>
      <c r="AC121" s="68">
        <f t="shared" si="89"/>
        <v>42.0889545194061</v>
      </c>
      <c r="AD121" s="68">
        <f t="shared" si="83"/>
        <v>358.250121489971</v>
      </c>
      <c r="AE121" s="68">
        <f t="shared" si="90"/>
        <v>76.7498785100286</v>
      </c>
    </row>
    <row r="122" customFormat="1" spans="1:31">
      <c r="A122" s="18"/>
      <c r="B122" s="19"/>
      <c r="C122" s="20">
        <v>240607000013</v>
      </c>
      <c r="D122" s="21">
        <v>45454</v>
      </c>
      <c r="E122" s="21" t="s">
        <v>51</v>
      </c>
      <c r="F122" s="19" t="s">
        <v>52</v>
      </c>
      <c r="G122" s="19" t="s">
        <v>161</v>
      </c>
      <c r="H122" s="19">
        <v>26</v>
      </c>
      <c r="I122" s="45"/>
      <c r="J122" s="46">
        <v>357262</v>
      </c>
      <c r="K122" s="40"/>
      <c r="L122" s="47">
        <f t="shared" si="85"/>
        <v>1498.70794529742</v>
      </c>
      <c r="M122" s="48">
        <v>238.38</v>
      </c>
      <c r="N122" s="41">
        <v>7.24</v>
      </c>
      <c r="O122" s="42">
        <f t="shared" si="86"/>
        <v>1725.8712</v>
      </c>
      <c r="P122" s="44"/>
      <c r="Q122" s="44"/>
      <c r="R122" s="68">
        <f t="shared" si="73"/>
        <v>1059.24772076061</v>
      </c>
      <c r="S122" s="68"/>
      <c r="T122" s="69">
        <f t="shared" si="74"/>
        <v>3.63661370148476</v>
      </c>
      <c r="U122" s="68"/>
      <c r="V122" s="68"/>
      <c r="W122" s="68">
        <f t="shared" si="87"/>
        <v>1062.8843344621</v>
      </c>
      <c r="X122" s="70">
        <f t="shared" si="75"/>
        <v>21.5925970304767</v>
      </c>
      <c r="Y122" s="70"/>
      <c r="Z122" s="70"/>
      <c r="AA122" s="70">
        <f t="shared" si="88"/>
        <v>21.5925970304767</v>
      </c>
      <c r="AB122" s="80">
        <v>7.24</v>
      </c>
      <c r="AC122" s="68">
        <f t="shared" si="89"/>
        <v>156.330402500651</v>
      </c>
      <c r="AD122" s="68">
        <f t="shared" si="83"/>
        <v>1219.21473696275</v>
      </c>
      <c r="AE122" s="68">
        <f t="shared" si="90"/>
        <v>506.656463037249</v>
      </c>
    </row>
    <row r="123" customFormat="1" spans="1:31">
      <c r="A123" s="18"/>
      <c r="B123" s="19"/>
      <c r="C123" s="20">
        <v>240607000014</v>
      </c>
      <c r="D123" s="21">
        <v>45454</v>
      </c>
      <c r="E123" s="21" t="s">
        <v>41</v>
      </c>
      <c r="F123" s="19" t="s">
        <v>42</v>
      </c>
      <c r="G123" s="19" t="s">
        <v>125</v>
      </c>
      <c r="H123" s="19">
        <v>0.51</v>
      </c>
      <c r="I123" s="42"/>
      <c r="J123" s="46">
        <v>13217.6</v>
      </c>
      <c r="K123" s="40"/>
      <c r="L123" s="47">
        <f t="shared" si="85"/>
        <v>1502</v>
      </c>
      <c r="M123" s="48">
        <v>8.8</v>
      </c>
      <c r="N123" s="41">
        <v>7.24</v>
      </c>
      <c r="O123" s="42">
        <f t="shared" si="86"/>
        <v>63.712</v>
      </c>
      <c r="P123" s="44"/>
      <c r="Q123" s="44"/>
      <c r="R123" s="68">
        <f t="shared" si="73"/>
        <v>20.777551445689</v>
      </c>
      <c r="S123" s="68"/>
      <c r="T123" s="69">
        <f t="shared" si="74"/>
        <v>0.0713335764522011</v>
      </c>
      <c r="U123" s="68"/>
      <c r="V123" s="68"/>
      <c r="W123" s="68">
        <f t="shared" si="87"/>
        <v>20.8488850221412</v>
      </c>
      <c r="X123" s="70">
        <f t="shared" si="75"/>
        <v>0.423547095597812</v>
      </c>
      <c r="Y123" s="70"/>
      <c r="Z123" s="70"/>
      <c r="AA123" s="70">
        <f t="shared" si="88"/>
        <v>0.423547095597812</v>
      </c>
      <c r="AB123" s="80">
        <v>7.24</v>
      </c>
      <c r="AC123" s="68">
        <f t="shared" si="89"/>
        <v>3.06648097212816</v>
      </c>
      <c r="AD123" s="68">
        <f t="shared" si="83"/>
        <v>23.9153659942693</v>
      </c>
      <c r="AE123" s="68">
        <f t="shared" si="90"/>
        <v>39.7966340057307</v>
      </c>
    </row>
    <row r="124" customFormat="1" spans="1:31">
      <c r="A124" s="18"/>
      <c r="B124" s="19"/>
      <c r="C124" s="20">
        <v>240607000018</v>
      </c>
      <c r="D124" s="21">
        <v>45454</v>
      </c>
      <c r="E124" s="21" t="s">
        <v>41</v>
      </c>
      <c r="F124" s="19" t="s">
        <v>42</v>
      </c>
      <c r="G124" s="19" t="s">
        <v>162</v>
      </c>
      <c r="H124" s="19">
        <v>10.5</v>
      </c>
      <c r="I124" s="38">
        <v>683</v>
      </c>
      <c r="J124" s="39"/>
      <c r="K124" s="40"/>
      <c r="L124" s="19"/>
      <c r="M124" s="40"/>
      <c r="N124" s="41"/>
      <c r="O124" s="42">
        <f t="shared" ref="O124:O131" si="91">SUM(I124)</f>
        <v>683</v>
      </c>
      <c r="P124" s="44"/>
      <c r="Q124" s="44"/>
      <c r="R124" s="68">
        <f t="shared" si="73"/>
        <v>427.773117999479</v>
      </c>
      <c r="S124" s="68"/>
      <c r="T124" s="69">
        <f t="shared" si="74"/>
        <v>1.46863245636885</v>
      </c>
      <c r="U124" s="68">
        <v>50</v>
      </c>
      <c r="V124" s="68"/>
      <c r="W124" s="68">
        <f t="shared" si="87"/>
        <v>479.241750455848</v>
      </c>
      <c r="X124" s="70">
        <f t="shared" si="75"/>
        <v>8.72008726230789</v>
      </c>
      <c r="Y124" s="70"/>
      <c r="Z124" s="70"/>
      <c r="AA124" s="70">
        <f t="shared" si="88"/>
        <v>8.72008726230789</v>
      </c>
      <c r="AB124" s="80">
        <v>7.24</v>
      </c>
      <c r="AC124" s="68">
        <f t="shared" si="89"/>
        <v>63.1334317791092</v>
      </c>
      <c r="AD124" s="68">
        <f t="shared" si="83"/>
        <v>542.375182234957</v>
      </c>
      <c r="AE124" s="68">
        <f t="shared" si="90"/>
        <v>140.624817765043</v>
      </c>
    </row>
    <row r="125" customFormat="1" spans="1:31">
      <c r="A125" s="18"/>
      <c r="B125" s="19"/>
      <c r="C125" s="20">
        <v>240607000019</v>
      </c>
      <c r="D125" s="21">
        <v>45454</v>
      </c>
      <c r="E125" s="21" t="s">
        <v>51</v>
      </c>
      <c r="F125" s="19" t="s">
        <v>52</v>
      </c>
      <c r="G125" s="19" t="s">
        <v>163</v>
      </c>
      <c r="H125" s="19">
        <v>3.5</v>
      </c>
      <c r="I125" s="38">
        <v>255.5</v>
      </c>
      <c r="J125" s="39"/>
      <c r="K125" s="40"/>
      <c r="L125" s="19"/>
      <c r="M125" s="40"/>
      <c r="N125" s="41"/>
      <c r="O125" s="42">
        <f t="shared" si="91"/>
        <v>255.5</v>
      </c>
      <c r="P125" s="44"/>
      <c r="Q125" s="44"/>
      <c r="R125" s="68">
        <f t="shared" si="73"/>
        <v>142.59103933316</v>
      </c>
      <c r="S125" s="68"/>
      <c r="T125" s="69">
        <f t="shared" si="74"/>
        <v>0.489544152122949</v>
      </c>
      <c r="U125" s="68"/>
      <c r="V125" s="68"/>
      <c r="W125" s="68">
        <f t="shared" si="87"/>
        <v>143.080583485283</v>
      </c>
      <c r="X125" s="70">
        <f t="shared" si="75"/>
        <v>2.90669575410263</v>
      </c>
      <c r="Y125" s="70"/>
      <c r="Z125" s="70"/>
      <c r="AA125" s="70">
        <f t="shared" si="88"/>
        <v>2.90669575410263</v>
      </c>
      <c r="AB125" s="80">
        <v>7.24</v>
      </c>
      <c r="AC125" s="68">
        <f t="shared" si="89"/>
        <v>21.0444772597031</v>
      </c>
      <c r="AD125" s="68">
        <f t="shared" si="83"/>
        <v>164.125060744986</v>
      </c>
      <c r="AE125" s="68">
        <f t="shared" si="90"/>
        <v>91.3749392550143</v>
      </c>
    </row>
    <row r="126" customFormat="1" spans="1:31">
      <c r="A126" s="18"/>
      <c r="B126" s="19"/>
      <c r="C126" s="20">
        <v>240607000025</v>
      </c>
      <c r="D126" s="21">
        <v>45454</v>
      </c>
      <c r="E126" s="21" t="s">
        <v>48</v>
      </c>
      <c r="F126" s="19" t="s">
        <v>49</v>
      </c>
      <c r="G126" s="19" t="s">
        <v>73</v>
      </c>
      <c r="H126" s="19">
        <v>21.5</v>
      </c>
      <c r="I126" s="45"/>
      <c r="J126" s="46">
        <v>248411</v>
      </c>
      <c r="K126" s="40"/>
      <c r="L126" s="47">
        <f t="shared" ref="L126:L128" si="92">SUM(J126/M126)</f>
        <v>1578.41530054645</v>
      </c>
      <c r="M126" s="48">
        <v>157.38</v>
      </c>
      <c r="N126" s="41">
        <v>7.24</v>
      </c>
      <c r="O126" s="42">
        <f t="shared" ref="O126:O128" si="93">SUM(M126*N126)</f>
        <v>1139.4312</v>
      </c>
      <c r="P126" s="44"/>
      <c r="Q126" s="44"/>
      <c r="R126" s="68">
        <f t="shared" si="73"/>
        <v>875.916384475124</v>
      </c>
      <c r="S126" s="68"/>
      <c r="T126" s="69">
        <f t="shared" si="74"/>
        <v>3.0071997916124</v>
      </c>
      <c r="U126" s="68"/>
      <c r="V126" s="68"/>
      <c r="W126" s="68">
        <f t="shared" si="87"/>
        <v>878.923584266736</v>
      </c>
      <c r="X126" s="70">
        <f t="shared" si="75"/>
        <v>17.8554167752019</v>
      </c>
      <c r="Y126" s="70"/>
      <c r="Z126" s="70"/>
      <c r="AA126" s="70">
        <f t="shared" si="88"/>
        <v>17.8554167752019</v>
      </c>
      <c r="AB126" s="80">
        <v>7.24</v>
      </c>
      <c r="AC126" s="68">
        <f t="shared" si="89"/>
        <v>129.273217452462</v>
      </c>
      <c r="AD126" s="68">
        <f t="shared" si="83"/>
        <v>1008.1968017192</v>
      </c>
      <c r="AE126" s="68">
        <f t="shared" si="90"/>
        <v>131.234398280802</v>
      </c>
    </row>
    <row r="127" customFormat="1" spans="1:31">
      <c r="A127" s="18"/>
      <c r="B127" s="19"/>
      <c r="C127" s="20">
        <v>240607000034</v>
      </c>
      <c r="D127" s="21">
        <v>45454</v>
      </c>
      <c r="E127" s="21" t="s">
        <v>48</v>
      </c>
      <c r="F127" s="19" t="s">
        <v>49</v>
      </c>
      <c r="G127" s="19" t="s">
        <v>73</v>
      </c>
      <c r="H127" s="19">
        <v>3</v>
      </c>
      <c r="I127" s="45"/>
      <c r="J127" s="46">
        <v>40439</v>
      </c>
      <c r="K127" s="40"/>
      <c r="L127" s="47">
        <f t="shared" si="92"/>
        <v>1578.41530054645</v>
      </c>
      <c r="M127" s="48">
        <v>25.62</v>
      </c>
      <c r="N127" s="41">
        <v>7.24</v>
      </c>
      <c r="O127" s="42">
        <f t="shared" si="93"/>
        <v>185.4888</v>
      </c>
      <c r="P127" s="44"/>
      <c r="Q127" s="44"/>
      <c r="R127" s="68">
        <f t="shared" si="73"/>
        <v>122.220890856994</v>
      </c>
      <c r="S127" s="68"/>
      <c r="T127" s="69">
        <f t="shared" si="74"/>
        <v>0.419609273248242</v>
      </c>
      <c r="U127" s="68"/>
      <c r="V127" s="69">
        <v>12</v>
      </c>
      <c r="W127" s="68">
        <f t="shared" si="87"/>
        <v>134.640500130242</v>
      </c>
      <c r="X127" s="70">
        <f t="shared" si="75"/>
        <v>2.49145350351654</v>
      </c>
      <c r="Y127" s="70"/>
      <c r="Z127" s="70"/>
      <c r="AA127" s="70">
        <f t="shared" si="88"/>
        <v>2.49145350351654</v>
      </c>
      <c r="AB127" s="80">
        <v>7.24</v>
      </c>
      <c r="AC127" s="68">
        <f t="shared" si="89"/>
        <v>18.0381233654598</v>
      </c>
      <c r="AD127" s="68">
        <f t="shared" si="83"/>
        <v>152.678623495702</v>
      </c>
      <c r="AE127" s="68">
        <f t="shared" si="90"/>
        <v>32.810176504298</v>
      </c>
    </row>
    <row r="128" customFormat="1" spans="1:31">
      <c r="A128" s="18"/>
      <c r="B128" s="19"/>
      <c r="C128" s="20">
        <v>240607000035</v>
      </c>
      <c r="D128" s="21">
        <v>45454</v>
      </c>
      <c r="E128" s="21" t="s">
        <v>48</v>
      </c>
      <c r="F128" s="19" t="s">
        <v>49</v>
      </c>
      <c r="G128" s="19" t="s">
        <v>164</v>
      </c>
      <c r="H128" s="19">
        <v>22</v>
      </c>
      <c r="I128" s="45"/>
      <c r="J128" s="46">
        <v>254100</v>
      </c>
      <c r="K128" s="40"/>
      <c r="L128" s="47">
        <f t="shared" si="92"/>
        <v>1520.46433700335</v>
      </c>
      <c r="M128" s="48">
        <v>167.12</v>
      </c>
      <c r="N128" s="41">
        <v>7.24</v>
      </c>
      <c r="O128" s="42">
        <f t="shared" si="93"/>
        <v>1209.9488</v>
      </c>
      <c r="P128" s="44"/>
      <c r="Q128" s="44"/>
      <c r="R128" s="68">
        <f t="shared" si="73"/>
        <v>896.286532951289</v>
      </c>
      <c r="S128" s="68"/>
      <c r="T128" s="69">
        <f t="shared" si="74"/>
        <v>3.07713467048711</v>
      </c>
      <c r="U128" s="68"/>
      <c r="V128" s="68"/>
      <c r="W128" s="68">
        <f t="shared" si="87"/>
        <v>899.363667621776</v>
      </c>
      <c r="X128" s="70">
        <f t="shared" si="75"/>
        <v>18.270659025788</v>
      </c>
      <c r="Y128" s="70"/>
      <c r="Z128" s="70"/>
      <c r="AA128" s="70">
        <f t="shared" si="88"/>
        <v>18.270659025788</v>
      </c>
      <c r="AB128" s="80">
        <v>7.24</v>
      </c>
      <c r="AC128" s="68">
        <f t="shared" si="89"/>
        <v>132.279571346705</v>
      </c>
      <c r="AD128" s="68">
        <f t="shared" si="83"/>
        <v>1031.64323896848</v>
      </c>
      <c r="AE128" s="68">
        <f t="shared" si="90"/>
        <v>178.305561031518</v>
      </c>
    </row>
    <row r="129" customFormat="1" spans="1:31">
      <c r="A129" s="18"/>
      <c r="B129" s="19"/>
      <c r="C129" s="20">
        <v>240607000037</v>
      </c>
      <c r="D129" s="21">
        <v>45454</v>
      </c>
      <c r="E129" s="21" t="s">
        <v>37</v>
      </c>
      <c r="F129" s="19" t="s">
        <v>165</v>
      </c>
      <c r="G129" s="19" t="s">
        <v>166</v>
      </c>
      <c r="H129" s="19">
        <v>54.5</v>
      </c>
      <c r="I129" s="38">
        <v>3279</v>
      </c>
      <c r="J129" s="39"/>
      <c r="K129" s="40"/>
      <c r="L129" s="19"/>
      <c r="M129" s="40"/>
      <c r="N129" s="41"/>
      <c r="O129" s="42">
        <f t="shared" si="91"/>
        <v>3279</v>
      </c>
      <c r="P129" s="44"/>
      <c r="Q129" s="44"/>
      <c r="R129" s="68">
        <f t="shared" si="73"/>
        <v>2220.34618390206</v>
      </c>
      <c r="S129" s="68"/>
      <c r="T129" s="69">
        <f t="shared" si="74"/>
        <v>7.62290179734306</v>
      </c>
      <c r="U129" s="68"/>
      <c r="V129" s="68"/>
      <c r="W129" s="68">
        <f t="shared" si="87"/>
        <v>2227.9690856994</v>
      </c>
      <c r="X129" s="70">
        <f t="shared" si="75"/>
        <v>45.2614053138838</v>
      </c>
      <c r="Y129" s="70"/>
      <c r="Z129" s="70"/>
      <c r="AA129" s="70">
        <f t="shared" si="88"/>
        <v>45.2614053138838</v>
      </c>
      <c r="AB129" s="80">
        <v>7.24</v>
      </c>
      <c r="AC129" s="68">
        <f t="shared" si="89"/>
        <v>327.692574472519</v>
      </c>
      <c r="AD129" s="68">
        <f t="shared" si="83"/>
        <v>2555.66166017192</v>
      </c>
      <c r="AE129" s="68">
        <f t="shared" si="90"/>
        <v>723.33833982808</v>
      </c>
    </row>
    <row r="130" customFormat="1" spans="1:31">
      <c r="A130" s="18"/>
      <c r="B130" s="19"/>
      <c r="C130" s="20">
        <v>240607000038</v>
      </c>
      <c r="D130" s="21">
        <v>45454</v>
      </c>
      <c r="E130" s="21" t="s">
        <v>44</v>
      </c>
      <c r="F130" s="19" t="s">
        <v>45</v>
      </c>
      <c r="G130" s="19" t="s">
        <v>167</v>
      </c>
      <c r="H130" s="19">
        <v>121</v>
      </c>
      <c r="I130" s="38">
        <v>6413</v>
      </c>
      <c r="J130" s="39"/>
      <c r="K130" s="40"/>
      <c r="L130" s="19"/>
      <c r="M130" s="40"/>
      <c r="N130" s="41"/>
      <c r="O130" s="42">
        <f t="shared" si="91"/>
        <v>6413</v>
      </c>
      <c r="P130" s="44"/>
      <c r="Q130" s="44"/>
      <c r="R130" s="68">
        <f t="shared" si="73"/>
        <v>4929.57593123209</v>
      </c>
      <c r="S130" s="68"/>
      <c r="T130" s="69">
        <f t="shared" si="74"/>
        <v>16.9242406876791</v>
      </c>
      <c r="U130" s="68"/>
      <c r="V130" s="68"/>
      <c r="W130" s="68">
        <f t="shared" si="87"/>
        <v>4946.50017191977</v>
      </c>
      <c r="X130" s="70">
        <f t="shared" si="75"/>
        <v>100.488624641834</v>
      </c>
      <c r="Y130" s="70"/>
      <c r="Z130" s="70"/>
      <c r="AA130" s="70">
        <f t="shared" si="88"/>
        <v>100.488624641834</v>
      </c>
      <c r="AB130" s="80">
        <v>7.24</v>
      </c>
      <c r="AC130" s="68">
        <f t="shared" si="89"/>
        <v>727.537642406877</v>
      </c>
      <c r="AD130" s="68">
        <f t="shared" si="83"/>
        <v>5674.03781432665</v>
      </c>
      <c r="AE130" s="68">
        <f t="shared" si="90"/>
        <v>738.962185673352</v>
      </c>
    </row>
    <row r="131" customFormat="1" spans="1:31">
      <c r="A131" s="18"/>
      <c r="B131" s="19"/>
      <c r="C131" s="20">
        <v>240607000039</v>
      </c>
      <c r="D131" s="21">
        <v>45454</v>
      </c>
      <c r="E131" s="21" t="s">
        <v>51</v>
      </c>
      <c r="F131" s="19" t="s">
        <v>52</v>
      </c>
      <c r="G131" s="19" t="s">
        <v>160</v>
      </c>
      <c r="H131" s="19">
        <v>109</v>
      </c>
      <c r="I131" s="38">
        <v>6518</v>
      </c>
      <c r="J131" s="39"/>
      <c r="K131" s="40"/>
      <c r="L131" s="19"/>
      <c r="M131" s="40"/>
      <c r="N131" s="41"/>
      <c r="O131" s="42">
        <f t="shared" si="91"/>
        <v>6518</v>
      </c>
      <c r="P131" s="44"/>
      <c r="Q131" s="44"/>
      <c r="R131" s="68">
        <f t="shared" si="73"/>
        <v>4440.69236780412</v>
      </c>
      <c r="S131" s="68"/>
      <c r="T131" s="69">
        <f t="shared" si="74"/>
        <v>15.2458035946861</v>
      </c>
      <c r="U131" s="68"/>
      <c r="V131" s="68"/>
      <c r="W131" s="68">
        <f t="shared" si="87"/>
        <v>4455.9381713988</v>
      </c>
      <c r="X131" s="70">
        <f t="shared" si="75"/>
        <v>90.5228106277677</v>
      </c>
      <c r="Y131" s="70"/>
      <c r="Z131" s="70"/>
      <c r="AA131" s="70">
        <f t="shared" si="88"/>
        <v>90.5228106277677</v>
      </c>
      <c r="AB131" s="80">
        <v>7.24</v>
      </c>
      <c r="AC131" s="68">
        <f t="shared" si="89"/>
        <v>655.385148945038</v>
      </c>
      <c r="AD131" s="68">
        <f t="shared" si="83"/>
        <v>5111.32332034384</v>
      </c>
      <c r="AE131" s="68">
        <f t="shared" si="90"/>
        <v>1406.67667965616</v>
      </c>
    </row>
    <row r="132" customFormat="1" spans="1:31">
      <c r="A132" s="18"/>
      <c r="B132" s="19"/>
      <c r="C132" s="20">
        <v>240607000041</v>
      </c>
      <c r="D132" s="21">
        <v>45454</v>
      </c>
      <c r="E132" s="21" t="s">
        <v>44</v>
      </c>
      <c r="F132" s="19" t="s">
        <v>45</v>
      </c>
      <c r="G132" s="19" t="s">
        <v>168</v>
      </c>
      <c r="H132" s="19">
        <v>25.5</v>
      </c>
      <c r="I132" s="42"/>
      <c r="J132" s="46">
        <v>310208</v>
      </c>
      <c r="K132" s="40"/>
      <c r="L132" s="47">
        <f>SUM(J132/M132)</f>
        <v>1464.28133113052</v>
      </c>
      <c r="M132" s="48">
        <v>211.85</v>
      </c>
      <c r="N132" s="41">
        <v>7.24</v>
      </c>
      <c r="O132" s="42">
        <f>SUM(M132*N132)</f>
        <v>1533.794</v>
      </c>
      <c r="P132" s="44"/>
      <c r="Q132" s="44"/>
      <c r="R132" s="68">
        <f t="shared" si="73"/>
        <v>1038.87757228445</v>
      </c>
      <c r="S132" s="69">
        <v>82.8</v>
      </c>
      <c r="T132" s="69">
        <f t="shared" si="74"/>
        <v>3.56667882261005</v>
      </c>
      <c r="U132" s="68"/>
      <c r="V132" s="68">
        <v>83</v>
      </c>
      <c r="W132" s="68">
        <f t="shared" si="87"/>
        <v>1208.24425110706</v>
      </c>
      <c r="X132" s="70">
        <f t="shared" si="75"/>
        <v>21.1773547798906</v>
      </c>
      <c r="Y132" s="70"/>
      <c r="Z132" s="70"/>
      <c r="AA132" s="70">
        <f t="shared" si="88"/>
        <v>21.1773547798906</v>
      </c>
      <c r="AB132" s="80">
        <v>7.24</v>
      </c>
      <c r="AC132" s="68">
        <f t="shared" ref="AC132:AC140" si="94">SUM(AA132*AB132)</f>
        <v>153.324048606408</v>
      </c>
      <c r="AD132" s="68">
        <f t="shared" ref="AD132:AD140" si="95">SUM(W132+AC132)</f>
        <v>1361.56829971347</v>
      </c>
      <c r="AE132" s="68">
        <f t="shared" ref="AE132:AE140" si="96">SUM(O132-AD132)</f>
        <v>172.225700286533</v>
      </c>
    </row>
    <row r="133" customFormat="1" spans="1:31">
      <c r="A133" s="18"/>
      <c r="B133" s="19"/>
      <c r="C133" s="20">
        <v>240607000044</v>
      </c>
      <c r="D133" s="21">
        <v>45454</v>
      </c>
      <c r="E133" s="21" t="s">
        <v>41</v>
      </c>
      <c r="F133" s="19" t="s">
        <v>42</v>
      </c>
      <c r="G133" s="19" t="s">
        <v>74</v>
      </c>
      <c r="H133" s="19">
        <v>2.5</v>
      </c>
      <c r="I133" s="38">
        <v>168.5</v>
      </c>
      <c r="J133" s="39"/>
      <c r="K133" s="40"/>
      <c r="L133" s="19"/>
      <c r="M133" s="40"/>
      <c r="N133" s="41"/>
      <c r="O133" s="42">
        <f t="shared" ref="O133:O137" si="97">SUM(I133)</f>
        <v>168.5</v>
      </c>
      <c r="P133" s="44"/>
      <c r="Q133" s="44"/>
      <c r="R133" s="68">
        <f t="shared" si="73"/>
        <v>101.850742380828</v>
      </c>
      <c r="S133" s="68"/>
      <c r="T133" s="69">
        <f t="shared" si="74"/>
        <v>0.349674394373535</v>
      </c>
      <c r="U133" s="68"/>
      <c r="V133" s="68"/>
      <c r="W133" s="68">
        <f t="shared" si="87"/>
        <v>102.200416775202</v>
      </c>
      <c r="X133" s="70">
        <f t="shared" si="75"/>
        <v>2.07621125293045</v>
      </c>
      <c r="Y133" s="70"/>
      <c r="Z133" s="70"/>
      <c r="AA133" s="70">
        <f t="shared" si="88"/>
        <v>2.07621125293045</v>
      </c>
      <c r="AB133" s="80">
        <v>7.24</v>
      </c>
      <c r="AC133" s="68">
        <f t="shared" si="94"/>
        <v>15.0317694712165</v>
      </c>
      <c r="AD133" s="68">
        <f t="shared" si="95"/>
        <v>117.232186246418</v>
      </c>
      <c r="AE133" s="68">
        <f t="shared" si="96"/>
        <v>51.2678137535817</v>
      </c>
    </row>
    <row r="134" customFormat="1" spans="1:31">
      <c r="A134" s="18"/>
      <c r="B134" s="19"/>
      <c r="C134" s="20">
        <v>240607000054</v>
      </c>
      <c r="D134" s="21">
        <v>45454</v>
      </c>
      <c r="E134" s="21" t="s">
        <v>37</v>
      </c>
      <c r="F134" s="19" t="s">
        <v>37</v>
      </c>
      <c r="G134" s="19" t="s">
        <v>169</v>
      </c>
      <c r="H134" s="19">
        <v>4</v>
      </c>
      <c r="I134" s="38">
        <v>243</v>
      </c>
      <c r="J134" s="39"/>
      <c r="K134" s="40"/>
      <c r="L134" s="19"/>
      <c r="M134" s="40"/>
      <c r="N134" s="41"/>
      <c r="O134" s="42">
        <f t="shared" si="97"/>
        <v>243</v>
      </c>
      <c r="P134" s="49"/>
      <c r="Q134" s="49"/>
      <c r="R134" s="68">
        <f t="shared" si="73"/>
        <v>162.961187809325</v>
      </c>
      <c r="S134" s="68"/>
      <c r="T134" s="69">
        <f t="shared" si="74"/>
        <v>0.559479030997656</v>
      </c>
      <c r="U134" s="68"/>
      <c r="V134" s="68"/>
      <c r="W134" s="68">
        <f t="shared" ref="W134:W140" si="98">SUM(R134:V134)</f>
        <v>163.520666840323</v>
      </c>
      <c r="X134" s="70">
        <f t="shared" si="75"/>
        <v>3.32193800468872</v>
      </c>
      <c r="Y134" s="70"/>
      <c r="Z134" s="70"/>
      <c r="AA134" s="70">
        <f t="shared" ref="AA134:AA140" si="99">SUM(X134:Z134)</f>
        <v>3.32193800468872</v>
      </c>
      <c r="AB134" s="80">
        <v>7.24</v>
      </c>
      <c r="AC134" s="68">
        <f t="shared" si="94"/>
        <v>24.0508311539463</v>
      </c>
      <c r="AD134" s="68">
        <f t="shared" si="95"/>
        <v>187.571497994269</v>
      </c>
      <c r="AE134" s="68">
        <f t="shared" si="96"/>
        <v>55.4285020057306</v>
      </c>
    </row>
    <row r="135" customFormat="1" spans="1:31">
      <c r="A135" s="18" t="s">
        <v>170</v>
      </c>
      <c r="B135" s="19" t="s">
        <v>171</v>
      </c>
      <c r="C135" s="20">
        <v>240609000001</v>
      </c>
      <c r="D135" s="21">
        <v>45456</v>
      </c>
      <c r="E135" s="21" t="s">
        <v>48</v>
      </c>
      <c r="F135" s="19" t="s">
        <v>49</v>
      </c>
      <c r="G135" s="19" t="s">
        <v>63</v>
      </c>
      <c r="H135" s="19">
        <v>57.5</v>
      </c>
      <c r="I135" s="38">
        <v>6900</v>
      </c>
      <c r="J135" s="39"/>
      <c r="K135" s="40"/>
      <c r="L135" s="19"/>
      <c r="M135" s="40"/>
      <c r="N135" s="41"/>
      <c r="O135" s="42">
        <f t="shared" si="97"/>
        <v>6900</v>
      </c>
      <c r="P135" s="43">
        <f>SUM(O135:O140)</f>
        <v>11856.4008</v>
      </c>
      <c r="Q135" s="43" t="s">
        <v>40</v>
      </c>
      <c r="R135" s="68">
        <f t="shared" ref="R135:R140" si="100">SUM(7200/96)*H135</f>
        <v>4312.5</v>
      </c>
      <c r="S135" s="68"/>
      <c r="T135" s="69">
        <f t="shared" ref="T135:T140" si="101">SUM(53.77/96)*H135</f>
        <v>32.2059895833333</v>
      </c>
      <c r="U135" s="68"/>
      <c r="V135" s="68"/>
      <c r="W135" s="68">
        <f t="shared" si="98"/>
        <v>4344.70598958333</v>
      </c>
      <c r="X135" s="70">
        <f t="shared" ref="X135:X140" si="102">SUM(140.55/96)*H135</f>
        <v>84.18359375</v>
      </c>
      <c r="Y135" s="70"/>
      <c r="Z135" s="70"/>
      <c r="AA135" s="70">
        <f t="shared" si="99"/>
        <v>84.18359375</v>
      </c>
      <c r="AB135" s="80">
        <v>7.24</v>
      </c>
      <c r="AC135" s="68">
        <f t="shared" si="94"/>
        <v>609.48921875</v>
      </c>
      <c r="AD135" s="68">
        <f t="shared" si="95"/>
        <v>4954.19520833333</v>
      </c>
      <c r="AE135" s="68">
        <f t="shared" si="96"/>
        <v>1945.80479166667</v>
      </c>
    </row>
    <row r="136" customFormat="1" spans="1:31">
      <c r="A136" s="18"/>
      <c r="B136" s="19"/>
      <c r="C136" s="20">
        <v>240609000002</v>
      </c>
      <c r="D136" s="21">
        <v>45456</v>
      </c>
      <c r="E136" s="21" t="s">
        <v>48</v>
      </c>
      <c r="F136" s="19" t="s">
        <v>49</v>
      </c>
      <c r="G136" s="19" t="s">
        <v>172</v>
      </c>
      <c r="H136" s="19">
        <v>5.5</v>
      </c>
      <c r="I136" s="38">
        <v>632.5</v>
      </c>
      <c r="J136" s="39"/>
      <c r="K136" s="40"/>
      <c r="L136" s="19"/>
      <c r="M136" s="40"/>
      <c r="N136" s="41"/>
      <c r="O136" s="42">
        <f t="shared" si="97"/>
        <v>632.5</v>
      </c>
      <c r="P136" s="44"/>
      <c r="Q136" s="44"/>
      <c r="R136" s="68">
        <f t="shared" si="100"/>
        <v>412.5</v>
      </c>
      <c r="S136" s="68"/>
      <c r="T136" s="69">
        <f t="shared" si="101"/>
        <v>3.08057291666667</v>
      </c>
      <c r="U136" s="68"/>
      <c r="V136" s="68"/>
      <c r="W136" s="68">
        <f t="shared" si="98"/>
        <v>415.580572916667</v>
      </c>
      <c r="X136" s="70">
        <f t="shared" si="102"/>
        <v>8.05234375</v>
      </c>
      <c r="Y136" s="70"/>
      <c r="Z136" s="70"/>
      <c r="AA136" s="70">
        <f t="shared" si="99"/>
        <v>8.05234375</v>
      </c>
      <c r="AB136" s="80">
        <v>7.24</v>
      </c>
      <c r="AC136" s="68">
        <f t="shared" si="94"/>
        <v>58.29896875</v>
      </c>
      <c r="AD136" s="68">
        <f t="shared" si="95"/>
        <v>473.879541666667</v>
      </c>
      <c r="AE136" s="68">
        <f t="shared" si="96"/>
        <v>158.620458333333</v>
      </c>
    </row>
    <row r="137" customFormat="1" spans="1:31">
      <c r="A137" s="18"/>
      <c r="B137" s="19"/>
      <c r="C137" s="20">
        <v>240609000013</v>
      </c>
      <c r="D137" s="21">
        <v>45456</v>
      </c>
      <c r="E137" s="21" t="s">
        <v>41</v>
      </c>
      <c r="F137" s="19" t="s">
        <v>42</v>
      </c>
      <c r="G137" s="19" t="s">
        <v>173</v>
      </c>
      <c r="H137" s="19">
        <v>4.5</v>
      </c>
      <c r="I137" s="38">
        <v>540</v>
      </c>
      <c r="J137" s="39"/>
      <c r="K137" s="40"/>
      <c r="L137" s="19"/>
      <c r="M137" s="40"/>
      <c r="N137" s="41"/>
      <c r="O137" s="42">
        <f t="shared" si="97"/>
        <v>540</v>
      </c>
      <c r="P137" s="44"/>
      <c r="Q137" s="44"/>
      <c r="R137" s="68">
        <f t="shared" si="100"/>
        <v>337.5</v>
      </c>
      <c r="S137" s="68"/>
      <c r="T137" s="69">
        <f t="shared" si="101"/>
        <v>2.52046875</v>
      </c>
      <c r="U137" s="68"/>
      <c r="V137" s="68"/>
      <c r="W137" s="68">
        <f t="shared" si="98"/>
        <v>340.02046875</v>
      </c>
      <c r="X137" s="70">
        <f t="shared" si="102"/>
        <v>6.58828125</v>
      </c>
      <c r="Y137" s="70"/>
      <c r="Z137" s="70"/>
      <c r="AA137" s="70">
        <f t="shared" si="99"/>
        <v>6.58828125</v>
      </c>
      <c r="AB137" s="80">
        <v>7.24</v>
      </c>
      <c r="AC137" s="68">
        <f t="shared" si="94"/>
        <v>47.69915625</v>
      </c>
      <c r="AD137" s="68">
        <f t="shared" si="95"/>
        <v>387.719625</v>
      </c>
      <c r="AE137" s="68">
        <f t="shared" si="96"/>
        <v>152.280375</v>
      </c>
    </row>
    <row r="138" customFormat="1" spans="1:31">
      <c r="A138" s="18"/>
      <c r="B138" s="19"/>
      <c r="C138" s="20">
        <v>240609000016</v>
      </c>
      <c r="D138" s="21">
        <v>45456</v>
      </c>
      <c r="E138" s="21" t="s">
        <v>41</v>
      </c>
      <c r="F138" s="19" t="s">
        <v>42</v>
      </c>
      <c r="G138" s="19" t="s">
        <v>174</v>
      </c>
      <c r="H138" s="19">
        <v>0.972</v>
      </c>
      <c r="I138" s="85">
        <v>150</v>
      </c>
      <c r="J138" s="39"/>
      <c r="K138" s="40"/>
      <c r="L138" s="19"/>
      <c r="M138" s="40"/>
      <c r="N138" s="41"/>
      <c r="O138" s="42">
        <f>SUBTOTAL(9,I138)</f>
        <v>150</v>
      </c>
      <c r="P138" s="44"/>
      <c r="Q138" s="44"/>
      <c r="R138" s="68">
        <f t="shared" si="100"/>
        <v>72.9</v>
      </c>
      <c r="S138" s="68"/>
      <c r="T138" s="69">
        <f t="shared" si="101"/>
        <v>0.54442125</v>
      </c>
      <c r="U138" s="68"/>
      <c r="V138" s="68"/>
      <c r="W138" s="68">
        <f t="shared" si="98"/>
        <v>73.44442125</v>
      </c>
      <c r="X138" s="70">
        <f t="shared" si="102"/>
        <v>1.42306875</v>
      </c>
      <c r="Y138" s="70"/>
      <c r="Z138" s="70"/>
      <c r="AA138" s="70">
        <f t="shared" si="99"/>
        <v>1.42306875</v>
      </c>
      <c r="AB138" s="80">
        <v>7.24</v>
      </c>
      <c r="AC138" s="68">
        <f t="shared" si="94"/>
        <v>10.30301775</v>
      </c>
      <c r="AD138" s="68">
        <f t="shared" ref="AD138:AD169" si="103">SUM(W138+AC138)</f>
        <v>83.747439</v>
      </c>
      <c r="AE138" s="68">
        <f t="shared" si="96"/>
        <v>66.252561</v>
      </c>
    </row>
    <row r="139" customFormat="1" spans="1:31">
      <c r="A139" s="18"/>
      <c r="B139" s="19"/>
      <c r="C139" s="20">
        <v>240611000006</v>
      </c>
      <c r="D139" s="21">
        <v>45456</v>
      </c>
      <c r="E139" s="21" t="s">
        <v>48</v>
      </c>
      <c r="F139" s="19" t="s">
        <v>49</v>
      </c>
      <c r="G139" s="19" t="s">
        <v>60</v>
      </c>
      <c r="H139" s="19">
        <v>28</v>
      </c>
      <c r="I139" s="45"/>
      <c r="J139" s="46">
        <v>737940</v>
      </c>
      <c r="K139" s="40"/>
      <c r="L139" s="47">
        <f>SUM(J139/M139)</f>
        <v>1520.42855671165</v>
      </c>
      <c r="M139" s="48">
        <v>485.35</v>
      </c>
      <c r="N139" s="41">
        <v>7.24</v>
      </c>
      <c r="O139" s="42">
        <f t="shared" ref="O139:O142" si="104">SUM(M139*N139)</f>
        <v>3513.934</v>
      </c>
      <c r="P139" s="44"/>
      <c r="Q139" s="44"/>
      <c r="R139" s="68">
        <f t="shared" si="100"/>
        <v>2100</v>
      </c>
      <c r="S139" s="68"/>
      <c r="T139" s="69">
        <f t="shared" si="101"/>
        <v>15.6829166666667</v>
      </c>
      <c r="U139" s="68"/>
      <c r="V139" s="69">
        <f>SUM(146+104+44)</f>
        <v>294</v>
      </c>
      <c r="W139" s="68">
        <f t="shared" si="98"/>
        <v>2409.68291666667</v>
      </c>
      <c r="X139" s="70">
        <f t="shared" si="102"/>
        <v>40.99375</v>
      </c>
      <c r="Y139" s="70"/>
      <c r="Z139" s="70"/>
      <c r="AA139" s="70">
        <f t="shared" ref="AA139:AA170" si="105">SUM(X139:Z139)</f>
        <v>40.99375</v>
      </c>
      <c r="AB139" s="80">
        <v>7.24</v>
      </c>
      <c r="AC139" s="68">
        <f t="shared" si="94"/>
        <v>296.79475</v>
      </c>
      <c r="AD139" s="68">
        <f t="shared" si="103"/>
        <v>2706.47766666667</v>
      </c>
      <c r="AE139" s="68">
        <f t="shared" si="96"/>
        <v>807.456333333334</v>
      </c>
    </row>
    <row r="140" customFormat="1" spans="1:31">
      <c r="A140" s="18"/>
      <c r="B140" s="19"/>
      <c r="C140" s="20">
        <v>240611000011</v>
      </c>
      <c r="D140" s="21">
        <v>45456</v>
      </c>
      <c r="E140" s="21" t="s">
        <v>48</v>
      </c>
      <c r="F140" s="19" t="s">
        <v>49</v>
      </c>
      <c r="G140" s="19" t="s">
        <v>175</v>
      </c>
      <c r="H140" s="19">
        <v>0.48</v>
      </c>
      <c r="I140" s="45"/>
      <c r="J140" s="46">
        <v>24840</v>
      </c>
      <c r="K140" s="40"/>
      <c r="L140" s="47">
        <f>SUM(J140/M140)</f>
        <v>1499.09474954737</v>
      </c>
      <c r="M140" s="48">
        <v>16.57</v>
      </c>
      <c r="N140" s="41">
        <v>7.24</v>
      </c>
      <c r="O140" s="42">
        <f t="shared" si="104"/>
        <v>119.9668</v>
      </c>
      <c r="P140" s="49"/>
      <c r="Q140" s="49"/>
      <c r="R140" s="68">
        <f t="shared" si="100"/>
        <v>36</v>
      </c>
      <c r="S140" s="68"/>
      <c r="T140" s="69">
        <f t="shared" si="101"/>
        <v>0.26885</v>
      </c>
      <c r="U140" s="68"/>
      <c r="V140" s="68"/>
      <c r="W140" s="68">
        <f t="shared" ref="W140:W171" si="106">SUM(R140:V140)</f>
        <v>36.26885</v>
      </c>
      <c r="X140" s="70">
        <f t="shared" si="102"/>
        <v>0.70275</v>
      </c>
      <c r="Y140" s="70"/>
      <c r="Z140" s="70"/>
      <c r="AA140" s="70">
        <f t="shared" si="105"/>
        <v>0.70275</v>
      </c>
      <c r="AB140" s="80">
        <v>7.24</v>
      </c>
      <c r="AC140" s="68">
        <f t="shared" ref="AC140:AC171" si="107">SUM(AA140*AB140)</f>
        <v>5.08791</v>
      </c>
      <c r="AD140" s="68">
        <f t="shared" si="103"/>
        <v>41.35676</v>
      </c>
      <c r="AE140" s="68">
        <f t="shared" ref="AE140:AE171" si="108">SUM(O140-AD140)</f>
        <v>78.61004</v>
      </c>
    </row>
    <row r="141" customFormat="1" spans="1:31">
      <c r="A141" s="18" t="s">
        <v>176</v>
      </c>
      <c r="B141" s="19" t="s">
        <v>177</v>
      </c>
      <c r="C141" s="20">
        <v>240531000006</v>
      </c>
      <c r="D141" s="21">
        <v>45457</v>
      </c>
      <c r="E141" s="21" t="s">
        <v>48</v>
      </c>
      <c r="F141" s="19" t="s">
        <v>49</v>
      </c>
      <c r="G141" s="19" t="s">
        <v>178</v>
      </c>
      <c r="H141" s="19">
        <v>10</v>
      </c>
      <c r="I141" s="38">
        <v>700</v>
      </c>
      <c r="J141" s="39"/>
      <c r="K141" s="40"/>
      <c r="L141" s="19"/>
      <c r="M141" s="40"/>
      <c r="N141" s="41"/>
      <c r="O141" s="42">
        <f t="shared" ref="O141:O145" si="109">SUM(I141)</f>
        <v>700</v>
      </c>
      <c r="P141" s="43">
        <f>SUM(O141:O206)</f>
        <v>182667.398</v>
      </c>
      <c r="Q141" s="43" t="s">
        <v>59</v>
      </c>
      <c r="R141" s="68">
        <f>SUM(152102.7/3229)*H141</f>
        <v>471.052028491793</v>
      </c>
      <c r="S141" s="68"/>
      <c r="T141" s="69">
        <f>SUM(192/3229)*H141</f>
        <v>0.594611334778569</v>
      </c>
      <c r="U141" s="68"/>
      <c r="V141" s="68"/>
      <c r="W141" s="68">
        <f t="shared" si="106"/>
        <v>471.646639826572</v>
      </c>
      <c r="X141" s="70">
        <f>SUM(2604.32/3229)*H141</f>
        <v>8.06540724682564</v>
      </c>
      <c r="Y141" s="70"/>
      <c r="Z141" s="70">
        <v>13.81</v>
      </c>
      <c r="AA141" s="70">
        <f t="shared" si="105"/>
        <v>21.8754072468256</v>
      </c>
      <c r="AB141" s="80">
        <v>7.24</v>
      </c>
      <c r="AC141" s="68">
        <f t="shared" si="107"/>
        <v>158.377948467018</v>
      </c>
      <c r="AD141" s="68">
        <f t="shared" si="103"/>
        <v>630.024588293589</v>
      </c>
      <c r="AE141" s="68">
        <f t="shared" si="108"/>
        <v>69.9754117064106</v>
      </c>
    </row>
    <row r="142" customFormat="1" spans="1:31">
      <c r="A142" s="18"/>
      <c r="B142" s="19"/>
      <c r="C142" s="20">
        <v>240531000018</v>
      </c>
      <c r="D142" s="21">
        <v>45457</v>
      </c>
      <c r="E142" s="21" t="s">
        <v>66</v>
      </c>
      <c r="F142" s="19" t="s">
        <v>179</v>
      </c>
      <c r="G142" s="19" t="s">
        <v>180</v>
      </c>
      <c r="H142" s="19">
        <v>2</v>
      </c>
      <c r="I142" s="42"/>
      <c r="J142" s="39"/>
      <c r="K142" s="40"/>
      <c r="L142" s="19"/>
      <c r="M142" s="40">
        <v>25.76</v>
      </c>
      <c r="N142" s="41">
        <v>7.24</v>
      </c>
      <c r="O142" s="42">
        <f t="shared" si="104"/>
        <v>186.5024</v>
      </c>
      <c r="P142" s="44"/>
      <c r="Q142" s="44"/>
      <c r="R142" s="68">
        <f t="shared" ref="R142:R173" si="110">SUM(152102.7/3229)*H142</f>
        <v>94.2104056983586</v>
      </c>
      <c r="S142" s="68"/>
      <c r="T142" s="69">
        <f t="shared" ref="T142:T173" si="111">SUM(192/3229)*H142</f>
        <v>0.118922266955714</v>
      </c>
      <c r="U142" s="68"/>
      <c r="V142" s="68"/>
      <c r="W142" s="68">
        <f t="shared" si="106"/>
        <v>94.3293279653143</v>
      </c>
      <c r="X142" s="70">
        <f t="shared" ref="X142:X173" si="112">SUM(2604.32/3229)*H142</f>
        <v>1.61308144936513</v>
      </c>
      <c r="Y142" s="70"/>
      <c r="Z142" s="70"/>
      <c r="AA142" s="70">
        <f t="shared" si="105"/>
        <v>1.61308144936513</v>
      </c>
      <c r="AB142" s="80">
        <v>7.24</v>
      </c>
      <c r="AC142" s="68">
        <f t="shared" si="107"/>
        <v>11.6787096934035</v>
      </c>
      <c r="AD142" s="68">
        <f t="shared" si="103"/>
        <v>106.008037658718</v>
      </c>
      <c r="AE142" s="68">
        <f t="shared" si="108"/>
        <v>80.4943623412821</v>
      </c>
    </row>
    <row r="143" customFormat="1" spans="1:31">
      <c r="A143" s="18"/>
      <c r="B143" s="19"/>
      <c r="C143" s="20">
        <v>240531000028</v>
      </c>
      <c r="D143" s="21">
        <v>45457</v>
      </c>
      <c r="E143" s="21" t="s">
        <v>48</v>
      </c>
      <c r="F143" s="19" t="s">
        <v>49</v>
      </c>
      <c r="G143" s="19" t="s">
        <v>181</v>
      </c>
      <c r="H143" s="19">
        <v>1.5</v>
      </c>
      <c r="I143" s="38">
        <v>90</v>
      </c>
      <c r="J143" s="39"/>
      <c r="K143" s="40"/>
      <c r="L143" s="19"/>
      <c r="M143" s="40"/>
      <c r="N143" s="41"/>
      <c r="O143" s="42">
        <f t="shared" si="109"/>
        <v>90</v>
      </c>
      <c r="P143" s="44"/>
      <c r="Q143" s="44"/>
      <c r="R143" s="68">
        <f t="shared" si="110"/>
        <v>70.657804273769</v>
      </c>
      <c r="S143" s="68"/>
      <c r="T143" s="69">
        <f t="shared" si="111"/>
        <v>0.0891917002167854</v>
      </c>
      <c r="U143" s="68"/>
      <c r="V143" s="68"/>
      <c r="W143" s="68">
        <f t="shared" si="106"/>
        <v>70.7469959739858</v>
      </c>
      <c r="X143" s="70">
        <f t="shared" si="112"/>
        <v>1.20981108702385</v>
      </c>
      <c r="Y143" s="70"/>
      <c r="Z143" s="70"/>
      <c r="AA143" s="70">
        <f t="shared" si="105"/>
        <v>1.20981108702385</v>
      </c>
      <c r="AB143" s="80">
        <v>7.24</v>
      </c>
      <c r="AC143" s="68">
        <f t="shared" si="107"/>
        <v>8.75903227005265</v>
      </c>
      <c r="AD143" s="68">
        <f t="shared" si="103"/>
        <v>79.5060282440384</v>
      </c>
      <c r="AE143" s="68">
        <f t="shared" si="108"/>
        <v>10.4939717559616</v>
      </c>
    </row>
    <row r="144" customFormat="1" spans="1:31">
      <c r="A144" s="18"/>
      <c r="B144" s="19"/>
      <c r="C144" s="20">
        <v>240601000001</v>
      </c>
      <c r="D144" s="21">
        <v>45457</v>
      </c>
      <c r="E144" s="21" t="s">
        <v>41</v>
      </c>
      <c r="F144" s="19" t="s">
        <v>42</v>
      </c>
      <c r="G144" s="19" t="s">
        <v>182</v>
      </c>
      <c r="H144" s="19">
        <v>2.5</v>
      </c>
      <c r="I144" s="38">
        <v>212</v>
      </c>
      <c r="J144" s="39"/>
      <c r="K144" s="40"/>
      <c r="L144" s="19"/>
      <c r="M144" s="40"/>
      <c r="N144" s="41"/>
      <c r="O144" s="42">
        <f t="shared" si="109"/>
        <v>212</v>
      </c>
      <c r="P144" s="44"/>
      <c r="Q144" s="44"/>
      <c r="R144" s="68">
        <f t="shared" si="110"/>
        <v>117.763007122948</v>
      </c>
      <c r="S144" s="68"/>
      <c r="T144" s="69">
        <f t="shared" si="111"/>
        <v>0.148652833694642</v>
      </c>
      <c r="U144" s="68"/>
      <c r="V144" s="68"/>
      <c r="W144" s="68">
        <f t="shared" si="106"/>
        <v>117.911659956643</v>
      </c>
      <c r="X144" s="70">
        <f t="shared" si="112"/>
        <v>2.01635181170641</v>
      </c>
      <c r="Y144" s="70"/>
      <c r="Z144" s="70"/>
      <c r="AA144" s="70">
        <f t="shared" si="105"/>
        <v>2.01635181170641</v>
      </c>
      <c r="AB144" s="80">
        <v>7.24</v>
      </c>
      <c r="AC144" s="68">
        <f t="shared" si="107"/>
        <v>14.5983871167544</v>
      </c>
      <c r="AD144" s="68">
        <f t="shared" si="103"/>
        <v>132.510047073397</v>
      </c>
      <c r="AE144" s="68">
        <f t="shared" si="108"/>
        <v>79.4899529266027</v>
      </c>
    </row>
    <row r="145" customFormat="1" spans="1:31">
      <c r="A145" s="18"/>
      <c r="B145" s="19"/>
      <c r="C145" s="20">
        <v>240601000005</v>
      </c>
      <c r="D145" s="21">
        <v>45457</v>
      </c>
      <c r="E145" s="21" t="s">
        <v>37</v>
      </c>
      <c r="F145" s="19" t="s">
        <v>37</v>
      </c>
      <c r="G145" s="19" t="s">
        <v>114</v>
      </c>
      <c r="H145" s="19">
        <v>31</v>
      </c>
      <c r="I145" s="38">
        <v>2127</v>
      </c>
      <c r="J145" s="39"/>
      <c r="K145" s="40"/>
      <c r="L145" s="19"/>
      <c r="M145" s="40"/>
      <c r="N145" s="41"/>
      <c r="O145" s="42">
        <f t="shared" si="109"/>
        <v>2127</v>
      </c>
      <c r="P145" s="44"/>
      <c r="Q145" s="44"/>
      <c r="R145" s="68">
        <f t="shared" si="110"/>
        <v>1460.26128832456</v>
      </c>
      <c r="S145" s="68"/>
      <c r="T145" s="69">
        <f t="shared" si="111"/>
        <v>1.84329513781356</v>
      </c>
      <c r="U145" s="68"/>
      <c r="V145" s="68"/>
      <c r="W145" s="68">
        <f t="shared" si="106"/>
        <v>1462.10458346237</v>
      </c>
      <c r="X145" s="70">
        <f t="shared" si="112"/>
        <v>25.0027624651595</v>
      </c>
      <c r="Y145" s="70"/>
      <c r="Z145" s="70"/>
      <c r="AA145" s="70">
        <f t="shared" si="105"/>
        <v>25.0027624651595</v>
      </c>
      <c r="AB145" s="80">
        <v>7.24</v>
      </c>
      <c r="AC145" s="68">
        <f t="shared" si="107"/>
        <v>181.020000247755</v>
      </c>
      <c r="AD145" s="68">
        <f t="shared" si="103"/>
        <v>1643.12458371013</v>
      </c>
      <c r="AE145" s="68">
        <f t="shared" si="108"/>
        <v>483.875416289873</v>
      </c>
    </row>
    <row r="146" customFormat="1" spans="1:31">
      <c r="A146" s="18"/>
      <c r="B146" s="19"/>
      <c r="C146" s="20">
        <v>240601000007</v>
      </c>
      <c r="D146" s="21">
        <v>45457</v>
      </c>
      <c r="E146" s="21" t="s">
        <v>48</v>
      </c>
      <c r="F146" s="19" t="s">
        <v>49</v>
      </c>
      <c r="G146" s="19" t="s">
        <v>73</v>
      </c>
      <c r="H146" s="19">
        <v>84</v>
      </c>
      <c r="I146" s="45"/>
      <c r="J146" s="46">
        <v>1019368</v>
      </c>
      <c r="K146" s="40"/>
      <c r="L146" s="47">
        <f>SUM(J146/M146)</f>
        <v>1578.33552682511</v>
      </c>
      <c r="M146" s="48">
        <v>645.85</v>
      </c>
      <c r="N146" s="41">
        <v>7.24</v>
      </c>
      <c r="O146" s="42">
        <f>SUM(M146*N146)</f>
        <v>4675.954</v>
      </c>
      <c r="P146" s="44"/>
      <c r="Q146" s="44"/>
      <c r="R146" s="68">
        <f t="shared" si="110"/>
        <v>3956.83703933106</v>
      </c>
      <c r="S146" s="68"/>
      <c r="T146" s="69">
        <f t="shared" si="111"/>
        <v>4.99473521213998</v>
      </c>
      <c r="U146" s="68"/>
      <c r="V146" s="68"/>
      <c r="W146" s="68">
        <f t="shared" si="106"/>
        <v>3961.8317745432</v>
      </c>
      <c r="X146" s="70">
        <f t="shared" si="112"/>
        <v>67.7494208733354</v>
      </c>
      <c r="Y146" s="70"/>
      <c r="Z146" s="70"/>
      <c r="AA146" s="70">
        <f t="shared" si="105"/>
        <v>67.7494208733354</v>
      </c>
      <c r="AB146" s="80">
        <v>7.24</v>
      </c>
      <c r="AC146" s="68">
        <f t="shared" si="107"/>
        <v>490.505807122948</v>
      </c>
      <c r="AD146" s="68">
        <f t="shared" si="103"/>
        <v>4452.33758166615</v>
      </c>
      <c r="AE146" s="68">
        <f t="shared" si="108"/>
        <v>223.616418333849</v>
      </c>
    </row>
    <row r="147" customFormat="1" spans="1:31">
      <c r="A147" s="18"/>
      <c r="B147" s="19"/>
      <c r="C147" s="20">
        <v>240602000006</v>
      </c>
      <c r="D147" s="21">
        <v>45457</v>
      </c>
      <c r="E147" s="21" t="s">
        <v>48</v>
      </c>
      <c r="F147" s="19" t="s">
        <v>49</v>
      </c>
      <c r="G147" s="19" t="s">
        <v>183</v>
      </c>
      <c r="H147" s="19">
        <v>5</v>
      </c>
      <c r="I147" s="38">
        <v>325</v>
      </c>
      <c r="J147" s="39"/>
      <c r="K147" s="40"/>
      <c r="L147" s="19"/>
      <c r="M147" s="40"/>
      <c r="N147" s="41"/>
      <c r="O147" s="42">
        <f t="shared" ref="O147:O162" si="113">SUM(I147)</f>
        <v>325</v>
      </c>
      <c r="P147" s="44"/>
      <c r="Q147" s="44"/>
      <c r="R147" s="68">
        <f t="shared" si="110"/>
        <v>235.526014245897</v>
      </c>
      <c r="S147" s="68"/>
      <c r="T147" s="69">
        <f t="shared" si="111"/>
        <v>0.297305667389285</v>
      </c>
      <c r="U147" s="68"/>
      <c r="V147" s="68"/>
      <c r="W147" s="68">
        <f t="shared" si="106"/>
        <v>235.823319913286</v>
      </c>
      <c r="X147" s="70">
        <f t="shared" si="112"/>
        <v>4.03270362341282</v>
      </c>
      <c r="Y147" s="70"/>
      <c r="Z147" s="70"/>
      <c r="AA147" s="70">
        <f t="shared" si="105"/>
        <v>4.03270362341282</v>
      </c>
      <c r="AB147" s="80">
        <v>7.24</v>
      </c>
      <c r="AC147" s="68">
        <f t="shared" si="107"/>
        <v>29.1967742335088</v>
      </c>
      <c r="AD147" s="68">
        <f t="shared" si="103"/>
        <v>265.020094146795</v>
      </c>
      <c r="AE147" s="68">
        <f t="shared" si="108"/>
        <v>59.979905853205</v>
      </c>
    </row>
    <row r="148" customFormat="1" spans="1:31">
      <c r="A148" s="18"/>
      <c r="B148" s="19"/>
      <c r="C148" s="20">
        <v>240602000007</v>
      </c>
      <c r="D148" s="21">
        <v>45457</v>
      </c>
      <c r="E148" s="21" t="s">
        <v>48</v>
      </c>
      <c r="F148" s="19" t="s">
        <v>49</v>
      </c>
      <c r="G148" s="19" t="s">
        <v>184</v>
      </c>
      <c r="H148" s="19">
        <v>1.5</v>
      </c>
      <c r="I148" s="38">
        <v>90</v>
      </c>
      <c r="J148" s="39"/>
      <c r="K148" s="40"/>
      <c r="L148" s="19"/>
      <c r="M148" s="40"/>
      <c r="N148" s="41"/>
      <c r="O148" s="42">
        <f t="shared" si="113"/>
        <v>90</v>
      </c>
      <c r="P148" s="44"/>
      <c r="Q148" s="44"/>
      <c r="R148" s="68">
        <f t="shared" si="110"/>
        <v>70.657804273769</v>
      </c>
      <c r="S148" s="68"/>
      <c r="T148" s="69">
        <f t="shared" si="111"/>
        <v>0.0891917002167854</v>
      </c>
      <c r="U148" s="68"/>
      <c r="V148" s="68"/>
      <c r="W148" s="68">
        <f t="shared" si="106"/>
        <v>70.7469959739858</v>
      </c>
      <c r="X148" s="70">
        <f t="shared" si="112"/>
        <v>1.20981108702385</v>
      </c>
      <c r="Y148" s="70"/>
      <c r="Z148" s="70"/>
      <c r="AA148" s="70">
        <f t="shared" si="105"/>
        <v>1.20981108702385</v>
      </c>
      <c r="AB148" s="80">
        <v>7.24</v>
      </c>
      <c r="AC148" s="68">
        <f t="shared" si="107"/>
        <v>8.75903227005265</v>
      </c>
      <c r="AD148" s="68">
        <f t="shared" si="103"/>
        <v>79.5060282440384</v>
      </c>
      <c r="AE148" s="68">
        <f t="shared" si="108"/>
        <v>10.4939717559616</v>
      </c>
    </row>
    <row r="149" customFormat="1" spans="1:31">
      <c r="A149" s="18"/>
      <c r="B149" s="19"/>
      <c r="C149" s="20">
        <v>240602000010</v>
      </c>
      <c r="D149" s="21">
        <v>45457</v>
      </c>
      <c r="E149" s="21" t="s">
        <v>48</v>
      </c>
      <c r="F149" s="19" t="s">
        <v>49</v>
      </c>
      <c r="G149" s="19" t="s">
        <v>142</v>
      </c>
      <c r="H149" s="19">
        <v>5</v>
      </c>
      <c r="I149" s="38">
        <v>325</v>
      </c>
      <c r="J149" s="39"/>
      <c r="K149" s="40"/>
      <c r="L149" s="19"/>
      <c r="M149" s="40"/>
      <c r="N149" s="41"/>
      <c r="O149" s="42">
        <f t="shared" si="113"/>
        <v>325</v>
      </c>
      <c r="P149" s="44"/>
      <c r="Q149" s="44"/>
      <c r="R149" s="68">
        <f t="shared" si="110"/>
        <v>235.526014245897</v>
      </c>
      <c r="S149" s="68"/>
      <c r="T149" s="69">
        <f t="shared" si="111"/>
        <v>0.297305667389285</v>
      </c>
      <c r="U149" s="68"/>
      <c r="V149" s="68"/>
      <c r="W149" s="68">
        <f t="shared" si="106"/>
        <v>235.823319913286</v>
      </c>
      <c r="X149" s="70">
        <f t="shared" si="112"/>
        <v>4.03270362341282</v>
      </c>
      <c r="Y149" s="70"/>
      <c r="Z149" s="70"/>
      <c r="AA149" s="70">
        <f t="shared" si="105"/>
        <v>4.03270362341282</v>
      </c>
      <c r="AB149" s="80">
        <v>7.24</v>
      </c>
      <c r="AC149" s="68">
        <f t="shared" si="107"/>
        <v>29.1967742335088</v>
      </c>
      <c r="AD149" s="68">
        <f t="shared" si="103"/>
        <v>265.020094146795</v>
      </c>
      <c r="AE149" s="68">
        <f t="shared" si="108"/>
        <v>59.979905853205</v>
      </c>
    </row>
    <row r="150" customFormat="1" spans="1:31">
      <c r="A150" s="18"/>
      <c r="B150" s="19"/>
      <c r="C150" s="20">
        <v>240602000012</v>
      </c>
      <c r="D150" s="21">
        <v>45457</v>
      </c>
      <c r="E150" s="21" t="s">
        <v>48</v>
      </c>
      <c r="F150" s="19" t="s">
        <v>49</v>
      </c>
      <c r="G150" s="19" t="s">
        <v>185</v>
      </c>
      <c r="H150" s="19">
        <v>3</v>
      </c>
      <c r="I150" s="38">
        <v>181.5</v>
      </c>
      <c r="J150" s="39"/>
      <c r="K150" s="40"/>
      <c r="L150" s="19"/>
      <c r="M150" s="40"/>
      <c r="N150" s="41"/>
      <c r="O150" s="42">
        <f t="shared" si="113"/>
        <v>181.5</v>
      </c>
      <c r="P150" s="44"/>
      <c r="Q150" s="44"/>
      <c r="R150" s="68">
        <f t="shared" si="110"/>
        <v>141.315608547538</v>
      </c>
      <c r="S150" s="68"/>
      <c r="T150" s="69">
        <f t="shared" si="111"/>
        <v>0.178383400433571</v>
      </c>
      <c r="U150" s="68"/>
      <c r="V150" s="68"/>
      <c r="W150" s="68">
        <f t="shared" si="106"/>
        <v>141.493991947972</v>
      </c>
      <c r="X150" s="70">
        <f t="shared" si="112"/>
        <v>2.41962217404769</v>
      </c>
      <c r="Y150" s="70"/>
      <c r="Z150" s="70"/>
      <c r="AA150" s="70">
        <f t="shared" si="105"/>
        <v>2.41962217404769</v>
      </c>
      <c r="AB150" s="80">
        <v>7.24</v>
      </c>
      <c r="AC150" s="68">
        <f t="shared" si="107"/>
        <v>17.5180645401053</v>
      </c>
      <c r="AD150" s="68">
        <f t="shared" si="103"/>
        <v>159.012056488077</v>
      </c>
      <c r="AE150" s="68">
        <f t="shared" si="108"/>
        <v>22.487943511923</v>
      </c>
    </row>
    <row r="151" customFormat="1" spans="1:31">
      <c r="A151" s="18"/>
      <c r="B151" s="19"/>
      <c r="C151" s="20">
        <v>240602000014</v>
      </c>
      <c r="D151" s="21">
        <v>45457</v>
      </c>
      <c r="E151" s="21" t="s">
        <v>48</v>
      </c>
      <c r="F151" s="19" t="s">
        <v>49</v>
      </c>
      <c r="G151" s="19" t="s">
        <v>61</v>
      </c>
      <c r="H151" s="19">
        <v>6</v>
      </c>
      <c r="I151" s="38">
        <v>319</v>
      </c>
      <c r="J151" s="39"/>
      <c r="K151" s="40"/>
      <c r="L151" s="19"/>
      <c r="M151" s="40"/>
      <c r="N151" s="41"/>
      <c r="O151" s="42">
        <f t="shared" si="113"/>
        <v>319</v>
      </c>
      <c r="P151" s="44"/>
      <c r="Q151" s="44"/>
      <c r="R151" s="68">
        <f t="shared" si="110"/>
        <v>282.631217095076</v>
      </c>
      <c r="S151" s="68"/>
      <c r="T151" s="69">
        <f t="shared" si="111"/>
        <v>0.356766800867142</v>
      </c>
      <c r="U151" s="68"/>
      <c r="V151" s="68"/>
      <c r="W151" s="68">
        <f t="shared" si="106"/>
        <v>282.987983895943</v>
      </c>
      <c r="X151" s="70">
        <f t="shared" si="112"/>
        <v>4.83924434809539</v>
      </c>
      <c r="Y151" s="70"/>
      <c r="Z151" s="70"/>
      <c r="AA151" s="70">
        <f t="shared" si="105"/>
        <v>4.83924434809539</v>
      </c>
      <c r="AB151" s="80">
        <v>7.24</v>
      </c>
      <c r="AC151" s="68">
        <f t="shared" si="107"/>
        <v>35.0361290802106</v>
      </c>
      <c r="AD151" s="68">
        <f t="shared" si="103"/>
        <v>318.024112976154</v>
      </c>
      <c r="AE151" s="68">
        <f t="shared" si="108"/>
        <v>0.975887023845985</v>
      </c>
    </row>
    <row r="152" customFormat="1" spans="1:31">
      <c r="A152" s="18"/>
      <c r="B152" s="19"/>
      <c r="C152" s="20">
        <v>240602000015</v>
      </c>
      <c r="D152" s="21">
        <v>45457</v>
      </c>
      <c r="E152" s="21" t="s">
        <v>48</v>
      </c>
      <c r="F152" s="19" t="s">
        <v>49</v>
      </c>
      <c r="G152" s="19" t="s">
        <v>186</v>
      </c>
      <c r="H152" s="19">
        <v>0.88</v>
      </c>
      <c r="I152" s="38">
        <v>73.7</v>
      </c>
      <c r="J152" s="39"/>
      <c r="K152" s="40"/>
      <c r="L152" s="19"/>
      <c r="M152" s="40"/>
      <c r="N152" s="41"/>
      <c r="O152" s="42">
        <f t="shared" si="113"/>
        <v>73.7</v>
      </c>
      <c r="P152" s="44"/>
      <c r="Q152" s="44"/>
      <c r="R152" s="68">
        <f t="shared" si="110"/>
        <v>41.4525785072778</v>
      </c>
      <c r="S152" s="68"/>
      <c r="T152" s="69">
        <f t="shared" si="111"/>
        <v>0.0523257974605141</v>
      </c>
      <c r="U152" s="68"/>
      <c r="V152" s="68"/>
      <c r="W152" s="68">
        <f t="shared" si="106"/>
        <v>41.5049043047383</v>
      </c>
      <c r="X152" s="70">
        <f t="shared" si="112"/>
        <v>0.709755837720657</v>
      </c>
      <c r="Y152" s="70"/>
      <c r="Z152" s="70"/>
      <c r="AA152" s="70">
        <f t="shared" si="105"/>
        <v>0.709755837720657</v>
      </c>
      <c r="AB152" s="80">
        <v>7.24</v>
      </c>
      <c r="AC152" s="68">
        <f t="shared" si="107"/>
        <v>5.13863226509755</v>
      </c>
      <c r="AD152" s="68">
        <f t="shared" si="103"/>
        <v>46.6435365698359</v>
      </c>
      <c r="AE152" s="68">
        <f t="shared" si="108"/>
        <v>27.0564634301641</v>
      </c>
    </row>
    <row r="153" customFormat="1" spans="1:31">
      <c r="A153" s="18"/>
      <c r="B153" s="19"/>
      <c r="C153" s="20">
        <v>240602000016</v>
      </c>
      <c r="D153" s="21">
        <v>45457</v>
      </c>
      <c r="E153" s="21" t="s">
        <v>48</v>
      </c>
      <c r="F153" s="19" t="s">
        <v>49</v>
      </c>
      <c r="G153" s="19" t="s">
        <v>187</v>
      </c>
      <c r="H153" s="19">
        <v>1.5</v>
      </c>
      <c r="I153" s="38">
        <v>108.9</v>
      </c>
      <c r="J153" s="39"/>
      <c r="K153" s="40"/>
      <c r="L153" s="19"/>
      <c r="M153" s="40"/>
      <c r="N153" s="41"/>
      <c r="O153" s="42">
        <f t="shared" si="113"/>
        <v>108.9</v>
      </c>
      <c r="P153" s="44"/>
      <c r="Q153" s="44"/>
      <c r="R153" s="68">
        <f t="shared" si="110"/>
        <v>70.657804273769</v>
      </c>
      <c r="S153" s="68"/>
      <c r="T153" s="69">
        <f t="shared" si="111"/>
        <v>0.0891917002167854</v>
      </c>
      <c r="U153" s="68"/>
      <c r="V153" s="68"/>
      <c r="W153" s="68">
        <f t="shared" si="106"/>
        <v>70.7469959739858</v>
      </c>
      <c r="X153" s="70">
        <f t="shared" si="112"/>
        <v>1.20981108702385</v>
      </c>
      <c r="Y153" s="70"/>
      <c r="Z153" s="70"/>
      <c r="AA153" s="70">
        <f t="shared" si="105"/>
        <v>1.20981108702385</v>
      </c>
      <c r="AB153" s="80">
        <v>7.24</v>
      </c>
      <c r="AC153" s="68">
        <f t="shared" si="107"/>
        <v>8.75903227005265</v>
      </c>
      <c r="AD153" s="68">
        <f t="shared" si="103"/>
        <v>79.5060282440384</v>
      </c>
      <c r="AE153" s="68">
        <f t="shared" si="108"/>
        <v>29.3939717559616</v>
      </c>
    </row>
    <row r="154" customFormat="1" spans="1:31">
      <c r="A154" s="18"/>
      <c r="B154" s="19"/>
      <c r="C154" s="20">
        <v>240602000017</v>
      </c>
      <c r="D154" s="21">
        <v>45457</v>
      </c>
      <c r="E154" s="21" t="s">
        <v>48</v>
      </c>
      <c r="F154" s="19" t="s">
        <v>49</v>
      </c>
      <c r="G154" s="19" t="s">
        <v>187</v>
      </c>
      <c r="H154" s="19">
        <v>1</v>
      </c>
      <c r="I154" s="38">
        <v>107.2</v>
      </c>
      <c r="J154" s="39"/>
      <c r="K154" s="40"/>
      <c r="L154" s="19"/>
      <c r="M154" s="40"/>
      <c r="N154" s="41"/>
      <c r="O154" s="42">
        <f t="shared" si="113"/>
        <v>107.2</v>
      </c>
      <c r="P154" s="44"/>
      <c r="Q154" s="44"/>
      <c r="R154" s="68">
        <f t="shared" si="110"/>
        <v>47.1052028491793</v>
      </c>
      <c r="S154" s="68"/>
      <c r="T154" s="69">
        <f t="shared" si="111"/>
        <v>0.0594611334778569</v>
      </c>
      <c r="U154" s="68"/>
      <c r="V154" s="68"/>
      <c r="W154" s="68">
        <f t="shared" si="106"/>
        <v>47.1646639826572</v>
      </c>
      <c r="X154" s="70">
        <f t="shared" si="112"/>
        <v>0.806540724682564</v>
      </c>
      <c r="Y154" s="70"/>
      <c r="Z154" s="70"/>
      <c r="AA154" s="70">
        <f t="shared" si="105"/>
        <v>0.806540724682564</v>
      </c>
      <c r="AB154" s="80">
        <v>7.24</v>
      </c>
      <c r="AC154" s="68">
        <f t="shared" si="107"/>
        <v>5.83935484670177</v>
      </c>
      <c r="AD154" s="68">
        <f t="shared" si="103"/>
        <v>53.0040188293589</v>
      </c>
      <c r="AE154" s="68">
        <f t="shared" si="108"/>
        <v>54.1959811706411</v>
      </c>
    </row>
    <row r="155" customFormat="1" spans="1:31">
      <c r="A155" s="18"/>
      <c r="B155" s="19"/>
      <c r="C155" s="20">
        <v>240602000018</v>
      </c>
      <c r="D155" s="21">
        <v>45457</v>
      </c>
      <c r="E155" s="21" t="s">
        <v>48</v>
      </c>
      <c r="F155" s="19" t="s">
        <v>49</v>
      </c>
      <c r="G155" s="19" t="s">
        <v>188</v>
      </c>
      <c r="H155" s="19">
        <v>2.5</v>
      </c>
      <c r="I155" s="38">
        <v>260.8</v>
      </c>
      <c r="J155" s="39"/>
      <c r="K155" s="40"/>
      <c r="L155" s="19"/>
      <c r="M155" s="40"/>
      <c r="N155" s="41"/>
      <c r="O155" s="42">
        <f t="shared" si="113"/>
        <v>260.8</v>
      </c>
      <c r="P155" s="44"/>
      <c r="Q155" s="44"/>
      <c r="R155" s="68">
        <f t="shared" si="110"/>
        <v>117.763007122948</v>
      </c>
      <c r="S155" s="68"/>
      <c r="T155" s="69">
        <f t="shared" si="111"/>
        <v>0.148652833694642</v>
      </c>
      <c r="U155" s="68"/>
      <c r="V155" s="68"/>
      <c r="W155" s="68">
        <f t="shared" si="106"/>
        <v>117.911659956643</v>
      </c>
      <c r="X155" s="70">
        <f t="shared" si="112"/>
        <v>2.01635181170641</v>
      </c>
      <c r="Y155" s="70"/>
      <c r="Z155" s="70"/>
      <c r="AA155" s="70">
        <f t="shared" si="105"/>
        <v>2.01635181170641</v>
      </c>
      <c r="AB155" s="80">
        <v>7.24</v>
      </c>
      <c r="AC155" s="68">
        <f t="shared" si="107"/>
        <v>14.5983871167544</v>
      </c>
      <c r="AD155" s="68">
        <f t="shared" si="103"/>
        <v>132.510047073397</v>
      </c>
      <c r="AE155" s="68">
        <f t="shared" si="108"/>
        <v>128.289952926603</v>
      </c>
    </row>
    <row r="156" customFormat="1" spans="1:31">
      <c r="A156" s="18"/>
      <c r="B156" s="19"/>
      <c r="C156" s="20">
        <v>240602000020</v>
      </c>
      <c r="D156" s="21">
        <v>45457</v>
      </c>
      <c r="E156" s="21" t="s">
        <v>48</v>
      </c>
      <c r="F156" s="19" t="s">
        <v>49</v>
      </c>
      <c r="G156" s="19" t="s">
        <v>105</v>
      </c>
      <c r="H156" s="19">
        <v>1</v>
      </c>
      <c r="I156" s="38">
        <v>97.6</v>
      </c>
      <c r="J156" s="39"/>
      <c r="K156" s="40"/>
      <c r="L156" s="19"/>
      <c r="M156" s="40"/>
      <c r="N156" s="41"/>
      <c r="O156" s="42">
        <f t="shared" si="113"/>
        <v>97.6</v>
      </c>
      <c r="P156" s="44"/>
      <c r="Q156" s="44"/>
      <c r="R156" s="68">
        <f t="shared" si="110"/>
        <v>47.1052028491793</v>
      </c>
      <c r="S156" s="68"/>
      <c r="T156" s="69">
        <f t="shared" si="111"/>
        <v>0.0594611334778569</v>
      </c>
      <c r="U156" s="68"/>
      <c r="V156" s="68"/>
      <c r="W156" s="68">
        <f t="shared" si="106"/>
        <v>47.1646639826572</v>
      </c>
      <c r="X156" s="70">
        <f t="shared" si="112"/>
        <v>0.806540724682564</v>
      </c>
      <c r="Y156" s="70"/>
      <c r="Z156" s="70"/>
      <c r="AA156" s="70">
        <f t="shared" si="105"/>
        <v>0.806540724682564</v>
      </c>
      <c r="AB156" s="80">
        <v>7.24</v>
      </c>
      <c r="AC156" s="68">
        <f t="shared" si="107"/>
        <v>5.83935484670177</v>
      </c>
      <c r="AD156" s="68">
        <f t="shared" si="103"/>
        <v>53.0040188293589</v>
      </c>
      <c r="AE156" s="68">
        <f t="shared" si="108"/>
        <v>44.5959811706411</v>
      </c>
    </row>
    <row r="157" customFormat="1" spans="1:31">
      <c r="A157" s="18"/>
      <c r="B157" s="19"/>
      <c r="C157" s="20">
        <v>240602000024</v>
      </c>
      <c r="D157" s="21">
        <v>45457</v>
      </c>
      <c r="E157" s="21" t="s">
        <v>51</v>
      </c>
      <c r="F157" s="19" t="s">
        <v>52</v>
      </c>
      <c r="G157" s="19" t="s">
        <v>189</v>
      </c>
      <c r="H157" s="19">
        <v>14.5</v>
      </c>
      <c r="I157" s="38">
        <v>883.85</v>
      </c>
      <c r="J157" s="39"/>
      <c r="K157" s="40"/>
      <c r="L157" s="19"/>
      <c r="M157" s="40"/>
      <c r="N157" s="41"/>
      <c r="O157" s="42">
        <f t="shared" si="113"/>
        <v>883.85</v>
      </c>
      <c r="P157" s="44"/>
      <c r="Q157" s="44"/>
      <c r="R157" s="68">
        <f t="shared" si="110"/>
        <v>683.0254413131</v>
      </c>
      <c r="S157" s="68"/>
      <c r="T157" s="69">
        <f t="shared" si="111"/>
        <v>0.862186435428925</v>
      </c>
      <c r="U157" s="68"/>
      <c r="V157" s="68"/>
      <c r="W157" s="68">
        <f t="shared" si="106"/>
        <v>683.887627748529</v>
      </c>
      <c r="X157" s="70">
        <f t="shared" si="112"/>
        <v>11.6948405078972</v>
      </c>
      <c r="Y157" s="70"/>
      <c r="Z157" s="70"/>
      <c r="AA157" s="70">
        <f t="shared" si="105"/>
        <v>11.6948405078972</v>
      </c>
      <c r="AB157" s="80">
        <v>7.24</v>
      </c>
      <c r="AC157" s="68">
        <f t="shared" si="107"/>
        <v>84.6706452771756</v>
      </c>
      <c r="AD157" s="68">
        <f t="shared" si="103"/>
        <v>768.558273025705</v>
      </c>
      <c r="AE157" s="68">
        <f t="shared" si="108"/>
        <v>115.291726974295</v>
      </c>
    </row>
    <row r="158" customFormat="1" spans="1:31">
      <c r="A158" s="18"/>
      <c r="B158" s="19"/>
      <c r="C158" s="20">
        <v>240603000001</v>
      </c>
      <c r="D158" s="21">
        <v>45457</v>
      </c>
      <c r="E158" s="21" t="s">
        <v>41</v>
      </c>
      <c r="F158" s="19" t="s">
        <v>42</v>
      </c>
      <c r="G158" s="19" t="s">
        <v>190</v>
      </c>
      <c r="H158" s="19">
        <v>9.5</v>
      </c>
      <c r="I158" s="38">
        <v>910</v>
      </c>
      <c r="J158" s="39"/>
      <c r="K158" s="40"/>
      <c r="L158" s="19"/>
      <c r="M158" s="40"/>
      <c r="N158" s="41"/>
      <c r="O158" s="42">
        <f t="shared" si="113"/>
        <v>910</v>
      </c>
      <c r="P158" s="44"/>
      <c r="Q158" s="44"/>
      <c r="R158" s="68">
        <f t="shared" si="110"/>
        <v>447.499427067203</v>
      </c>
      <c r="S158" s="68"/>
      <c r="T158" s="69">
        <f t="shared" si="111"/>
        <v>0.564880768039641</v>
      </c>
      <c r="U158" s="68"/>
      <c r="V158" s="68"/>
      <c r="W158" s="68">
        <f t="shared" si="106"/>
        <v>448.064307835243</v>
      </c>
      <c r="X158" s="70">
        <f t="shared" si="112"/>
        <v>7.66213688448436</v>
      </c>
      <c r="Y158" s="70"/>
      <c r="Z158" s="70"/>
      <c r="AA158" s="70">
        <f t="shared" si="105"/>
        <v>7.66213688448436</v>
      </c>
      <c r="AB158" s="80">
        <v>7.24</v>
      </c>
      <c r="AC158" s="68">
        <f t="shared" si="107"/>
        <v>55.4738710436668</v>
      </c>
      <c r="AD158" s="68">
        <f t="shared" si="103"/>
        <v>503.53817887891</v>
      </c>
      <c r="AE158" s="68">
        <f t="shared" si="108"/>
        <v>406.46182112109</v>
      </c>
    </row>
    <row r="159" customFormat="1" spans="1:31">
      <c r="A159" s="18"/>
      <c r="B159" s="19"/>
      <c r="C159" s="20">
        <v>240603000005</v>
      </c>
      <c r="D159" s="21">
        <v>45457</v>
      </c>
      <c r="E159" s="21" t="s">
        <v>51</v>
      </c>
      <c r="F159" s="19" t="s">
        <v>52</v>
      </c>
      <c r="G159" s="19" t="s">
        <v>191</v>
      </c>
      <c r="H159" s="19">
        <v>5.5</v>
      </c>
      <c r="I159" s="38">
        <v>354.2</v>
      </c>
      <c r="J159" s="39"/>
      <c r="K159" s="40"/>
      <c r="L159" s="19"/>
      <c r="M159" s="40"/>
      <c r="N159" s="41"/>
      <c r="O159" s="42">
        <f t="shared" si="113"/>
        <v>354.2</v>
      </c>
      <c r="P159" s="44"/>
      <c r="Q159" s="44"/>
      <c r="R159" s="68">
        <f t="shared" si="110"/>
        <v>259.078615670486</v>
      </c>
      <c r="S159" s="68"/>
      <c r="T159" s="69">
        <f t="shared" si="111"/>
        <v>0.327036234128213</v>
      </c>
      <c r="U159" s="68"/>
      <c r="V159" s="68"/>
      <c r="W159" s="68">
        <f t="shared" si="106"/>
        <v>259.405651904614</v>
      </c>
      <c r="X159" s="70">
        <f t="shared" si="112"/>
        <v>4.4359739857541</v>
      </c>
      <c r="Y159" s="70"/>
      <c r="Z159" s="70"/>
      <c r="AA159" s="70">
        <f t="shared" si="105"/>
        <v>4.4359739857541</v>
      </c>
      <c r="AB159" s="80">
        <v>7.24</v>
      </c>
      <c r="AC159" s="68">
        <f t="shared" si="107"/>
        <v>32.1164516568597</v>
      </c>
      <c r="AD159" s="68">
        <f t="shared" si="103"/>
        <v>291.522103561474</v>
      </c>
      <c r="AE159" s="68">
        <f t="shared" si="108"/>
        <v>62.677896438526</v>
      </c>
    </row>
    <row r="160" customFormat="1" spans="1:31">
      <c r="A160" s="18"/>
      <c r="B160" s="19"/>
      <c r="C160" s="20">
        <v>240603000010</v>
      </c>
      <c r="D160" s="21">
        <v>45457</v>
      </c>
      <c r="E160" s="21" t="s">
        <v>44</v>
      </c>
      <c r="F160" s="19" t="s">
        <v>45</v>
      </c>
      <c r="G160" s="19" t="s">
        <v>192</v>
      </c>
      <c r="H160" s="19">
        <v>6.5</v>
      </c>
      <c r="I160" s="38">
        <v>422</v>
      </c>
      <c r="J160" s="39"/>
      <c r="K160" s="40"/>
      <c r="L160" s="19"/>
      <c r="M160" s="40"/>
      <c r="N160" s="41"/>
      <c r="O160" s="42">
        <f t="shared" si="113"/>
        <v>422</v>
      </c>
      <c r="P160" s="44"/>
      <c r="Q160" s="44"/>
      <c r="R160" s="68">
        <f t="shared" si="110"/>
        <v>306.183818519666</v>
      </c>
      <c r="S160" s="68"/>
      <c r="T160" s="69">
        <f t="shared" si="111"/>
        <v>0.38649736760607</v>
      </c>
      <c r="U160" s="68"/>
      <c r="V160" s="68"/>
      <c r="W160" s="68">
        <f t="shared" si="106"/>
        <v>306.570315887272</v>
      </c>
      <c r="X160" s="70">
        <f t="shared" si="112"/>
        <v>5.24251471043667</v>
      </c>
      <c r="Y160" s="70"/>
      <c r="Z160" s="70"/>
      <c r="AA160" s="70">
        <f t="shared" si="105"/>
        <v>5.24251471043667</v>
      </c>
      <c r="AB160" s="80">
        <v>7.24</v>
      </c>
      <c r="AC160" s="68">
        <f t="shared" si="107"/>
        <v>37.9558065035615</v>
      </c>
      <c r="AD160" s="68">
        <f t="shared" si="103"/>
        <v>344.526122390833</v>
      </c>
      <c r="AE160" s="68">
        <f t="shared" si="108"/>
        <v>77.473877609167</v>
      </c>
    </row>
    <row r="161" customFormat="1" spans="1:31">
      <c r="A161" s="18"/>
      <c r="B161" s="19"/>
      <c r="C161" s="20">
        <v>240603000011</v>
      </c>
      <c r="D161" s="21">
        <v>45457</v>
      </c>
      <c r="E161" s="21" t="s">
        <v>136</v>
      </c>
      <c r="F161" s="19" t="s">
        <v>137</v>
      </c>
      <c r="G161" s="19" t="s">
        <v>193</v>
      </c>
      <c r="H161" s="19">
        <v>3</v>
      </c>
      <c r="I161" s="38">
        <v>214.5</v>
      </c>
      <c r="J161" s="39"/>
      <c r="K161" s="40"/>
      <c r="L161" s="19"/>
      <c r="M161" s="40"/>
      <c r="N161" s="41"/>
      <c r="O161" s="42">
        <f t="shared" si="113"/>
        <v>214.5</v>
      </c>
      <c r="P161" s="44"/>
      <c r="Q161" s="44"/>
      <c r="R161" s="68">
        <f t="shared" si="110"/>
        <v>141.315608547538</v>
      </c>
      <c r="S161" s="68"/>
      <c r="T161" s="69">
        <f t="shared" si="111"/>
        <v>0.178383400433571</v>
      </c>
      <c r="U161" s="68"/>
      <c r="V161" s="68"/>
      <c r="W161" s="68">
        <f t="shared" si="106"/>
        <v>141.493991947972</v>
      </c>
      <c r="X161" s="70">
        <f t="shared" si="112"/>
        <v>2.41962217404769</v>
      </c>
      <c r="Y161" s="70"/>
      <c r="Z161" s="70"/>
      <c r="AA161" s="70">
        <f t="shared" si="105"/>
        <v>2.41962217404769</v>
      </c>
      <c r="AB161" s="80">
        <v>7.24</v>
      </c>
      <c r="AC161" s="68">
        <f t="shared" si="107"/>
        <v>17.5180645401053</v>
      </c>
      <c r="AD161" s="68">
        <f t="shared" si="103"/>
        <v>159.012056488077</v>
      </c>
      <c r="AE161" s="68">
        <f t="shared" si="108"/>
        <v>55.487943511923</v>
      </c>
    </row>
    <row r="162" customFormat="1" spans="1:31">
      <c r="A162" s="18"/>
      <c r="B162" s="19"/>
      <c r="C162" s="81">
        <v>240603000012</v>
      </c>
      <c r="D162" s="82">
        <v>45457</v>
      </c>
      <c r="E162" s="21" t="s">
        <v>44</v>
      </c>
      <c r="F162" s="83" t="s">
        <v>45</v>
      </c>
      <c r="G162" s="83" t="s">
        <v>194</v>
      </c>
      <c r="H162" s="83">
        <v>10</v>
      </c>
      <c r="I162" s="38">
        <v>611</v>
      </c>
      <c r="J162" s="39"/>
      <c r="K162" s="40"/>
      <c r="L162" s="19"/>
      <c r="M162" s="40"/>
      <c r="N162" s="41"/>
      <c r="O162" s="42">
        <f t="shared" si="113"/>
        <v>611</v>
      </c>
      <c r="P162" s="44"/>
      <c r="Q162" s="44"/>
      <c r="R162" s="68">
        <f t="shared" si="110"/>
        <v>471.052028491793</v>
      </c>
      <c r="S162" s="68"/>
      <c r="T162" s="69">
        <f t="shared" si="111"/>
        <v>0.594611334778569</v>
      </c>
      <c r="U162" s="68"/>
      <c r="V162" s="68"/>
      <c r="W162" s="68">
        <f t="shared" si="106"/>
        <v>471.646639826572</v>
      </c>
      <c r="X162" s="70">
        <f t="shared" si="112"/>
        <v>8.06540724682564</v>
      </c>
      <c r="Y162" s="70"/>
      <c r="Z162" s="70"/>
      <c r="AA162" s="70">
        <f t="shared" si="105"/>
        <v>8.06540724682564</v>
      </c>
      <c r="AB162" s="80">
        <v>7.24</v>
      </c>
      <c r="AC162" s="68">
        <f t="shared" si="107"/>
        <v>58.3935484670177</v>
      </c>
      <c r="AD162" s="68">
        <f t="shared" si="103"/>
        <v>530.040188293589</v>
      </c>
      <c r="AE162" s="68">
        <f t="shared" si="108"/>
        <v>80.959811706411</v>
      </c>
    </row>
    <row r="163" customFormat="1" spans="1:31">
      <c r="A163" s="18"/>
      <c r="B163" s="19"/>
      <c r="C163" s="20">
        <v>240603000014</v>
      </c>
      <c r="D163" s="21">
        <v>45457</v>
      </c>
      <c r="E163" s="21" t="s">
        <v>41</v>
      </c>
      <c r="F163" s="19" t="s">
        <v>42</v>
      </c>
      <c r="G163" s="19" t="s">
        <v>195</v>
      </c>
      <c r="H163" s="19">
        <v>14.5</v>
      </c>
      <c r="I163" s="45"/>
      <c r="J163" s="46">
        <v>197925</v>
      </c>
      <c r="K163" s="40"/>
      <c r="L163" s="47">
        <f>SUM(J163/M163)</f>
        <v>1520.51163862641</v>
      </c>
      <c r="M163" s="48">
        <v>130.17</v>
      </c>
      <c r="N163" s="41">
        <v>7.24</v>
      </c>
      <c r="O163" s="42">
        <f>SUM(M163*N163)</f>
        <v>942.4308</v>
      </c>
      <c r="P163" s="44"/>
      <c r="Q163" s="44"/>
      <c r="R163" s="68">
        <f t="shared" si="110"/>
        <v>683.0254413131</v>
      </c>
      <c r="S163" s="68"/>
      <c r="T163" s="69">
        <f t="shared" si="111"/>
        <v>0.862186435428925</v>
      </c>
      <c r="U163" s="68"/>
      <c r="V163" s="68"/>
      <c r="W163" s="68">
        <f t="shared" si="106"/>
        <v>683.887627748529</v>
      </c>
      <c r="X163" s="70">
        <f t="shared" si="112"/>
        <v>11.6948405078972</v>
      </c>
      <c r="Y163" s="70"/>
      <c r="Z163" s="70"/>
      <c r="AA163" s="70">
        <f t="shared" si="105"/>
        <v>11.6948405078972</v>
      </c>
      <c r="AB163" s="80">
        <v>7.24</v>
      </c>
      <c r="AC163" s="68">
        <f t="shared" si="107"/>
        <v>84.6706452771756</v>
      </c>
      <c r="AD163" s="68">
        <f t="shared" si="103"/>
        <v>768.558273025705</v>
      </c>
      <c r="AE163" s="68">
        <f t="shared" si="108"/>
        <v>173.872526974295</v>
      </c>
    </row>
    <row r="164" customFormat="1" spans="1:31">
      <c r="A164" s="18"/>
      <c r="B164" s="19"/>
      <c r="C164" s="20">
        <v>240603000015</v>
      </c>
      <c r="D164" s="21">
        <v>45457</v>
      </c>
      <c r="E164" s="21" t="s">
        <v>41</v>
      </c>
      <c r="F164" s="19" t="s">
        <v>42</v>
      </c>
      <c r="G164" s="19" t="s">
        <v>196</v>
      </c>
      <c r="H164" s="19">
        <v>4</v>
      </c>
      <c r="I164" s="38">
        <v>272</v>
      </c>
      <c r="J164" s="39"/>
      <c r="K164" s="40"/>
      <c r="L164" s="19"/>
      <c r="M164" s="40"/>
      <c r="N164" s="41"/>
      <c r="O164" s="42">
        <f t="shared" ref="O164:O172" si="114">SUM(I164)</f>
        <v>272</v>
      </c>
      <c r="P164" s="44"/>
      <c r="Q164" s="44"/>
      <c r="R164" s="68">
        <f t="shared" si="110"/>
        <v>188.420811396717</v>
      </c>
      <c r="S164" s="68"/>
      <c r="T164" s="69">
        <f t="shared" si="111"/>
        <v>0.237844533911428</v>
      </c>
      <c r="U164" s="68"/>
      <c r="V164" s="68"/>
      <c r="W164" s="68">
        <f t="shared" si="106"/>
        <v>188.658655930629</v>
      </c>
      <c r="X164" s="70">
        <f t="shared" si="112"/>
        <v>3.22616289873026</v>
      </c>
      <c r="Y164" s="70"/>
      <c r="Z164" s="70"/>
      <c r="AA164" s="70">
        <f t="shared" si="105"/>
        <v>3.22616289873026</v>
      </c>
      <c r="AB164" s="80">
        <v>7.24</v>
      </c>
      <c r="AC164" s="68">
        <f t="shared" si="107"/>
        <v>23.3574193868071</v>
      </c>
      <c r="AD164" s="68">
        <f t="shared" si="103"/>
        <v>212.016075317436</v>
      </c>
      <c r="AE164" s="68">
        <f t="shared" si="108"/>
        <v>59.9839246825643</v>
      </c>
    </row>
    <row r="165" customFormat="1" spans="1:31">
      <c r="A165" s="18"/>
      <c r="B165" s="19"/>
      <c r="C165" s="20">
        <v>240603000018</v>
      </c>
      <c r="D165" s="21">
        <v>45457</v>
      </c>
      <c r="E165" s="21" t="s">
        <v>41</v>
      </c>
      <c r="F165" s="19" t="s">
        <v>42</v>
      </c>
      <c r="G165" s="19" t="s">
        <v>197</v>
      </c>
      <c r="H165" s="19">
        <v>12.5</v>
      </c>
      <c r="I165" s="45"/>
      <c r="J165" s="46">
        <v>160200</v>
      </c>
      <c r="K165" s="40"/>
      <c r="L165" s="47">
        <f>SUM(J165/M165)</f>
        <v>1520.50113895216</v>
      </c>
      <c r="M165" s="48">
        <v>105.36</v>
      </c>
      <c r="N165" s="41">
        <v>7.24</v>
      </c>
      <c r="O165" s="42">
        <f>SUM(M165*N165)</f>
        <v>762.8064</v>
      </c>
      <c r="P165" s="44"/>
      <c r="Q165" s="44"/>
      <c r="R165" s="68">
        <f t="shared" si="110"/>
        <v>588.815035614741</v>
      </c>
      <c r="S165" s="68"/>
      <c r="T165" s="69">
        <f t="shared" si="111"/>
        <v>0.743264168473212</v>
      </c>
      <c r="U165" s="68"/>
      <c r="V165" s="68"/>
      <c r="W165" s="68">
        <f t="shared" si="106"/>
        <v>589.558299783215</v>
      </c>
      <c r="X165" s="70">
        <f t="shared" si="112"/>
        <v>10.0817590585321</v>
      </c>
      <c r="Y165" s="70"/>
      <c r="Z165" s="70"/>
      <c r="AA165" s="70">
        <f t="shared" si="105"/>
        <v>10.0817590585321</v>
      </c>
      <c r="AB165" s="80">
        <v>7.24</v>
      </c>
      <c r="AC165" s="68">
        <f t="shared" si="107"/>
        <v>72.9919355837721</v>
      </c>
      <c r="AD165" s="68">
        <f t="shared" si="103"/>
        <v>662.550235366987</v>
      </c>
      <c r="AE165" s="68">
        <f t="shared" si="108"/>
        <v>100.256164633013</v>
      </c>
    </row>
    <row r="166" customFormat="1" spans="1:31">
      <c r="A166" s="18"/>
      <c r="B166" s="19"/>
      <c r="C166" s="20">
        <v>240603000019</v>
      </c>
      <c r="D166" s="21">
        <v>45457</v>
      </c>
      <c r="E166" s="21" t="s">
        <v>41</v>
      </c>
      <c r="F166" s="19" t="s">
        <v>42</v>
      </c>
      <c r="G166" s="19" t="s">
        <v>198</v>
      </c>
      <c r="H166" s="19">
        <v>9.5</v>
      </c>
      <c r="I166" s="38">
        <v>644</v>
      </c>
      <c r="J166" s="39"/>
      <c r="K166" s="40"/>
      <c r="L166" s="19"/>
      <c r="M166" s="40"/>
      <c r="N166" s="41"/>
      <c r="O166" s="42">
        <f t="shared" si="114"/>
        <v>644</v>
      </c>
      <c r="P166" s="44"/>
      <c r="Q166" s="44"/>
      <c r="R166" s="68">
        <f t="shared" si="110"/>
        <v>447.499427067203</v>
      </c>
      <c r="S166" s="68"/>
      <c r="T166" s="69">
        <f t="shared" si="111"/>
        <v>0.564880768039641</v>
      </c>
      <c r="U166" s="68"/>
      <c r="V166" s="68"/>
      <c r="W166" s="68">
        <f t="shared" si="106"/>
        <v>448.064307835243</v>
      </c>
      <c r="X166" s="70">
        <f t="shared" si="112"/>
        <v>7.66213688448436</v>
      </c>
      <c r="Y166" s="70"/>
      <c r="Z166" s="70"/>
      <c r="AA166" s="70">
        <f t="shared" si="105"/>
        <v>7.66213688448436</v>
      </c>
      <c r="AB166" s="80">
        <v>7.24</v>
      </c>
      <c r="AC166" s="68">
        <f t="shared" si="107"/>
        <v>55.4738710436668</v>
      </c>
      <c r="AD166" s="68">
        <f t="shared" si="103"/>
        <v>503.53817887891</v>
      </c>
      <c r="AE166" s="68">
        <f t="shared" si="108"/>
        <v>140.46182112109</v>
      </c>
    </row>
    <row r="167" customFormat="1" spans="1:31">
      <c r="A167" s="18"/>
      <c r="B167" s="19"/>
      <c r="C167" s="20">
        <v>240603000020</v>
      </c>
      <c r="D167" s="21">
        <v>45457</v>
      </c>
      <c r="E167" s="21" t="s">
        <v>48</v>
      </c>
      <c r="F167" s="19" t="s">
        <v>49</v>
      </c>
      <c r="G167" s="19" t="s">
        <v>199</v>
      </c>
      <c r="H167" s="19">
        <v>2.5</v>
      </c>
      <c r="I167" s="38">
        <v>145</v>
      </c>
      <c r="J167" s="39"/>
      <c r="K167" s="40"/>
      <c r="L167" s="19"/>
      <c r="M167" s="40"/>
      <c r="N167" s="41"/>
      <c r="O167" s="42">
        <f t="shared" si="114"/>
        <v>145</v>
      </c>
      <c r="P167" s="44"/>
      <c r="Q167" s="44"/>
      <c r="R167" s="68">
        <f t="shared" si="110"/>
        <v>117.763007122948</v>
      </c>
      <c r="S167" s="68"/>
      <c r="T167" s="69">
        <f t="shared" si="111"/>
        <v>0.148652833694642</v>
      </c>
      <c r="U167" s="68"/>
      <c r="V167" s="68"/>
      <c r="W167" s="68">
        <f t="shared" si="106"/>
        <v>117.911659956643</v>
      </c>
      <c r="X167" s="70">
        <f t="shared" si="112"/>
        <v>2.01635181170641</v>
      </c>
      <c r="Y167" s="70"/>
      <c r="Z167" s="70"/>
      <c r="AA167" s="70">
        <f t="shared" si="105"/>
        <v>2.01635181170641</v>
      </c>
      <c r="AB167" s="80">
        <v>7.24</v>
      </c>
      <c r="AC167" s="68">
        <f t="shared" si="107"/>
        <v>14.5983871167544</v>
      </c>
      <c r="AD167" s="68">
        <f t="shared" si="103"/>
        <v>132.510047073397</v>
      </c>
      <c r="AE167" s="68">
        <f t="shared" si="108"/>
        <v>12.4899529266027</v>
      </c>
    </row>
    <row r="168" customFormat="1" spans="1:31">
      <c r="A168" s="18"/>
      <c r="B168" s="19"/>
      <c r="C168" s="20">
        <v>240603000027</v>
      </c>
      <c r="D168" s="21">
        <v>45457</v>
      </c>
      <c r="E168" s="21" t="s">
        <v>48</v>
      </c>
      <c r="F168" s="19" t="s">
        <v>49</v>
      </c>
      <c r="G168" s="19" t="s">
        <v>120</v>
      </c>
      <c r="H168" s="19">
        <v>1.5</v>
      </c>
      <c r="I168" s="38">
        <v>127.5</v>
      </c>
      <c r="J168" s="39"/>
      <c r="K168" s="40"/>
      <c r="L168" s="19"/>
      <c r="M168" s="40"/>
      <c r="N168" s="41"/>
      <c r="O168" s="42">
        <f t="shared" si="114"/>
        <v>127.5</v>
      </c>
      <c r="P168" s="44"/>
      <c r="Q168" s="44"/>
      <c r="R168" s="68">
        <f t="shared" si="110"/>
        <v>70.657804273769</v>
      </c>
      <c r="S168" s="68"/>
      <c r="T168" s="69">
        <f t="shared" si="111"/>
        <v>0.0891917002167854</v>
      </c>
      <c r="U168" s="68"/>
      <c r="V168" s="68"/>
      <c r="W168" s="68">
        <f t="shared" si="106"/>
        <v>70.7469959739858</v>
      </c>
      <c r="X168" s="70">
        <f t="shared" si="112"/>
        <v>1.20981108702385</v>
      </c>
      <c r="Y168" s="70"/>
      <c r="Z168" s="70"/>
      <c r="AA168" s="70">
        <f t="shared" si="105"/>
        <v>1.20981108702385</v>
      </c>
      <c r="AB168" s="80">
        <v>7.24</v>
      </c>
      <c r="AC168" s="68">
        <f t="shared" si="107"/>
        <v>8.75903227005265</v>
      </c>
      <c r="AD168" s="68">
        <f t="shared" si="103"/>
        <v>79.5060282440384</v>
      </c>
      <c r="AE168" s="68">
        <f t="shared" si="108"/>
        <v>47.9939717559616</v>
      </c>
    </row>
    <row r="169" customFormat="1" spans="1:31">
      <c r="A169" s="18"/>
      <c r="B169" s="19"/>
      <c r="C169" s="20">
        <v>240603000029</v>
      </c>
      <c r="D169" s="21">
        <v>45457</v>
      </c>
      <c r="E169" s="21" t="s">
        <v>51</v>
      </c>
      <c r="F169" s="19" t="s">
        <v>52</v>
      </c>
      <c r="G169" s="19" t="s">
        <v>92</v>
      </c>
      <c r="H169" s="19">
        <v>1.5</v>
      </c>
      <c r="I169" s="38">
        <v>99</v>
      </c>
      <c r="J169" s="39"/>
      <c r="K169" s="40"/>
      <c r="L169" s="19"/>
      <c r="M169" s="40"/>
      <c r="N169" s="41"/>
      <c r="O169" s="42">
        <f t="shared" si="114"/>
        <v>99</v>
      </c>
      <c r="P169" s="44"/>
      <c r="Q169" s="44"/>
      <c r="R169" s="68">
        <f t="shared" si="110"/>
        <v>70.657804273769</v>
      </c>
      <c r="S169" s="68"/>
      <c r="T169" s="69">
        <f t="shared" si="111"/>
        <v>0.0891917002167854</v>
      </c>
      <c r="U169" s="68"/>
      <c r="V169" s="68"/>
      <c r="W169" s="68">
        <f t="shared" si="106"/>
        <v>70.7469959739858</v>
      </c>
      <c r="X169" s="70">
        <f t="shared" si="112"/>
        <v>1.20981108702385</v>
      </c>
      <c r="Y169" s="70"/>
      <c r="Z169" s="70"/>
      <c r="AA169" s="70">
        <f t="shared" si="105"/>
        <v>1.20981108702385</v>
      </c>
      <c r="AB169" s="80">
        <v>7.24</v>
      </c>
      <c r="AC169" s="68">
        <f t="shared" si="107"/>
        <v>8.75903227005265</v>
      </c>
      <c r="AD169" s="68">
        <f t="shared" si="103"/>
        <v>79.5060282440384</v>
      </c>
      <c r="AE169" s="68">
        <f t="shared" si="108"/>
        <v>19.4939717559616</v>
      </c>
    </row>
    <row r="170" customFormat="1" spans="1:31">
      <c r="A170" s="18"/>
      <c r="B170" s="19"/>
      <c r="C170" s="20">
        <v>240603000031</v>
      </c>
      <c r="D170" s="21">
        <v>45457</v>
      </c>
      <c r="E170" s="21" t="s">
        <v>44</v>
      </c>
      <c r="F170" s="19" t="s">
        <v>45</v>
      </c>
      <c r="G170" s="19" t="s">
        <v>200</v>
      </c>
      <c r="H170" s="19">
        <v>40.5</v>
      </c>
      <c r="I170" s="38">
        <v>2632.5</v>
      </c>
      <c r="J170" s="39"/>
      <c r="K170" s="40"/>
      <c r="L170" s="19"/>
      <c r="M170" s="40"/>
      <c r="N170" s="41"/>
      <c r="O170" s="42">
        <f t="shared" si="114"/>
        <v>2632.5</v>
      </c>
      <c r="P170" s="44"/>
      <c r="Q170" s="44"/>
      <c r="R170" s="68">
        <f t="shared" si="110"/>
        <v>1907.76071539176</v>
      </c>
      <c r="S170" s="68"/>
      <c r="T170" s="69">
        <f t="shared" si="111"/>
        <v>2.40817590585321</v>
      </c>
      <c r="U170" s="68"/>
      <c r="V170" s="68"/>
      <c r="W170" s="68">
        <f t="shared" si="106"/>
        <v>1910.16889129762</v>
      </c>
      <c r="X170" s="70">
        <f t="shared" si="112"/>
        <v>32.6648993496439</v>
      </c>
      <c r="Y170" s="70"/>
      <c r="Z170" s="70"/>
      <c r="AA170" s="70">
        <f t="shared" si="105"/>
        <v>32.6648993496439</v>
      </c>
      <c r="AB170" s="80">
        <v>7.24</v>
      </c>
      <c r="AC170" s="68">
        <f t="shared" si="107"/>
        <v>236.493871291421</v>
      </c>
      <c r="AD170" s="68">
        <f t="shared" ref="AD170:AD203" si="115">SUM(W170+AC170)</f>
        <v>2146.66276258904</v>
      </c>
      <c r="AE170" s="68">
        <f t="shared" si="108"/>
        <v>485.837237410963</v>
      </c>
    </row>
    <row r="171" customFormat="1" spans="1:31">
      <c r="A171" s="18"/>
      <c r="B171" s="19"/>
      <c r="C171" s="20">
        <v>240603000032</v>
      </c>
      <c r="D171" s="21">
        <v>45457</v>
      </c>
      <c r="E171" s="21" t="s">
        <v>41</v>
      </c>
      <c r="F171" s="19" t="s">
        <v>42</v>
      </c>
      <c r="G171" s="19" t="s">
        <v>74</v>
      </c>
      <c r="H171" s="19">
        <v>270</v>
      </c>
      <c r="I171" s="38">
        <v>16165</v>
      </c>
      <c r="J171" s="39"/>
      <c r="K171" s="40"/>
      <c r="L171" s="19"/>
      <c r="M171" s="40"/>
      <c r="N171" s="41"/>
      <c r="O171" s="42">
        <f t="shared" si="114"/>
        <v>16165</v>
      </c>
      <c r="P171" s="44"/>
      <c r="Q171" s="44"/>
      <c r="R171" s="68">
        <f t="shared" si="110"/>
        <v>12718.4047692784</v>
      </c>
      <c r="S171" s="68"/>
      <c r="T171" s="69">
        <f t="shared" si="111"/>
        <v>16.0545060390214</v>
      </c>
      <c r="U171" s="69">
        <f>SUM(530+40)</f>
        <v>570</v>
      </c>
      <c r="V171" s="68"/>
      <c r="W171" s="68">
        <f t="shared" si="106"/>
        <v>13304.4592753174</v>
      </c>
      <c r="X171" s="70">
        <f t="shared" si="112"/>
        <v>217.765995664292</v>
      </c>
      <c r="Y171" s="70"/>
      <c r="Z171" s="70"/>
      <c r="AA171" s="70">
        <f t="shared" ref="AA171:AA205" si="116">SUM(X171:Z171)</f>
        <v>217.765995664292</v>
      </c>
      <c r="AB171" s="80">
        <v>7.24</v>
      </c>
      <c r="AC171" s="68">
        <f t="shared" si="107"/>
        <v>1576.62580860948</v>
      </c>
      <c r="AD171" s="68">
        <f t="shared" si="115"/>
        <v>14881.0850839269</v>
      </c>
      <c r="AE171" s="68">
        <f t="shared" si="108"/>
        <v>1283.91491607309</v>
      </c>
    </row>
    <row r="172" customFormat="1" spans="1:31">
      <c r="A172" s="18"/>
      <c r="B172" s="19"/>
      <c r="C172" s="20">
        <v>240603000033</v>
      </c>
      <c r="D172" s="21">
        <v>45457</v>
      </c>
      <c r="E172" s="21" t="s">
        <v>51</v>
      </c>
      <c r="F172" s="19" t="s">
        <v>52</v>
      </c>
      <c r="G172" s="19" t="s">
        <v>53</v>
      </c>
      <c r="H172" s="19">
        <v>0.94</v>
      </c>
      <c r="I172" s="38">
        <v>85.4</v>
      </c>
      <c r="J172" s="39"/>
      <c r="K172" s="40"/>
      <c r="L172" s="19"/>
      <c r="M172" s="40"/>
      <c r="N172" s="41"/>
      <c r="O172" s="42">
        <f t="shared" si="114"/>
        <v>85.4</v>
      </c>
      <c r="P172" s="44"/>
      <c r="Q172" s="44"/>
      <c r="R172" s="68">
        <f t="shared" si="110"/>
        <v>44.2788906782285</v>
      </c>
      <c r="S172" s="68"/>
      <c r="T172" s="69">
        <f t="shared" si="111"/>
        <v>0.0558934654691855</v>
      </c>
      <c r="U172" s="68"/>
      <c r="V172" s="68"/>
      <c r="W172" s="68">
        <f t="shared" ref="W172:W205" si="117">SUM(R172:V172)</f>
        <v>44.3347841436977</v>
      </c>
      <c r="X172" s="70">
        <f t="shared" si="112"/>
        <v>0.75814828120161</v>
      </c>
      <c r="Y172" s="70"/>
      <c r="Z172" s="70"/>
      <c r="AA172" s="70">
        <f t="shared" si="116"/>
        <v>0.75814828120161</v>
      </c>
      <c r="AB172" s="80">
        <v>7.24</v>
      </c>
      <c r="AC172" s="68">
        <f t="shared" ref="AC172:AC205" si="118">SUM(AA172*AB172)</f>
        <v>5.48899355589966</v>
      </c>
      <c r="AD172" s="68">
        <f t="shared" si="115"/>
        <v>49.8237776995974</v>
      </c>
      <c r="AE172" s="68">
        <f t="shared" ref="AE172:AE204" si="119">SUM(O172-AD172)</f>
        <v>35.5762223004026</v>
      </c>
    </row>
    <row r="173" customFormat="1" spans="1:31">
      <c r="A173" s="18"/>
      <c r="B173" s="19"/>
      <c r="C173" s="20">
        <v>240603000034</v>
      </c>
      <c r="D173" s="21">
        <v>45457</v>
      </c>
      <c r="E173" s="21" t="s">
        <v>48</v>
      </c>
      <c r="F173" s="19" t="s">
        <v>79</v>
      </c>
      <c r="G173" s="19" t="s">
        <v>79</v>
      </c>
      <c r="H173" s="19">
        <v>3.5</v>
      </c>
      <c r="I173" s="42"/>
      <c r="J173" s="46">
        <v>52705</v>
      </c>
      <c r="K173" s="40"/>
      <c r="L173" s="47">
        <f t="shared" ref="L173:L178" si="120">SUM(J173/M173)</f>
        <v>1501.99487033343</v>
      </c>
      <c r="M173" s="48">
        <v>35.09</v>
      </c>
      <c r="N173" s="41">
        <v>7.24</v>
      </c>
      <c r="O173" s="42">
        <f t="shared" ref="O173:O178" si="121">SUM(M173*N173)</f>
        <v>254.0516</v>
      </c>
      <c r="P173" s="44"/>
      <c r="Q173" s="44"/>
      <c r="R173" s="68">
        <f t="shared" si="110"/>
        <v>164.868209972128</v>
      </c>
      <c r="S173" s="68"/>
      <c r="T173" s="69">
        <f t="shared" si="111"/>
        <v>0.208113967172499</v>
      </c>
      <c r="U173" s="68"/>
      <c r="V173" s="68"/>
      <c r="W173" s="68">
        <f t="shared" si="117"/>
        <v>165.0763239393</v>
      </c>
      <c r="X173" s="70">
        <f t="shared" si="112"/>
        <v>2.82289253638897</v>
      </c>
      <c r="Y173" s="70"/>
      <c r="Z173" s="70"/>
      <c r="AA173" s="70">
        <f t="shared" si="116"/>
        <v>2.82289253638897</v>
      </c>
      <c r="AB173" s="80">
        <v>7.24</v>
      </c>
      <c r="AC173" s="68">
        <f t="shared" si="118"/>
        <v>20.4377419634562</v>
      </c>
      <c r="AD173" s="68">
        <f t="shared" si="115"/>
        <v>185.514065902756</v>
      </c>
      <c r="AE173" s="68">
        <f t="shared" si="119"/>
        <v>68.5375340972437</v>
      </c>
    </row>
    <row r="174" customFormat="1" spans="1:31">
      <c r="A174" s="18"/>
      <c r="B174" s="19"/>
      <c r="C174" s="20">
        <v>240604000007</v>
      </c>
      <c r="D174" s="21">
        <v>45457</v>
      </c>
      <c r="E174" s="21" t="s">
        <v>41</v>
      </c>
      <c r="F174" s="19" t="s">
        <v>42</v>
      </c>
      <c r="G174" s="19" t="s">
        <v>201</v>
      </c>
      <c r="H174" s="19">
        <v>9</v>
      </c>
      <c r="I174" s="42"/>
      <c r="J174" s="46">
        <v>137046</v>
      </c>
      <c r="K174" s="40"/>
      <c r="L174" s="47">
        <f t="shared" si="120"/>
        <v>1774.74770457753</v>
      </c>
      <c r="M174" s="48">
        <v>77.21999</v>
      </c>
      <c r="N174" s="41">
        <v>7.24</v>
      </c>
      <c r="O174" s="42">
        <f t="shared" si="121"/>
        <v>559.0727276</v>
      </c>
      <c r="P174" s="44"/>
      <c r="Q174" s="44"/>
      <c r="R174" s="68">
        <f t="shared" ref="R174:R206" si="122">SUM(152102.7/3229)*H174</f>
        <v>423.946825642614</v>
      </c>
      <c r="S174" s="68"/>
      <c r="T174" s="69">
        <f t="shared" ref="T174:T206" si="123">SUM(192/3229)*H174</f>
        <v>0.535150201300712</v>
      </c>
      <c r="U174" s="68"/>
      <c r="V174" s="68"/>
      <c r="W174" s="68">
        <f t="shared" si="117"/>
        <v>424.481975843915</v>
      </c>
      <c r="X174" s="70">
        <f t="shared" ref="X174:X206" si="124">SUM(2604.32/3229)*H174</f>
        <v>7.25886652214308</v>
      </c>
      <c r="Y174" s="70"/>
      <c r="Z174" s="70"/>
      <c r="AA174" s="70">
        <f t="shared" si="116"/>
        <v>7.25886652214308</v>
      </c>
      <c r="AB174" s="80">
        <v>7.24</v>
      </c>
      <c r="AC174" s="68">
        <f t="shared" si="118"/>
        <v>52.5541936203159</v>
      </c>
      <c r="AD174" s="68">
        <f t="shared" si="115"/>
        <v>477.03616946423</v>
      </c>
      <c r="AE174" s="68">
        <f t="shared" si="119"/>
        <v>82.0365581357696</v>
      </c>
    </row>
    <row r="175" customFormat="1" spans="1:31">
      <c r="A175" s="18"/>
      <c r="B175" s="19"/>
      <c r="C175" s="20">
        <v>240604000008</v>
      </c>
      <c r="D175" s="21">
        <v>45457</v>
      </c>
      <c r="E175" s="21" t="s">
        <v>41</v>
      </c>
      <c r="F175" s="19" t="s">
        <v>42</v>
      </c>
      <c r="G175" s="19" t="s">
        <v>198</v>
      </c>
      <c r="H175" s="19">
        <v>0.63</v>
      </c>
      <c r="I175" s="38">
        <v>73</v>
      </c>
      <c r="J175" s="39"/>
      <c r="K175" s="40"/>
      <c r="L175" s="19"/>
      <c r="M175" s="40"/>
      <c r="N175" s="41"/>
      <c r="O175" s="42">
        <f t="shared" ref="O175:O177" si="125">SUM(I175)</f>
        <v>73</v>
      </c>
      <c r="P175" s="44"/>
      <c r="Q175" s="44"/>
      <c r="R175" s="68">
        <f t="shared" si="122"/>
        <v>29.676277794983</v>
      </c>
      <c r="S175" s="68"/>
      <c r="T175" s="69">
        <f t="shared" si="123"/>
        <v>0.0374605140910499</v>
      </c>
      <c r="U175" s="68"/>
      <c r="V175" s="68"/>
      <c r="W175" s="68">
        <f t="shared" si="117"/>
        <v>29.713738309074</v>
      </c>
      <c r="X175" s="70">
        <f t="shared" si="124"/>
        <v>0.508120656550015</v>
      </c>
      <c r="Y175" s="70"/>
      <c r="Z175" s="70"/>
      <c r="AA175" s="70">
        <f t="shared" si="116"/>
        <v>0.508120656550015</v>
      </c>
      <c r="AB175" s="80">
        <v>7.24</v>
      </c>
      <c r="AC175" s="68">
        <f t="shared" si="118"/>
        <v>3.67879355342211</v>
      </c>
      <c r="AD175" s="68">
        <f t="shared" si="115"/>
        <v>33.3925318624961</v>
      </c>
      <c r="AE175" s="68">
        <f t="shared" si="119"/>
        <v>39.6074681375039</v>
      </c>
    </row>
    <row r="176" customFormat="1" spans="1:31">
      <c r="A176" s="18"/>
      <c r="B176" s="19"/>
      <c r="C176" s="20">
        <v>240604000016</v>
      </c>
      <c r="D176" s="21">
        <v>45457</v>
      </c>
      <c r="E176" s="21" t="s">
        <v>37</v>
      </c>
      <c r="F176" s="19" t="s">
        <v>37</v>
      </c>
      <c r="G176" s="19" t="s">
        <v>202</v>
      </c>
      <c r="H176" s="19">
        <v>259</v>
      </c>
      <c r="I176" s="38">
        <v>14057.5</v>
      </c>
      <c r="J176" s="39"/>
      <c r="K176" s="40"/>
      <c r="L176" s="19"/>
      <c r="M176" s="40"/>
      <c r="N176" s="41"/>
      <c r="O176" s="42">
        <f t="shared" si="125"/>
        <v>14057.5</v>
      </c>
      <c r="P176" s="44"/>
      <c r="Q176" s="44"/>
      <c r="R176" s="68">
        <f t="shared" si="122"/>
        <v>12200.2475379374</v>
      </c>
      <c r="S176" s="68"/>
      <c r="T176" s="69">
        <f t="shared" si="123"/>
        <v>15.4004335707649</v>
      </c>
      <c r="U176" s="68"/>
      <c r="V176" s="68"/>
      <c r="W176" s="68">
        <f t="shared" si="117"/>
        <v>12215.6479715082</v>
      </c>
      <c r="X176" s="70">
        <f t="shared" si="124"/>
        <v>208.894047692784</v>
      </c>
      <c r="Y176" s="70"/>
      <c r="Z176" s="70"/>
      <c r="AA176" s="70">
        <f t="shared" si="116"/>
        <v>208.894047692784</v>
      </c>
      <c r="AB176" s="80">
        <v>7.24</v>
      </c>
      <c r="AC176" s="68">
        <f t="shared" si="118"/>
        <v>1512.39290529576</v>
      </c>
      <c r="AD176" s="68">
        <f t="shared" si="115"/>
        <v>13728.040876804</v>
      </c>
      <c r="AE176" s="68">
        <f t="shared" si="119"/>
        <v>329.459123196035</v>
      </c>
    </row>
    <row r="177" customFormat="1" spans="1:31">
      <c r="A177" s="18"/>
      <c r="B177" s="19"/>
      <c r="C177" s="20">
        <v>240604000018</v>
      </c>
      <c r="D177" s="21">
        <v>45457</v>
      </c>
      <c r="E177" s="21" t="s">
        <v>41</v>
      </c>
      <c r="F177" s="19" t="s">
        <v>42</v>
      </c>
      <c r="G177" s="19" t="s">
        <v>74</v>
      </c>
      <c r="H177" s="19">
        <v>36</v>
      </c>
      <c r="I177" s="38">
        <v>2572.8</v>
      </c>
      <c r="J177" s="39"/>
      <c r="K177" s="40"/>
      <c r="L177" s="19"/>
      <c r="M177" s="40"/>
      <c r="N177" s="41"/>
      <c r="O177" s="42">
        <f t="shared" si="125"/>
        <v>2572.8</v>
      </c>
      <c r="P177" s="44"/>
      <c r="Q177" s="44"/>
      <c r="R177" s="68">
        <f t="shared" si="122"/>
        <v>1695.78730257046</v>
      </c>
      <c r="S177" s="68"/>
      <c r="T177" s="69">
        <f t="shared" si="123"/>
        <v>2.14060080520285</v>
      </c>
      <c r="U177" s="68">
        <v>60</v>
      </c>
      <c r="V177" s="68"/>
      <c r="W177" s="68">
        <f t="shared" si="117"/>
        <v>1757.92790337566</v>
      </c>
      <c r="X177" s="70">
        <f t="shared" si="124"/>
        <v>29.0354660885723</v>
      </c>
      <c r="Y177" s="70"/>
      <c r="Z177" s="70"/>
      <c r="AA177" s="70">
        <f t="shared" si="116"/>
        <v>29.0354660885723</v>
      </c>
      <c r="AB177" s="80">
        <v>7.24</v>
      </c>
      <c r="AC177" s="68">
        <f t="shared" si="118"/>
        <v>210.216774481264</v>
      </c>
      <c r="AD177" s="68">
        <f t="shared" si="115"/>
        <v>1968.14467785692</v>
      </c>
      <c r="AE177" s="68">
        <f t="shared" si="119"/>
        <v>604.655322143078</v>
      </c>
    </row>
    <row r="178" customFormat="1" spans="1:31">
      <c r="A178" s="18"/>
      <c r="B178" s="19"/>
      <c r="C178" s="20">
        <v>240604000025</v>
      </c>
      <c r="D178" s="21">
        <v>45457</v>
      </c>
      <c r="E178" s="21" t="s">
        <v>48</v>
      </c>
      <c r="F178" s="19" t="s">
        <v>49</v>
      </c>
      <c r="G178" s="19" t="s">
        <v>80</v>
      </c>
      <c r="H178" s="19">
        <v>13</v>
      </c>
      <c r="I178" s="45"/>
      <c r="J178" s="46">
        <v>185005</v>
      </c>
      <c r="K178" s="40"/>
      <c r="L178" s="47">
        <f t="shared" si="120"/>
        <v>1643.61229566453</v>
      </c>
      <c r="M178" s="48">
        <v>112.56</v>
      </c>
      <c r="N178" s="41">
        <v>7.24</v>
      </c>
      <c r="O178" s="42">
        <f t="shared" si="121"/>
        <v>814.9344</v>
      </c>
      <c r="P178" s="44"/>
      <c r="Q178" s="44"/>
      <c r="R178" s="68">
        <f t="shared" si="122"/>
        <v>612.367637039331</v>
      </c>
      <c r="S178" s="68"/>
      <c r="T178" s="69">
        <f t="shared" si="123"/>
        <v>0.77299473521214</v>
      </c>
      <c r="U178" s="68">
        <v>40</v>
      </c>
      <c r="V178" s="68"/>
      <c r="W178" s="68">
        <f t="shared" si="117"/>
        <v>653.140631774543</v>
      </c>
      <c r="X178" s="70">
        <f t="shared" si="124"/>
        <v>10.4850294208733</v>
      </c>
      <c r="Y178" s="70"/>
      <c r="Z178" s="70"/>
      <c r="AA178" s="70">
        <f t="shared" si="116"/>
        <v>10.4850294208733</v>
      </c>
      <c r="AB178" s="80">
        <v>7.24</v>
      </c>
      <c r="AC178" s="68">
        <f t="shared" si="118"/>
        <v>75.911613007123</v>
      </c>
      <c r="AD178" s="68">
        <f t="shared" si="115"/>
        <v>729.052244781666</v>
      </c>
      <c r="AE178" s="68">
        <f t="shared" si="119"/>
        <v>85.8821552183339</v>
      </c>
    </row>
    <row r="179" customFormat="1" spans="1:31">
      <c r="A179" s="18"/>
      <c r="B179" s="19"/>
      <c r="C179" s="20">
        <v>240604000028</v>
      </c>
      <c r="D179" s="21">
        <v>45457</v>
      </c>
      <c r="E179" s="21" t="s">
        <v>51</v>
      </c>
      <c r="F179" s="19" t="s">
        <v>52</v>
      </c>
      <c r="G179" s="19" t="s">
        <v>203</v>
      </c>
      <c r="H179" s="19">
        <v>7</v>
      </c>
      <c r="I179" s="38">
        <v>476.3</v>
      </c>
      <c r="J179" s="39"/>
      <c r="K179" s="40"/>
      <c r="L179" s="19"/>
      <c r="M179" s="40"/>
      <c r="N179" s="41"/>
      <c r="O179" s="42">
        <f t="shared" ref="O179:O188" si="126">SUM(I179)</f>
        <v>476.3</v>
      </c>
      <c r="P179" s="44"/>
      <c r="Q179" s="44"/>
      <c r="R179" s="68">
        <f t="shared" si="122"/>
        <v>329.736419944255</v>
      </c>
      <c r="S179" s="68"/>
      <c r="T179" s="69">
        <f t="shared" si="123"/>
        <v>0.416227934344998</v>
      </c>
      <c r="U179" s="68"/>
      <c r="V179" s="68"/>
      <c r="W179" s="68">
        <f t="shared" si="117"/>
        <v>330.1526478786</v>
      </c>
      <c r="X179" s="70">
        <f t="shared" si="124"/>
        <v>5.64578507277795</v>
      </c>
      <c r="Y179" s="70"/>
      <c r="Z179" s="70"/>
      <c r="AA179" s="70">
        <f t="shared" si="116"/>
        <v>5.64578507277795</v>
      </c>
      <c r="AB179" s="80">
        <v>7.24</v>
      </c>
      <c r="AC179" s="68">
        <f t="shared" si="118"/>
        <v>40.8754839269124</v>
      </c>
      <c r="AD179" s="68">
        <f t="shared" si="115"/>
        <v>371.028131805513</v>
      </c>
      <c r="AE179" s="68">
        <f t="shared" si="119"/>
        <v>105.271868194487</v>
      </c>
    </row>
    <row r="180" customFormat="1" spans="1:31">
      <c r="A180" s="18"/>
      <c r="B180" s="19"/>
      <c r="C180" s="20">
        <v>240604000034</v>
      </c>
      <c r="D180" s="21">
        <v>45457</v>
      </c>
      <c r="E180" s="21" t="s">
        <v>41</v>
      </c>
      <c r="F180" s="19" t="s">
        <v>42</v>
      </c>
      <c r="G180" s="19" t="s">
        <v>174</v>
      </c>
      <c r="H180" s="19">
        <v>0.96</v>
      </c>
      <c r="I180" s="42"/>
      <c r="J180" s="46">
        <v>15573</v>
      </c>
      <c r="K180" s="40"/>
      <c r="L180" s="47">
        <f>SUM(J180/M180)</f>
        <v>1506.09298898385</v>
      </c>
      <c r="M180" s="48">
        <v>10.339999</v>
      </c>
      <c r="N180" s="41">
        <v>7.24</v>
      </c>
      <c r="O180" s="42">
        <f>SUM(M180*N180)</f>
        <v>74.86159276</v>
      </c>
      <c r="P180" s="44"/>
      <c r="Q180" s="44"/>
      <c r="R180" s="68">
        <f t="shared" si="122"/>
        <v>45.2209947352121</v>
      </c>
      <c r="S180" s="68"/>
      <c r="T180" s="69">
        <f t="shared" si="123"/>
        <v>0.0570826881387426</v>
      </c>
      <c r="U180" s="68"/>
      <c r="V180" s="68"/>
      <c r="W180" s="68">
        <f t="shared" si="117"/>
        <v>45.2780774233509</v>
      </c>
      <c r="X180" s="70">
        <f t="shared" si="124"/>
        <v>0.774279095695262</v>
      </c>
      <c r="Y180" s="70"/>
      <c r="Z180" s="70"/>
      <c r="AA180" s="70">
        <f t="shared" si="116"/>
        <v>0.774279095695262</v>
      </c>
      <c r="AB180" s="80">
        <v>7.24</v>
      </c>
      <c r="AC180" s="68">
        <f t="shared" si="118"/>
        <v>5.6057806528337</v>
      </c>
      <c r="AD180" s="68">
        <f t="shared" si="115"/>
        <v>50.8838580761846</v>
      </c>
      <c r="AE180" s="68">
        <f t="shared" si="119"/>
        <v>23.9777346838154</v>
      </c>
    </row>
    <row r="181" customFormat="1" spans="1:31">
      <c r="A181" s="18"/>
      <c r="B181" s="19"/>
      <c r="C181" s="20">
        <v>240604000035</v>
      </c>
      <c r="D181" s="21">
        <v>45457</v>
      </c>
      <c r="E181" s="21" t="s">
        <v>51</v>
      </c>
      <c r="F181" s="19" t="s">
        <v>204</v>
      </c>
      <c r="G181" s="19" t="s">
        <v>205</v>
      </c>
      <c r="H181" s="19">
        <v>0.52</v>
      </c>
      <c r="I181" s="38">
        <v>73.7</v>
      </c>
      <c r="J181" s="39"/>
      <c r="K181" s="40"/>
      <c r="L181" s="19"/>
      <c r="M181" s="40"/>
      <c r="N181" s="41"/>
      <c r="O181" s="42">
        <f t="shared" si="126"/>
        <v>73.7</v>
      </c>
      <c r="P181" s="44"/>
      <c r="Q181" s="44"/>
      <c r="R181" s="68">
        <f t="shared" si="122"/>
        <v>24.4947054815732</v>
      </c>
      <c r="S181" s="68"/>
      <c r="T181" s="69">
        <f t="shared" si="123"/>
        <v>0.0309197894084856</v>
      </c>
      <c r="U181" s="68"/>
      <c r="V181" s="68"/>
      <c r="W181" s="68">
        <f t="shared" si="117"/>
        <v>24.5256252709817</v>
      </c>
      <c r="X181" s="70">
        <f t="shared" si="124"/>
        <v>0.419401176834933</v>
      </c>
      <c r="Y181" s="70"/>
      <c r="Z181" s="70"/>
      <c r="AA181" s="70">
        <f t="shared" si="116"/>
        <v>0.419401176834933</v>
      </c>
      <c r="AB181" s="80">
        <v>7.24</v>
      </c>
      <c r="AC181" s="68">
        <f t="shared" si="118"/>
        <v>3.03646452028492</v>
      </c>
      <c r="AD181" s="68">
        <f t="shared" si="115"/>
        <v>27.5620897912667</v>
      </c>
      <c r="AE181" s="68">
        <f t="shared" si="119"/>
        <v>46.1379102087334</v>
      </c>
    </row>
    <row r="182" customFormat="1" spans="1:31">
      <c r="A182" s="18"/>
      <c r="B182" s="19"/>
      <c r="C182" s="20">
        <v>240604000036</v>
      </c>
      <c r="D182" s="21">
        <v>45457</v>
      </c>
      <c r="E182" s="21" t="s">
        <v>85</v>
      </c>
      <c r="F182" s="19" t="s">
        <v>86</v>
      </c>
      <c r="G182" s="19" t="s">
        <v>206</v>
      </c>
      <c r="H182" s="19">
        <v>0.18</v>
      </c>
      <c r="I182" s="38">
        <v>67.1</v>
      </c>
      <c r="J182" s="39"/>
      <c r="K182" s="40"/>
      <c r="L182" s="19"/>
      <c r="M182" s="40"/>
      <c r="N182" s="41"/>
      <c r="O182" s="42">
        <f t="shared" si="126"/>
        <v>67.1</v>
      </c>
      <c r="P182" s="44"/>
      <c r="Q182" s="44"/>
      <c r="R182" s="68">
        <f t="shared" si="122"/>
        <v>8.47893651285228</v>
      </c>
      <c r="S182" s="68"/>
      <c r="T182" s="69">
        <f t="shared" si="123"/>
        <v>0.0107030040260142</v>
      </c>
      <c r="U182" s="68"/>
      <c r="V182" s="68"/>
      <c r="W182" s="68">
        <f t="shared" si="117"/>
        <v>8.48963951687829</v>
      </c>
      <c r="X182" s="70">
        <f t="shared" si="124"/>
        <v>0.145177330442862</v>
      </c>
      <c r="Y182" s="70"/>
      <c r="Z182" s="70"/>
      <c r="AA182" s="70">
        <f t="shared" si="116"/>
        <v>0.145177330442862</v>
      </c>
      <c r="AB182" s="80">
        <v>7.24</v>
      </c>
      <c r="AC182" s="68">
        <f t="shared" si="118"/>
        <v>1.05108387240632</v>
      </c>
      <c r="AD182" s="68">
        <f t="shared" si="115"/>
        <v>9.54072338928461</v>
      </c>
      <c r="AE182" s="68">
        <f t="shared" si="119"/>
        <v>57.5592766107154</v>
      </c>
    </row>
    <row r="183" customFormat="1" spans="1:31">
      <c r="A183" s="18"/>
      <c r="B183" s="19"/>
      <c r="C183" s="20">
        <v>240604000037</v>
      </c>
      <c r="D183" s="21">
        <v>45457</v>
      </c>
      <c r="E183" s="21" t="s">
        <v>37</v>
      </c>
      <c r="F183" s="19" t="s">
        <v>37</v>
      </c>
      <c r="G183" s="19" t="s">
        <v>207</v>
      </c>
      <c r="H183" s="19">
        <v>626</v>
      </c>
      <c r="I183" s="38">
        <v>32552</v>
      </c>
      <c r="J183" s="39"/>
      <c r="K183" s="40"/>
      <c r="L183" s="19"/>
      <c r="M183" s="40"/>
      <c r="N183" s="41"/>
      <c r="O183" s="42">
        <f t="shared" si="126"/>
        <v>32552</v>
      </c>
      <c r="P183" s="44"/>
      <c r="Q183" s="44"/>
      <c r="R183" s="68">
        <f t="shared" si="122"/>
        <v>29487.8569835863</v>
      </c>
      <c r="S183" s="68"/>
      <c r="T183" s="69">
        <f t="shared" si="123"/>
        <v>37.2226695571384</v>
      </c>
      <c r="U183" s="68"/>
      <c r="V183" s="68"/>
      <c r="W183" s="68">
        <f t="shared" si="117"/>
        <v>29525.0796531434</v>
      </c>
      <c r="X183" s="70">
        <f t="shared" si="124"/>
        <v>504.894493651285</v>
      </c>
      <c r="Y183" s="70"/>
      <c r="Z183" s="70"/>
      <c r="AA183" s="70">
        <f t="shared" si="116"/>
        <v>504.894493651285</v>
      </c>
      <c r="AB183" s="80">
        <v>7.24</v>
      </c>
      <c r="AC183" s="68">
        <f t="shared" si="118"/>
        <v>3655.43613403531</v>
      </c>
      <c r="AD183" s="68">
        <f t="shared" si="115"/>
        <v>33180.5157871787</v>
      </c>
      <c r="AE183" s="68">
        <f t="shared" si="119"/>
        <v>-628.515787178694</v>
      </c>
    </row>
    <row r="184" customFormat="1" spans="1:31">
      <c r="A184" s="18"/>
      <c r="B184" s="19"/>
      <c r="C184" s="81">
        <v>240604000038</v>
      </c>
      <c r="D184" s="82">
        <v>45457</v>
      </c>
      <c r="E184" s="21" t="s">
        <v>37</v>
      </c>
      <c r="F184" s="83" t="s">
        <v>38</v>
      </c>
      <c r="G184" s="83" t="s">
        <v>39</v>
      </c>
      <c r="H184" s="83">
        <v>6.5</v>
      </c>
      <c r="I184" s="38">
        <v>442.75</v>
      </c>
      <c r="J184" s="39"/>
      <c r="K184" s="40"/>
      <c r="L184" s="19"/>
      <c r="M184" s="40"/>
      <c r="N184" s="41"/>
      <c r="O184" s="42">
        <f t="shared" si="126"/>
        <v>442.75</v>
      </c>
      <c r="P184" s="44"/>
      <c r="Q184" s="44"/>
      <c r="R184" s="68">
        <f t="shared" si="122"/>
        <v>306.183818519666</v>
      </c>
      <c r="S184" s="68"/>
      <c r="T184" s="69">
        <f t="shared" si="123"/>
        <v>0.38649736760607</v>
      </c>
      <c r="U184" s="68"/>
      <c r="V184" s="68"/>
      <c r="W184" s="68">
        <f t="shared" si="117"/>
        <v>306.570315887272</v>
      </c>
      <c r="X184" s="70">
        <f t="shared" si="124"/>
        <v>5.24251471043667</v>
      </c>
      <c r="Y184" s="70"/>
      <c r="Z184" s="70"/>
      <c r="AA184" s="70">
        <f t="shared" si="116"/>
        <v>5.24251471043667</v>
      </c>
      <c r="AB184" s="80">
        <v>7.24</v>
      </c>
      <c r="AC184" s="68">
        <f t="shared" si="118"/>
        <v>37.9558065035615</v>
      </c>
      <c r="AD184" s="68">
        <f t="shared" si="115"/>
        <v>344.526122390833</v>
      </c>
      <c r="AE184" s="68">
        <f t="shared" si="119"/>
        <v>98.2238776091669</v>
      </c>
    </row>
    <row r="185" customFormat="1" spans="1:31">
      <c r="A185" s="18"/>
      <c r="B185" s="19"/>
      <c r="C185" s="20">
        <v>240605000003</v>
      </c>
      <c r="D185" s="21">
        <v>45457</v>
      </c>
      <c r="E185" s="21" t="s">
        <v>51</v>
      </c>
      <c r="F185" s="19" t="s">
        <v>52</v>
      </c>
      <c r="G185" s="19" t="s">
        <v>208</v>
      </c>
      <c r="H185" s="19">
        <v>10</v>
      </c>
      <c r="I185" s="38">
        <v>611.6</v>
      </c>
      <c r="J185" s="39"/>
      <c r="K185" s="40"/>
      <c r="L185" s="19"/>
      <c r="M185" s="40"/>
      <c r="N185" s="41"/>
      <c r="O185" s="42">
        <f t="shared" si="126"/>
        <v>611.6</v>
      </c>
      <c r="P185" s="44"/>
      <c r="Q185" s="44"/>
      <c r="R185" s="68">
        <f t="shared" si="122"/>
        <v>471.052028491793</v>
      </c>
      <c r="S185" s="68"/>
      <c r="T185" s="69">
        <f t="shared" si="123"/>
        <v>0.594611334778569</v>
      </c>
      <c r="U185" s="68"/>
      <c r="V185" s="68"/>
      <c r="W185" s="68">
        <f t="shared" si="117"/>
        <v>471.646639826572</v>
      </c>
      <c r="X185" s="70">
        <f t="shared" si="124"/>
        <v>8.06540724682564</v>
      </c>
      <c r="Y185" s="70"/>
      <c r="Z185" s="70"/>
      <c r="AA185" s="70">
        <f t="shared" si="116"/>
        <v>8.06540724682564</v>
      </c>
      <c r="AB185" s="80">
        <v>7.24</v>
      </c>
      <c r="AC185" s="68">
        <f t="shared" si="118"/>
        <v>58.3935484670177</v>
      </c>
      <c r="AD185" s="68">
        <f t="shared" si="115"/>
        <v>530.040188293589</v>
      </c>
      <c r="AE185" s="68">
        <f t="shared" si="119"/>
        <v>81.5598117064106</v>
      </c>
    </row>
    <row r="186" customFormat="1" spans="1:31">
      <c r="A186" s="18"/>
      <c r="B186" s="19"/>
      <c r="C186" s="20">
        <v>240605000004</v>
      </c>
      <c r="D186" s="21">
        <v>45457</v>
      </c>
      <c r="E186" s="21" t="s">
        <v>44</v>
      </c>
      <c r="F186" s="19" t="s">
        <v>45</v>
      </c>
      <c r="G186" s="19" t="s">
        <v>209</v>
      </c>
      <c r="H186" s="19">
        <v>0.8</v>
      </c>
      <c r="I186" s="38">
        <v>94</v>
      </c>
      <c r="J186" s="39"/>
      <c r="K186" s="40"/>
      <c r="L186" s="19"/>
      <c r="M186" s="40"/>
      <c r="N186" s="41"/>
      <c r="O186" s="42">
        <f t="shared" si="126"/>
        <v>94</v>
      </c>
      <c r="P186" s="44"/>
      <c r="Q186" s="44"/>
      <c r="R186" s="68">
        <f t="shared" si="122"/>
        <v>37.6841622793435</v>
      </c>
      <c r="S186" s="68"/>
      <c r="T186" s="69">
        <f t="shared" si="123"/>
        <v>0.0475689067822855</v>
      </c>
      <c r="U186" s="68"/>
      <c r="V186" s="68"/>
      <c r="W186" s="68">
        <f t="shared" si="117"/>
        <v>37.7317311861257</v>
      </c>
      <c r="X186" s="70">
        <f t="shared" si="124"/>
        <v>0.645232579746052</v>
      </c>
      <c r="Y186" s="70"/>
      <c r="Z186" s="70"/>
      <c r="AA186" s="70">
        <f t="shared" si="116"/>
        <v>0.645232579746052</v>
      </c>
      <c r="AB186" s="80">
        <v>7.24</v>
      </c>
      <c r="AC186" s="68">
        <f t="shared" si="118"/>
        <v>4.67148387736141</v>
      </c>
      <c r="AD186" s="68">
        <f t="shared" si="115"/>
        <v>42.4032150634872</v>
      </c>
      <c r="AE186" s="68">
        <f t="shared" si="119"/>
        <v>51.5967849365128</v>
      </c>
    </row>
    <row r="187" customFormat="1" spans="1:31">
      <c r="A187" s="18"/>
      <c r="B187" s="19"/>
      <c r="C187" s="20">
        <v>240605000005</v>
      </c>
      <c r="D187" s="21">
        <v>45457</v>
      </c>
      <c r="E187" s="21" t="s">
        <v>136</v>
      </c>
      <c r="F187" s="19" t="s">
        <v>137</v>
      </c>
      <c r="G187" s="19" t="s">
        <v>210</v>
      </c>
      <c r="H187" s="19">
        <v>2</v>
      </c>
      <c r="I187" s="38">
        <v>130.9</v>
      </c>
      <c r="J187" s="39"/>
      <c r="K187" s="40"/>
      <c r="L187" s="19"/>
      <c r="M187" s="40"/>
      <c r="N187" s="41"/>
      <c r="O187" s="42">
        <f t="shared" si="126"/>
        <v>130.9</v>
      </c>
      <c r="P187" s="44"/>
      <c r="Q187" s="44"/>
      <c r="R187" s="68">
        <f t="shared" si="122"/>
        <v>94.2104056983586</v>
      </c>
      <c r="S187" s="68"/>
      <c r="T187" s="69">
        <f t="shared" si="123"/>
        <v>0.118922266955714</v>
      </c>
      <c r="U187" s="68"/>
      <c r="V187" s="68"/>
      <c r="W187" s="68">
        <f t="shared" si="117"/>
        <v>94.3293279653143</v>
      </c>
      <c r="X187" s="70">
        <f t="shared" si="124"/>
        <v>1.61308144936513</v>
      </c>
      <c r="Y187" s="70"/>
      <c r="Z187" s="70"/>
      <c r="AA187" s="70">
        <f t="shared" si="116"/>
        <v>1.61308144936513</v>
      </c>
      <c r="AB187" s="80">
        <v>7.24</v>
      </c>
      <c r="AC187" s="68">
        <f t="shared" si="118"/>
        <v>11.6787096934035</v>
      </c>
      <c r="AD187" s="68">
        <f t="shared" si="115"/>
        <v>106.008037658718</v>
      </c>
      <c r="AE187" s="68">
        <f t="shared" si="119"/>
        <v>24.8919623412821</v>
      </c>
    </row>
    <row r="188" customFormat="1" spans="1:31">
      <c r="A188" s="18"/>
      <c r="B188" s="19"/>
      <c r="C188" s="20">
        <v>240605000020</v>
      </c>
      <c r="D188" s="21">
        <v>45457</v>
      </c>
      <c r="E188" s="21" t="s">
        <v>48</v>
      </c>
      <c r="F188" s="19" t="s">
        <v>49</v>
      </c>
      <c r="G188" s="19" t="s">
        <v>211</v>
      </c>
      <c r="H188" s="19">
        <v>0.71</v>
      </c>
      <c r="I188" s="38">
        <v>67.1</v>
      </c>
      <c r="J188" s="39"/>
      <c r="K188" s="40"/>
      <c r="L188" s="19"/>
      <c r="M188" s="40"/>
      <c r="N188" s="41"/>
      <c r="O188" s="42">
        <f t="shared" si="126"/>
        <v>67.1</v>
      </c>
      <c r="P188" s="44"/>
      <c r="Q188" s="44"/>
      <c r="R188" s="68">
        <f t="shared" si="122"/>
        <v>33.4446940229173</v>
      </c>
      <c r="S188" s="68"/>
      <c r="T188" s="69">
        <f t="shared" si="123"/>
        <v>0.0422174047692784</v>
      </c>
      <c r="U188" s="68"/>
      <c r="V188" s="68"/>
      <c r="W188" s="68">
        <f t="shared" si="117"/>
        <v>33.4869114276866</v>
      </c>
      <c r="X188" s="70">
        <f t="shared" si="124"/>
        <v>0.572643914524621</v>
      </c>
      <c r="Y188" s="70"/>
      <c r="Z188" s="70"/>
      <c r="AA188" s="70">
        <f t="shared" si="116"/>
        <v>0.572643914524621</v>
      </c>
      <c r="AB188" s="80">
        <v>7.24</v>
      </c>
      <c r="AC188" s="68">
        <f t="shared" si="118"/>
        <v>4.14594194115825</v>
      </c>
      <c r="AD188" s="68">
        <f t="shared" si="115"/>
        <v>37.6328533688448</v>
      </c>
      <c r="AE188" s="68">
        <f t="shared" si="119"/>
        <v>29.4671466311552</v>
      </c>
    </row>
    <row r="189" customFormat="1" spans="1:31">
      <c r="A189" s="18"/>
      <c r="B189" s="19"/>
      <c r="C189" s="20">
        <v>240605000022</v>
      </c>
      <c r="D189" s="21">
        <v>45457</v>
      </c>
      <c r="E189" s="21" t="s">
        <v>48</v>
      </c>
      <c r="F189" s="19" t="s">
        <v>49</v>
      </c>
      <c r="G189" s="19" t="s">
        <v>80</v>
      </c>
      <c r="H189" s="19">
        <v>9</v>
      </c>
      <c r="I189" s="45"/>
      <c r="J189" s="46">
        <v>135746</v>
      </c>
      <c r="K189" s="40"/>
      <c r="L189" s="47">
        <f>SUM(J189/M189)</f>
        <v>1643.61302821165</v>
      </c>
      <c r="M189" s="48">
        <v>82.59</v>
      </c>
      <c r="N189" s="41">
        <v>7.24</v>
      </c>
      <c r="O189" s="42">
        <f>SUM(M189*N189)</f>
        <v>597.9516</v>
      </c>
      <c r="P189" s="44"/>
      <c r="Q189" s="44"/>
      <c r="R189" s="68">
        <f t="shared" si="122"/>
        <v>423.946825642614</v>
      </c>
      <c r="S189" s="68"/>
      <c r="T189" s="69">
        <f t="shared" si="123"/>
        <v>0.535150201300712</v>
      </c>
      <c r="U189" s="68">
        <v>40</v>
      </c>
      <c r="V189" s="68"/>
      <c r="W189" s="68">
        <f t="shared" si="117"/>
        <v>464.481975843915</v>
      </c>
      <c r="X189" s="70">
        <f t="shared" si="124"/>
        <v>7.25886652214308</v>
      </c>
      <c r="Y189" s="70"/>
      <c r="Z189" s="70"/>
      <c r="AA189" s="70">
        <f t="shared" si="116"/>
        <v>7.25886652214308</v>
      </c>
      <c r="AB189" s="80">
        <v>7.24</v>
      </c>
      <c r="AC189" s="68">
        <f t="shared" si="118"/>
        <v>52.5541936203159</v>
      </c>
      <c r="AD189" s="68">
        <f t="shared" si="115"/>
        <v>517.03616946423</v>
      </c>
      <c r="AE189" s="68">
        <f t="shared" si="119"/>
        <v>80.9154305357696</v>
      </c>
    </row>
    <row r="190" customFormat="1" spans="1:31">
      <c r="A190" s="18"/>
      <c r="B190" s="19"/>
      <c r="C190" s="20">
        <v>240605000023</v>
      </c>
      <c r="D190" s="21">
        <v>45457</v>
      </c>
      <c r="E190" s="21" t="s">
        <v>48</v>
      </c>
      <c r="F190" s="19" t="s">
        <v>49</v>
      </c>
      <c r="G190" s="19" t="s">
        <v>212</v>
      </c>
      <c r="H190" s="19">
        <v>4</v>
      </c>
      <c r="I190" s="38">
        <v>258.5</v>
      </c>
      <c r="J190" s="39"/>
      <c r="K190" s="40"/>
      <c r="L190" s="19"/>
      <c r="M190" s="40"/>
      <c r="N190" s="41"/>
      <c r="O190" s="42">
        <f t="shared" ref="O190:O194" si="127">SUM(I190)</f>
        <v>258.5</v>
      </c>
      <c r="P190" s="44"/>
      <c r="Q190" s="44"/>
      <c r="R190" s="68">
        <f t="shared" si="122"/>
        <v>188.420811396717</v>
      </c>
      <c r="S190" s="68"/>
      <c r="T190" s="69">
        <f t="shared" si="123"/>
        <v>0.237844533911428</v>
      </c>
      <c r="U190" s="68"/>
      <c r="V190" s="68"/>
      <c r="W190" s="68">
        <f t="shared" si="117"/>
        <v>188.658655930629</v>
      </c>
      <c r="X190" s="70">
        <f t="shared" si="124"/>
        <v>3.22616289873026</v>
      </c>
      <c r="Y190" s="70"/>
      <c r="Z190" s="70"/>
      <c r="AA190" s="70">
        <f t="shared" si="116"/>
        <v>3.22616289873026</v>
      </c>
      <c r="AB190" s="80">
        <v>7.24</v>
      </c>
      <c r="AC190" s="68">
        <f t="shared" si="118"/>
        <v>23.3574193868071</v>
      </c>
      <c r="AD190" s="68">
        <f t="shared" si="115"/>
        <v>212.016075317436</v>
      </c>
      <c r="AE190" s="68">
        <f t="shared" si="119"/>
        <v>46.483924682564</v>
      </c>
    </row>
    <row r="191" customFormat="1" spans="1:31">
      <c r="A191" s="18"/>
      <c r="B191" s="19"/>
      <c r="C191" s="20">
        <v>240605000035</v>
      </c>
      <c r="D191" s="21">
        <v>45457</v>
      </c>
      <c r="E191" s="21" t="s">
        <v>48</v>
      </c>
      <c r="F191" s="19" t="s">
        <v>49</v>
      </c>
      <c r="G191" s="19" t="s">
        <v>124</v>
      </c>
      <c r="H191" s="19">
        <v>57</v>
      </c>
      <c r="I191" s="38">
        <v>3591</v>
      </c>
      <c r="J191" s="39"/>
      <c r="K191" s="40"/>
      <c r="L191" s="19"/>
      <c r="M191" s="40"/>
      <c r="N191" s="41"/>
      <c r="O191" s="42">
        <f t="shared" si="127"/>
        <v>3591</v>
      </c>
      <c r="P191" s="44"/>
      <c r="Q191" s="44"/>
      <c r="R191" s="68">
        <f t="shared" si="122"/>
        <v>2684.99656240322</v>
      </c>
      <c r="S191" s="68"/>
      <c r="T191" s="69">
        <f t="shared" si="123"/>
        <v>3.38928460823784</v>
      </c>
      <c r="U191" s="68"/>
      <c r="V191" s="68"/>
      <c r="W191" s="68">
        <f t="shared" si="117"/>
        <v>2688.38584701146</v>
      </c>
      <c r="X191" s="70">
        <f t="shared" si="124"/>
        <v>45.9728213069062</v>
      </c>
      <c r="Y191" s="70"/>
      <c r="Z191" s="70"/>
      <c r="AA191" s="70">
        <f t="shared" si="116"/>
        <v>45.9728213069062</v>
      </c>
      <c r="AB191" s="80">
        <v>7.24</v>
      </c>
      <c r="AC191" s="68">
        <f t="shared" si="118"/>
        <v>332.843226262001</v>
      </c>
      <c r="AD191" s="68">
        <f t="shared" si="115"/>
        <v>3021.22907327346</v>
      </c>
      <c r="AE191" s="68">
        <f t="shared" si="119"/>
        <v>569.77092672654</v>
      </c>
    </row>
    <row r="192" customFormat="1" spans="1:31">
      <c r="A192" s="18"/>
      <c r="B192" s="19"/>
      <c r="C192" s="20">
        <v>240605000042</v>
      </c>
      <c r="D192" s="21">
        <v>45457</v>
      </c>
      <c r="E192" s="21" t="s">
        <v>48</v>
      </c>
      <c r="F192" s="19" t="s">
        <v>49</v>
      </c>
      <c r="G192" s="19" t="s">
        <v>153</v>
      </c>
      <c r="H192" s="19">
        <v>0.58</v>
      </c>
      <c r="I192" s="38">
        <v>58</v>
      </c>
      <c r="J192" s="39"/>
      <c r="K192" s="40"/>
      <c r="L192" s="19"/>
      <c r="M192" s="40"/>
      <c r="N192" s="41"/>
      <c r="O192" s="42">
        <f t="shared" si="127"/>
        <v>58</v>
      </c>
      <c r="P192" s="44"/>
      <c r="Q192" s="44"/>
      <c r="R192" s="68">
        <f t="shared" si="122"/>
        <v>27.321017652524</v>
      </c>
      <c r="S192" s="68"/>
      <c r="T192" s="69">
        <f t="shared" si="123"/>
        <v>0.034487457417157</v>
      </c>
      <c r="U192" s="68"/>
      <c r="V192" s="68"/>
      <c r="W192" s="68">
        <f t="shared" si="117"/>
        <v>27.3555051099412</v>
      </c>
      <c r="X192" s="70">
        <f t="shared" si="124"/>
        <v>0.467793620315887</v>
      </c>
      <c r="Y192" s="70"/>
      <c r="Z192" s="70"/>
      <c r="AA192" s="70">
        <f t="shared" si="116"/>
        <v>0.467793620315887</v>
      </c>
      <c r="AB192" s="80">
        <v>7.24</v>
      </c>
      <c r="AC192" s="68">
        <f t="shared" si="118"/>
        <v>3.38682581108702</v>
      </c>
      <c r="AD192" s="68">
        <f t="shared" si="115"/>
        <v>30.7423309210282</v>
      </c>
      <c r="AE192" s="68">
        <f t="shared" si="119"/>
        <v>27.2576690789718</v>
      </c>
    </row>
    <row r="193" customFormat="1" spans="1:31">
      <c r="A193" s="18"/>
      <c r="B193" s="19"/>
      <c r="C193" s="20">
        <v>240605000043</v>
      </c>
      <c r="D193" s="21">
        <v>45457</v>
      </c>
      <c r="E193" s="21" t="s">
        <v>44</v>
      </c>
      <c r="F193" s="19" t="s">
        <v>213</v>
      </c>
      <c r="G193" s="19" t="s">
        <v>214</v>
      </c>
      <c r="H193" s="19">
        <v>2</v>
      </c>
      <c r="I193" s="38">
        <v>130.9</v>
      </c>
      <c r="J193" s="39"/>
      <c r="K193" s="40"/>
      <c r="L193" s="19"/>
      <c r="M193" s="40"/>
      <c r="N193" s="41"/>
      <c r="O193" s="42">
        <f t="shared" si="127"/>
        <v>130.9</v>
      </c>
      <c r="P193" s="44"/>
      <c r="Q193" s="44"/>
      <c r="R193" s="68">
        <f t="shared" si="122"/>
        <v>94.2104056983586</v>
      </c>
      <c r="S193" s="68"/>
      <c r="T193" s="69">
        <f t="shared" si="123"/>
        <v>0.118922266955714</v>
      </c>
      <c r="U193" s="68"/>
      <c r="V193" s="68"/>
      <c r="W193" s="68">
        <f t="shared" si="117"/>
        <v>94.3293279653143</v>
      </c>
      <c r="X193" s="70">
        <f t="shared" si="124"/>
        <v>1.61308144936513</v>
      </c>
      <c r="Y193" s="70"/>
      <c r="Z193" s="70"/>
      <c r="AA193" s="70">
        <f t="shared" si="116"/>
        <v>1.61308144936513</v>
      </c>
      <c r="AB193" s="80">
        <v>7.24</v>
      </c>
      <c r="AC193" s="68">
        <f t="shared" si="118"/>
        <v>11.6787096934035</v>
      </c>
      <c r="AD193" s="68">
        <f t="shared" si="115"/>
        <v>106.008037658718</v>
      </c>
      <c r="AE193" s="68">
        <f t="shared" si="119"/>
        <v>24.891962341282</v>
      </c>
    </row>
    <row r="194" customFormat="1" spans="1:31">
      <c r="A194" s="18"/>
      <c r="B194" s="19"/>
      <c r="C194" s="20">
        <v>240606000020</v>
      </c>
      <c r="D194" s="21">
        <v>45457</v>
      </c>
      <c r="E194" s="21" t="s">
        <v>44</v>
      </c>
      <c r="F194" s="19" t="s">
        <v>45</v>
      </c>
      <c r="G194" s="19" t="s">
        <v>215</v>
      </c>
      <c r="H194" s="19">
        <v>15</v>
      </c>
      <c r="I194" s="38">
        <v>1857</v>
      </c>
      <c r="J194" s="39"/>
      <c r="K194" s="40"/>
      <c r="L194" s="19"/>
      <c r="M194" s="40"/>
      <c r="N194" s="41"/>
      <c r="O194" s="42">
        <f t="shared" si="127"/>
        <v>1857</v>
      </c>
      <c r="P194" s="44"/>
      <c r="Q194" s="44"/>
      <c r="R194" s="68">
        <f t="shared" si="122"/>
        <v>706.57804273769</v>
      </c>
      <c r="S194" s="68"/>
      <c r="T194" s="69">
        <f t="shared" si="123"/>
        <v>0.891917002167854</v>
      </c>
      <c r="U194" s="68"/>
      <c r="V194" s="68"/>
      <c r="W194" s="68">
        <f t="shared" si="117"/>
        <v>707.469959739857</v>
      </c>
      <c r="X194" s="70">
        <f t="shared" si="124"/>
        <v>12.0981108702385</v>
      </c>
      <c r="Y194" s="70"/>
      <c r="Z194" s="70"/>
      <c r="AA194" s="70">
        <f t="shared" si="116"/>
        <v>12.0981108702385</v>
      </c>
      <c r="AB194" s="80">
        <v>7.24</v>
      </c>
      <c r="AC194" s="68">
        <f t="shared" si="118"/>
        <v>87.5903227005265</v>
      </c>
      <c r="AD194" s="68">
        <f t="shared" si="115"/>
        <v>795.060282440384</v>
      </c>
      <c r="AE194" s="68">
        <f t="shared" si="119"/>
        <v>1061.93971755962</v>
      </c>
    </row>
    <row r="195" customFormat="1" spans="1:31">
      <c r="A195" s="18"/>
      <c r="B195" s="19"/>
      <c r="C195" s="20">
        <v>240607000001</v>
      </c>
      <c r="D195" s="21">
        <v>45457</v>
      </c>
      <c r="E195" s="21" t="s">
        <v>66</v>
      </c>
      <c r="F195" s="19" t="s">
        <v>100</v>
      </c>
      <c r="G195" s="19" t="s">
        <v>216</v>
      </c>
      <c r="H195" s="19">
        <v>40.5</v>
      </c>
      <c r="I195" s="42"/>
      <c r="J195" s="46">
        <v>651480.54</v>
      </c>
      <c r="K195" s="40"/>
      <c r="L195" s="47">
        <f t="shared" ref="L195:L198" si="128">SUM(J195/M195)</f>
        <v>1506</v>
      </c>
      <c r="M195" s="48">
        <v>432.59</v>
      </c>
      <c r="N195" s="41">
        <v>7.24</v>
      </c>
      <c r="O195" s="42">
        <f t="shared" ref="O195:O198" si="129">SUM(M195*N195)</f>
        <v>3131.9516</v>
      </c>
      <c r="P195" s="44"/>
      <c r="Q195" s="44"/>
      <c r="R195" s="68">
        <f t="shared" si="122"/>
        <v>1907.76071539176</v>
      </c>
      <c r="S195" s="68"/>
      <c r="T195" s="69">
        <f t="shared" si="123"/>
        <v>2.40817590585321</v>
      </c>
      <c r="U195" s="68"/>
      <c r="V195" s="68"/>
      <c r="W195" s="68">
        <f t="shared" si="117"/>
        <v>1910.16889129762</v>
      </c>
      <c r="X195" s="70">
        <f t="shared" si="124"/>
        <v>32.6648993496439</v>
      </c>
      <c r="Y195" s="70"/>
      <c r="Z195" s="70"/>
      <c r="AA195" s="70">
        <f t="shared" si="116"/>
        <v>32.6648993496439</v>
      </c>
      <c r="AB195" s="80">
        <v>7.24</v>
      </c>
      <c r="AC195" s="68">
        <f t="shared" si="118"/>
        <v>236.493871291421</v>
      </c>
      <c r="AD195" s="68">
        <f t="shared" si="115"/>
        <v>2146.66276258904</v>
      </c>
      <c r="AE195" s="68">
        <f t="shared" si="119"/>
        <v>985.288837410963</v>
      </c>
    </row>
    <row r="196" customFormat="1" spans="1:31">
      <c r="A196" s="18"/>
      <c r="B196" s="19"/>
      <c r="C196" s="20">
        <v>240607000007</v>
      </c>
      <c r="D196" s="21">
        <v>45457</v>
      </c>
      <c r="E196" s="21" t="s">
        <v>48</v>
      </c>
      <c r="F196" s="19" t="s">
        <v>49</v>
      </c>
      <c r="G196" s="19" t="s">
        <v>217</v>
      </c>
      <c r="H196" s="19">
        <v>0.98</v>
      </c>
      <c r="I196" s="38">
        <v>96.6</v>
      </c>
      <c r="J196" s="39"/>
      <c r="K196" s="40"/>
      <c r="L196" s="19"/>
      <c r="M196" s="40"/>
      <c r="N196" s="41"/>
      <c r="O196" s="42">
        <f>SUM(I196)</f>
        <v>96.6</v>
      </c>
      <c r="P196" s="44"/>
      <c r="Q196" s="44"/>
      <c r="R196" s="68">
        <f t="shared" si="122"/>
        <v>46.1630987921957</v>
      </c>
      <c r="S196" s="68"/>
      <c r="T196" s="69">
        <f t="shared" si="123"/>
        <v>0.0582719108082998</v>
      </c>
      <c r="U196" s="68"/>
      <c r="V196" s="68"/>
      <c r="W196" s="68">
        <f t="shared" si="117"/>
        <v>46.221370703004</v>
      </c>
      <c r="X196" s="70">
        <f t="shared" si="124"/>
        <v>0.790409910188913</v>
      </c>
      <c r="Y196" s="70"/>
      <c r="Z196" s="70"/>
      <c r="AA196" s="70">
        <f t="shared" si="116"/>
        <v>0.790409910188913</v>
      </c>
      <c r="AB196" s="80">
        <v>7.24</v>
      </c>
      <c r="AC196" s="68">
        <f t="shared" si="118"/>
        <v>5.72256774976773</v>
      </c>
      <c r="AD196" s="68">
        <f t="shared" si="115"/>
        <v>51.9439384527718</v>
      </c>
      <c r="AE196" s="68">
        <f t="shared" si="119"/>
        <v>44.6560615472282</v>
      </c>
    </row>
    <row r="197" customFormat="1" spans="1:31">
      <c r="A197" s="18"/>
      <c r="B197" s="19"/>
      <c r="C197" s="20">
        <v>240607000008</v>
      </c>
      <c r="D197" s="21">
        <v>45457</v>
      </c>
      <c r="E197" s="21" t="s">
        <v>48</v>
      </c>
      <c r="F197" s="19" t="s">
        <v>49</v>
      </c>
      <c r="G197" s="19" t="s">
        <v>175</v>
      </c>
      <c r="H197" s="19">
        <v>2.5</v>
      </c>
      <c r="I197" s="45"/>
      <c r="J197" s="46">
        <v>38253</v>
      </c>
      <c r="K197" s="40"/>
      <c r="L197" s="47">
        <f t="shared" si="128"/>
        <v>1498.94200626959</v>
      </c>
      <c r="M197" s="48">
        <v>25.52</v>
      </c>
      <c r="N197" s="41">
        <v>7.24</v>
      </c>
      <c r="O197" s="42">
        <f t="shared" si="129"/>
        <v>184.7648</v>
      </c>
      <c r="P197" s="44"/>
      <c r="Q197" s="44"/>
      <c r="R197" s="68">
        <f t="shared" si="122"/>
        <v>117.763007122948</v>
      </c>
      <c r="S197" s="68"/>
      <c r="T197" s="69">
        <f t="shared" si="123"/>
        <v>0.148652833694642</v>
      </c>
      <c r="U197" s="68"/>
      <c r="V197" s="68"/>
      <c r="W197" s="68">
        <f t="shared" si="117"/>
        <v>117.911659956643</v>
      </c>
      <c r="X197" s="70">
        <f t="shared" si="124"/>
        <v>2.01635181170641</v>
      </c>
      <c r="Y197" s="70"/>
      <c r="Z197" s="70"/>
      <c r="AA197" s="70">
        <f t="shared" si="116"/>
        <v>2.01635181170641</v>
      </c>
      <c r="AB197" s="80">
        <v>7.24</v>
      </c>
      <c r="AC197" s="68">
        <f t="shared" si="118"/>
        <v>14.5983871167544</v>
      </c>
      <c r="AD197" s="68">
        <f t="shared" si="115"/>
        <v>132.510047073397</v>
      </c>
      <c r="AE197" s="68">
        <f t="shared" si="119"/>
        <v>52.2547529266027</v>
      </c>
    </row>
    <row r="198" customFormat="1" spans="1:31">
      <c r="A198" s="18"/>
      <c r="B198" s="19"/>
      <c r="C198" s="20">
        <v>240607000012</v>
      </c>
      <c r="D198" s="21">
        <v>45457</v>
      </c>
      <c r="E198" s="21" t="s">
        <v>51</v>
      </c>
      <c r="F198" s="19" t="s">
        <v>52</v>
      </c>
      <c r="G198" s="19" t="s">
        <v>218</v>
      </c>
      <c r="H198" s="19">
        <v>8.5</v>
      </c>
      <c r="I198" s="45"/>
      <c r="J198" s="46">
        <v>111690</v>
      </c>
      <c r="K198" s="40"/>
      <c r="L198" s="47">
        <f t="shared" si="128"/>
        <v>1498.7922705314</v>
      </c>
      <c r="M198" s="48">
        <v>74.52</v>
      </c>
      <c r="N198" s="41">
        <v>7.24</v>
      </c>
      <c r="O198" s="42">
        <f t="shared" si="129"/>
        <v>539.5248</v>
      </c>
      <c r="P198" s="44"/>
      <c r="Q198" s="44"/>
      <c r="R198" s="68">
        <f t="shared" si="122"/>
        <v>400.394224218024</v>
      </c>
      <c r="S198" s="68"/>
      <c r="T198" s="69">
        <f t="shared" si="123"/>
        <v>0.505419634561784</v>
      </c>
      <c r="U198" s="68"/>
      <c r="V198" s="68"/>
      <c r="W198" s="68">
        <f t="shared" si="117"/>
        <v>400.899643852586</v>
      </c>
      <c r="X198" s="70">
        <f t="shared" si="124"/>
        <v>6.8555961598018</v>
      </c>
      <c r="Y198" s="70"/>
      <c r="Z198" s="70"/>
      <c r="AA198" s="70">
        <f t="shared" si="116"/>
        <v>6.8555961598018</v>
      </c>
      <c r="AB198" s="80">
        <v>7.24</v>
      </c>
      <c r="AC198" s="68">
        <f t="shared" si="118"/>
        <v>49.634516196965</v>
      </c>
      <c r="AD198" s="68">
        <f t="shared" si="115"/>
        <v>450.534160049551</v>
      </c>
      <c r="AE198" s="68">
        <f t="shared" si="119"/>
        <v>88.990639950449</v>
      </c>
    </row>
    <row r="199" customFormat="1" spans="1:31">
      <c r="A199" s="18"/>
      <c r="B199" s="19"/>
      <c r="C199" s="20">
        <v>240607000017</v>
      </c>
      <c r="D199" s="21">
        <v>45457</v>
      </c>
      <c r="E199" s="21" t="s">
        <v>44</v>
      </c>
      <c r="F199" s="19" t="s">
        <v>45</v>
      </c>
      <c r="G199" s="19" t="s">
        <v>219</v>
      </c>
      <c r="H199" s="19">
        <v>1.5</v>
      </c>
      <c r="I199" s="38">
        <v>112</v>
      </c>
      <c r="J199" s="39"/>
      <c r="K199" s="40"/>
      <c r="L199" s="19"/>
      <c r="M199" s="40"/>
      <c r="N199" s="41"/>
      <c r="O199" s="42">
        <f t="shared" ref="O199:O204" si="130">SUM(I199)</f>
        <v>112</v>
      </c>
      <c r="P199" s="44"/>
      <c r="Q199" s="44"/>
      <c r="R199" s="68">
        <f t="shared" si="122"/>
        <v>70.657804273769</v>
      </c>
      <c r="S199" s="68"/>
      <c r="T199" s="69">
        <f t="shared" si="123"/>
        <v>0.0891917002167854</v>
      </c>
      <c r="U199" s="68"/>
      <c r="V199" s="68"/>
      <c r="W199" s="68">
        <f t="shared" si="117"/>
        <v>70.7469959739858</v>
      </c>
      <c r="X199" s="70">
        <f t="shared" si="124"/>
        <v>1.20981108702385</v>
      </c>
      <c r="Y199" s="70"/>
      <c r="Z199" s="70"/>
      <c r="AA199" s="70">
        <f t="shared" si="116"/>
        <v>1.20981108702385</v>
      </c>
      <c r="AB199" s="80">
        <v>7.24</v>
      </c>
      <c r="AC199" s="68">
        <f t="shared" si="118"/>
        <v>8.75903227005265</v>
      </c>
      <c r="AD199" s="68">
        <f t="shared" si="115"/>
        <v>79.5060282440384</v>
      </c>
      <c r="AE199" s="68">
        <f t="shared" si="119"/>
        <v>32.4939717559616</v>
      </c>
    </row>
    <row r="200" customFormat="1" spans="1:31">
      <c r="A200" s="18"/>
      <c r="B200" s="19"/>
      <c r="C200" s="20">
        <v>240607000020</v>
      </c>
      <c r="D200" s="21">
        <v>45457</v>
      </c>
      <c r="E200" s="21" t="s">
        <v>44</v>
      </c>
      <c r="F200" s="19" t="s">
        <v>45</v>
      </c>
      <c r="G200" s="19" t="s">
        <v>220</v>
      </c>
      <c r="H200" s="19">
        <v>0.62</v>
      </c>
      <c r="I200" s="42"/>
      <c r="J200" s="46">
        <v>14578</v>
      </c>
      <c r="K200" s="40"/>
      <c r="L200" s="47">
        <f t="shared" ref="L200:L205" si="131">SUM(J200/M200)</f>
        <v>1505.99173553719</v>
      </c>
      <c r="M200" s="48">
        <v>9.68</v>
      </c>
      <c r="N200" s="41">
        <v>7.24</v>
      </c>
      <c r="O200" s="42">
        <f t="shared" ref="O200:O203" si="132">SUM(M200*N200)</f>
        <v>70.0832</v>
      </c>
      <c r="P200" s="44"/>
      <c r="Q200" s="44"/>
      <c r="R200" s="68">
        <f t="shared" si="122"/>
        <v>29.2052257664912</v>
      </c>
      <c r="S200" s="68"/>
      <c r="T200" s="69">
        <f t="shared" si="123"/>
        <v>0.0368659027562713</v>
      </c>
      <c r="U200" s="68"/>
      <c r="V200" s="68"/>
      <c r="W200" s="68">
        <f t="shared" si="117"/>
        <v>29.2420916692474</v>
      </c>
      <c r="X200" s="70">
        <f t="shared" si="124"/>
        <v>0.50005524930319</v>
      </c>
      <c r="Y200" s="70"/>
      <c r="Z200" s="70"/>
      <c r="AA200" s="70">
        <f t="shared" si="116"/>
        <v>0.50005524930319</v>
      </c>
      <c r="AB200" s="80">
        <v>7.24</v>
      </c>
      <c r="AC200" s="68">
        <f t="shared" si="118"/>
        <v>3.62040000495509</v>
      </c>
      <c r="AD200" s="68">
        <f t="shared" si="115"/>
        <v>32.8624916742025</v>
      </c>
      <c r="AE200" s="68">
        <f t="shared" si="119"/>
        <v>37.2207083257975</v>
      </c>
    </row>
    <row r="201" customFormat="1" spans="1:31">
      <c r="A201" s="18"/>
      <c r="B201" s="19"/>
      <c r="C201" s="20">
        <v>240607000023</v>
      </c>
      <c r="D201" s="21">
        <v>45457</v>
      </c>
      <c r="E201" s="21" t="s">
        <v>44</v>
      </c>
      <c r="F201" s="19" t="s">
        <v>45</v>
      </c>
      <c r="G201" s="19" t="s">
        <v>221</v>
      </c>
      <c r="H201" s="19">
        <v>16</v>
      </c>
      <c r="I201" s="42"/>
      <c r="J201" s="39"/>
      <c r="K201" s="48">
        <v>134.4</v>
      </c>
      <c r="L201" s="19"/>
      <c r="M201" s="48">
        <v>134.40001</v>
      </c>
      <c r="N201" s="41">
        <v>7.24</v>
      </c>
      <c r="O201" s="42">
        <f t="shared" si="132"/>
        <v>973.0560724</v>
      </c>
      <c r="P201" s="44"/>
      <c r="Q201" s="44"/>
      <c r="R201" s="68">
        <f t="shared" si="122"/>
        <v>753.683245586869</v>
      </c>
      <c r="S201" s="68"/>
      <c r="T201" s="69">
        <f t="shared" si="123"/>
        <v>0.951378135645711</v>
      </c>
      <c r="U201" s="68"/>
      <c r="V201" s="68"/>
      <c r="W201" s="68">
        <f t="shared" si="117"/>
        <v>754.634623722515</v>
      </c>
      <c r="X201" s="70">
        <f t="shared" si="124"/>
        <v>12.904651594921</v>
      </c>
      <c r="Y201" s="70"/>
      <c r="Z201" s="70"/>
      <c r="AA201" s="70">
        <f t="shared" si="116"/>
        <v>12.904651594921</v>
      </c>
      <c r="AB201" s="80">
        <v>7.24</v>
      </c>
      <c r="AC201" s="68">
        <f t="shared" si="118"/>
        <v>93.4296775472283</v>
      </c>
      <c r="AD201" s="68">
        <f t="shared" si="115"/>
        <v>848.064301269743</v>
      </c>
      <c r="AE201" s="68">
        <f t="shared" si="119"/>
        <v>124.991771130257</v>
      </c>
    </row>
    <row r="202" customFormat="1" spans="1:31">
      <c r="A202" s="18"/>
      <c r="B202" s="19"/>
      <c r="C202" s="20">
        <v>240607000024</v>
      </c>
      <c r="D202" s="21">
        <v>45457</v>
      </c>
      <c r="E202" s="21" t="s">
        <v>37</v>
      </c>
      <c r="F202" s="19" t="s">
        <v>37</v>
      </c>
      <c r="G202" s="19" t="s">
        <v>202</v>
      </c>
      <c r="H202" s="19">
        <v>785</v>
      </c>
      <c r="I202" s="38">
        <v>42322.6</v>
      </c>
      <c r="J202" s="39"/>
      <c r="K202" s="40"/>
      <c r="L202" s="19"/>
      <c r="M202" s="40"/>
      <c r="N202" s="41"/>
      <c r="O202" s="42">
        <f t="shared" si="130"/>
        <v>42322.6</v>
      </c>
      <c r="P202" s="44"/>
      <c r="Q202" s="44"/>
      <c r="R202" s="68">
        <f t="shared" si="122"/>
        <v>36977.5842366058</v>
      </c>
      <c r="S202" s="68"/>
      <c r="T202" s="69">
        <f t="shared" si="123"/>
        <v>46.6769897801177</v>
      </c>
      <c r="U202" s="68"/>
      <c r="V202" s="68"/>
      <c r="W202" s="68">
        <f t="shared" si="117"/>
        <v>37024.2612263859</v>
      </c>
      <c r="X202" s="70">
        <f t="shared" si="124"/>
        <v>633.134468875813</v>
      </c>
      <c r="Y202" s="70"/>
      <c r="Z202" s="70"/>
      <c r="AA202" s="70">
        <f t="shared" si="116"/>
        <v>633.134468875813</v>
      </c>
      <c r="AB202" s="80">
        <v>7.24</v>
      </c>
      <c r="AC202" s="68">
        <f t="shared" si="118"/>
        <v>4583.89355466089</v>
      </c>
      <c r="AD202" s="68">
        <f t="shared" si="115"/>
        <v>41608.1547810468</v>
      </c>
      <c r="AE202" s="68">
        <f t="shared" si="119"/>
        <v>714.445218953231</v>
      </c>
    </row>
    <row r="203" customFormat="1" spans="1:31">
      <c r="A203" s="18"/>
      <c r="B203" s="19"/>
      <c r="C203" s="20">
        <v>240607000032</v>
      </c>
      <c r="D203" s="21">
        <v>45457</v>
      </c>
      <c r="E203" s="21" t="s">
        <v>41</v>
      </c>
      <c r="F203" s="19" t="s">
        <v>158</v>
      </c>
      <c r="G203" s="19" t="s">
        <v>159</v>
      </c>
      <c r="H203" s="19">
        <v>31.5</v>
      </c>
      <c r="I203" s="42"/>
      <c r="J203" s="46">
        <v>619184.48</v>
      </c>
      <c r="K203" s="40"/>
      <c r="L203" s="47">
        <f t="shared" si="131"/>
        <v>1502</v>
      </c>
      <c r="M203" s="48">
        <v>412.24</v>
      </c>
      <c r="N203" s="41">
        <v>7.24</v>
      </c>
      <c r="O203" s="42">
        <f t="shared" si="132"/>
        <v>2984.6176</v>
      </c>
      <c r="P203" s="44"/>
      <c r="Q203" s="44"/>
      <c r="R203" s="68">
        <f t="shared" si="122"/>
        <v>1483.81388974915</v>
      </c>
      <c r="S203" s="68"/>
      <c r="T203" s="69">
        <f t="shared" si="123"/>
        <v>1.87302570455249</v>
      </c>
      <c r="U203" s="69">
        <v>149</v>
      </c>
      <c r="V203" s="68"/>
      <c r="W203" s="68">
        <f t="shared" si="117"/>
        <v>1634.6869154537</v>
      </c>
      <c r="X203" s="70">
        <f t="shared" si="124"/>
        <v>25.4060328275008</v>
      </c>
      <c r="Y203" s="70"/>
      <c r="Z203" s="70"/>
      <c r="AA203" s="70">
        <f t="shared" si="116"/>
        <v>25.4060328275008</v>
      </c>
      <c r="AB203" s="80">
        <v>7.24</v>
      </c>
      <c r="AC203" s="68">
        <f t="shared" si="118"/>
        <v>183.939677671106</v>
      </c>
      <c r="AD203" s="68">
        <f t="shared" si="115"/>
        <v>1818.62659312481</v>
      </c>
      <c r="AE203" s="68">
        <f t="shared" si="119"/>
        <v>1165.99100687519</v>
      </c>
    </row>
    <row r="204" customFormat="1" spans="1:31">
      <c r="A204" s="18"/>
      <c r="B204" s="19"/>
      <c r="C204" s="20">
        <v>240607000043</v>
      </c>
      <c r="D204" s="21">
        <v>45457</v>
      </c>
      <c r="E204" s="21" t="s">
        <v>41</v>
      </c>
      <c r="F204" s="19" t="s">
        <v>42</v>
      </c>
      <c r="G204" s="19" t="s">
        <v>74</v>
      </c>
      <c r="H204" s="19">
        <v>3.5</v>
      </c>
      <c r="I204" s="38">
        <v>265.65</v>
      </c>
      <c r="J204" s="39"/>
      <c r="K204" s="40"/>
      <c r="L204" s="19"/>
      <c r="M204" s="40"/>
      <c r="N204" s="41"/>
      <c r="O204" s="42">
        <f t="shared" si="130"/>
        <v>265.65</v>
      </c>
      <c r="P204" s="44"/>
      <c r="Q204" s="44"/>
      <c r="R204" s="68">
        <f t="shared" si="122"/>
        <v>164.868209972128</v>
      </c>
      <c r="S204" s="68"/>
      <c r="T204" s="69">
        <f t="shared" si="123"/>
        <v>0.208113967172499</v>
      </c>
      <c r="U204" s="68"/>
      <c r="V204" s="68"/>
      <c r="W204" s="68">
        <f t="shared" si="117"/>
        <v>165.0763239393</v>
      </c>
      <c r="X204" s="70">
        <f t="shared" si="124"/>
        <v>2.82289253638897</v>
      </c>
      <c r="Y204" s="70"/>
      <c r="Z204" s="70"/>
      <c r="AA204" s="70">
        <f t="shared" si="116"/>
        <v>2.82289253638897</v>
      </c>
      <c r="AB204" s="80">
        <v>7.24</v>
      </c>
      <c r="AC204" s="68">
        <f t="shared" si="118"/>
        <v>20.4377419634562</v>
      </c>
      <c r="AD204" s="68">
        <f t="shared" ref="AD204:AD212" si="133">SUM(W204+AC204)</f>
        <v>185.514065902756</v>
      </c>
      <c r="AE204" s="68">
        <f t="shared" si="119"/>
        <v>80.1359340972437</v>
      </c>
    </row>
    <row r="205" customFormat="1" spans="1:31">
      <c r="A205" s="18"/>
      <c r="B205" s="19"/>
      <c r="C205" s="20">
        <v>240607000051</v>
      </c>
      <c r="D205" s="21">
        <v>45457</v>
      </c>
      <c r="E205" s="21" t="s">
        <v>66</v>
      </c>
      <c r="F205" s="19" t="s">
        <v>222</v>
      </c>
      <c r="G205" s="19" t="s">
        <v>223</v>
      </c>
      <c r="H205" s="19">
        <v>2</v>
      </c>
      <c r="I205" s="42"/>
      <c r="J205" s="46">
        <v>28327.86</v>
      </c>
      <c r="K205" s="40"/>
      <c r="L205" s="47">
        <f t="shared" si="131"/>
        <v>1505.99991993621</v>
      </c>
      <c r="M205" s="48">
        <v>18.810001</v>
      </c>
      <c r="N205" s="41">
        <v>7.24</v>
      </c>
      <c r="O205" s="42">
        <f>SUM(M205*N205)</f>
        <v>136.18440724</v>
      </c>
      <c r="P205" s="44"/>
      <c r="Q205" s="44"/>
      <c r="R205" s="68">
        <f t="shared" si="122"/>
        <v>94.2104056983586</v>
      </c>
      <c r="S205" s="68"/>
      <c r="T205" s="69">
        <f t="shared" si="123"/>
        <v>0.118922266955714</v>
      </c>
      <c r="U205" s="68"/>
      <c r="V205" s="68"/>
      <c r="W205" s="68">
        <f t="shared" si="117"/>
        <v>94.3293279653143</v>
      </c>
      <c r="X205" s="70">
        <f t="shared" si="124"/>
        <v>1.61308144936513</v>
      </c>
      <c r="Y205" s="70"/>
      <c r="Z205" s="70"/>
      <c r="AA205" s="70">
        <f t="shared" si="116"/>
        <v>1.61308144936513</v>
      </c>
      <c r="AB205" s="80">
        <v>7.24</v>
      </c>
      <c r="AC205" s="68">
        <f t="shared" si="118"/>
        <v>11.6787096934035</v>
      </c>
      <c r="AD205" s="68">
        <f t="shared" si="133"/>
        <v>106.008037658718</v>
      </c>
      <c r="AE205" s="68">
        <f t="shared" ref="AE205:AE212" si="134">SUM(O205-AD205)</f>
        <v>30.1763695812821</v>
      </c>
    </row>
    <row r="206" customFormat="1" spans="1:31">
      <c r="A206" s="18"/>
      <c r="B206" s="19"/>
      <c r="C206" s="20">
        <v>240607000056</v>
      </c>
      <c r="D206" s="21">
        <v>45457</v>
      </c>
      <c r="E206" s="21" t="s">
        <v>37</v>
      </c>
      <c r="F206" s="19" t="s">
        <v>37</v>
      </c>
      <c r="G206" s="19" t="s">
        <v>207</v>
      </c>
      <c r="H206" s="19">
        <v>717</v>
      </c>
      <c r="I206" s="86">
        <v>37284</v>
      </c>
      <c r="J206" s="39"/>
      <c r="K206" s="40"/>
      <c r="L206" s="19"/>
      <c r="M206" s="40"/>
      <c r="N206" s="41"/>
      <c r="O206" s="42">
        <f t="shared" ref="O206:O209" si="135">SUM(I206)</f>
        <v>37284</v>
      </c>
      <c r="P206" s="49"/>
      <c r="Q206" s="49"/>
      <c r="R206" s="68">
        <f t="shared" si="122"/>
        <v>33774.4304428616</v>
      </c>
      <c r="S206" s="68"/>
      <c r="T206" s="69">
        <f t="shared" si="123"/>
        <v>42.6336327036234</v>
      </c>
      <c r="U206" s="68"/>
      <c r="V206" s="68"/>
      <c r="W206" s="68">
        <f t="shared" ref="W206:W212" si="136">SUM(R206:V206)</f>
        <v>33817.0640755652</v>
      </c>
      <c r="X206" s="70">
        <f t="shared" si="124"/>
        <v>578.289699597399</v>
      </c>
      <c r="Y206" s="70"/>
      <c r="Z206" s="70"/>
      <c r="AA206" s="70">
        <f t="shared" ref="AA206:AA212" si="137">SUM(X206:Z206)</f>
        <v>578.289699597399</v>
      </c>
      <c r="AB206" s="80">
        <v>7.24</v>
      </c>
      <c r="AC206" s="68">
        <f t="shared" ref="AC206:AC212" si="138">SUM(AA206*AB206)</f>
        <v>4186.81742508517</v>
      </c>
      <c r="AD206" s="68">
        <f t="shared" si="133"/>
        <v>38003.8815006504</v>
      </c>
      <c r="AE206" s="68">
        <f t="shared" si="134"/>
        <v>-719.881500650357</v>
      </c>
    </row>
    <row r="207" customFormat="1" spans="1:31">
      <c r="A207" s="18" t="s">
        <v>224</v>
      </c>
      <c r="B207" s="19" t="s">
        <v>225</v>
      </c>
      <c r="C207" s="20">
        <v>240611000012</v>
      </c>
      <c r="D207" s="21">
        <v>45457</v>
      </c>
      <c r="E207" s="21" t="s">
        <v>51</v>
      </c>
      <c r="F207" s="19" t="s">
        <v>52</v>
      </c>
      <c r="G207" s="19" t="s">
        <v>54</v>
      </c>
      <c r="H207" s="19">
        <v>0.36</v>
      </c>
      <c r="I207" s="38">
        <v>115</v>
      </c>
      <c r="J207" s="39"/>
      <c r="K207" s="40"/>
      <c r="L207" s="19"/>
      <c r="M207" s="40"/>
      <c r="N207" s="41"/>
      <c r="O207" s="42">
        <f t="shared" si="135"/>
        <v>115</v>
      </c>
      <c r="P207" s="43">
        <f>SUM(O207:O209)</f>
        <v>3330</v>
      </c>
      <c r="Q207" s="43" t="s">
        <v>40</v>
      </c>
      <c r="R207" s="68">
        <f>SUM(2400/32)*H207</f>
        <v>27</v>
      </c>
      <c r="S207" s="68"/>
      <c r="T207" s="69">
        <f>SUM(53.77/32)*H207</f>
        <v>0.6049125</v>
      </c>
      <c r="U207" s="68"/>
      <c r="V207" s="68"/>
      <c r="W207" s="68">
        <f t="shared" si="136"/>
        <v>27.6049125</v>
      </c>
      <c r="X207" s="70">
        <f>SUM(66.3/32)*H207</f>
        <v>0.745875</v>
      </c>
      <c r="Y207" s="70"/>
      <c r="Z207" s="70"/>
      <c r="AA207" s="70">
        <f t="shared" si="137"/>
        <v>0.745875</v>
      </c>
      <c r="AB207" s="80">
        <v>7.24</v>
      </c>
      <c r="AC207" s="68">
        <f t="shared" si="138"/>
        <v>5.400135</v>
      </c>
      <c r="AD207" s="68">
        <f t="shared" si="133"/>
        <v>33.0050475</v>
      </c>
      <c r="AE207" s="68">
        <f t="shared" si="134"/>
        <v>81.9949525</v>
      </c>
    </row>
    <row r="208" customFormat="1" spans="1:31">
      <c r="A208" s="18"/>
      <c r="B208" s="19"/>
      <c r="C208" s="20">
        <v>240612000007</v>
      </c>
      <c r="D208" s="21">
        <v>45457</v>
      </c>
      <c r="E208" s="21" t="s">
        <v>41</v>
      </c>
      <c r="F208" s="19" t="s">
        <v>42</v>
      </c>
      <c r="G208" s="19" t="s">
        <v>173</v>
      </c>
      <c r="H208" s="19">
        <v>1.5</v>
      </c>
      <c r="I208" s="38">
        <v>225</v>
      </c>
      <c r="J208" s="39"/>
      <c r="K208" s="40"/>
      <c r="L208" s="19"/>
      <c r="M208" s="40"/>
      <c r="N208" s="41"/>
      <c r="O208" s="42">
        <f t="shared" si="135"/>
        <v>225</v>
      </c>
      <c r="P208" s="44"/>
      <c r="Q208" s="44"/>
      <c r="R208" s="68">
        <f>SUM(2400/32)*H208</f>
        <v>112.5</v>
      </c>
      <c r="S208" s="68"/>
      <c r="T208" s="69">
        <f>SUM(53.77/32)*H208</f>
        <v>2.52046875</v>
      </c>
      <c r="U208" s="68"/>
      <c r="V208" s="68"/>
      <c r="W208" s="68">
        <f t="shared" si="136"/>
        <v>115.02046875</v>
      </c>
      <c r="X208" s="70">
        <f>SUM(66.3/32)*H208</f>
        <v>3.1078125</v>
      </c>
      <c r="Y208" s="70"/>
      <c r="Z208" s="70"/>
      <c r="AA208" s="70">
        <f t="shared" si="137"/>
        <v>3.1078125</v>
      </c>
      <c r="AB208" s="80">
        <v>7.24</v>
      </c>
      <c r="AC208" s="68">
        <f t="shared" si="138"/>
        <v>22.5005625</v>
      </c>
      <c r="AD208" s="68">
        <f t="shared" si="133"/>
        <v>137.52103125</v>
      </c>
      <c r="AE208" s="68">
        <f t="shared" si="134"/>
        <v>87.47896875</v>
      </c>
    </row>
    <row r="209" customFormat="1" spans="1:31">
      <c r="A209" s="18"/>
      <c r="B209" s="19"/>
      <c r="C209" s="20">
        <v>240613000005</v>
      </c>
      <c r="D209" s="21">
        <v>45457</v>
      </c>
      <c r="E209" s="21" t="s">
        <v>48</v>
      </c>
      <c r="F209" s="19" t="s">
        <v>49</v>
      </c>
      <c r="G209" s="19" t="s">
        <v>73</v>
      </c>
      <c r="H209" s="19">
        <v>26</v>
      </c>
      <c r="I209" s="38">
        <v>2990</v>
      </c>
      <c r="J209" s="39"/>
      <c r="K209" s="40"/>
      <c r="L209" s="19"/>
      <c r="M209" s="40"/>
      <c r="N209" s="41"/>
      <c r="O209" s="42">
        <f t="shared" si="135"/>
        <v>2990</v>
      </c>
      <c r="P209" s="49"/>
      <c r="Q209" s="49"/>
      <c r="R209" s="68">
        <f>SUM(2400/32)*H209</f>
        <v>1950</v>
      </c>
      <c r="S209" s="68"/>
      <c r="T209" s="69">
        <f>SUM(53.77/32)*H209</f>
        <v>43.688125</v>
      </c>
      <c r="U209" s="68"/>
      <c r="V209" s="68"/>
      <c r="W209" s="68">
        <f t="shared" si="136"/>
        <v>1993.688125</v>
      </c>
      <c r="X209" s="70">
        <f>SUM(66.3/32)*H209</f>
        <v>53.86875</v>
      </c>
      <c r="Y209" s="70"/>
      <c r="Z209" s="70"/>
      <c r="AA209" s="70">
        <f t="shared" si="137"/>
        <v>53.86875</v>
      </c>
      <c r="AB209" s="80">
        <v>7.24</v>
      </c>
      <c r="AC209" s="68">
        <f t="shared" si="138"/>
        <v>390.00975</v>
      </c>
      <c r="AD209" s="68">
        <f t="shared" si="133"/>
        <v>2383.697875</v>
      </c>
      <c r="AE209" s="68">
        <f t="shared" si="134"/>
        <v>606.302125</v>
      </c>
    </row>
    <row r="210" customFormat="1" spans="1:31">
      <c r="A210" s="18" t="s">
        <v>226</v>
      </c>
      <c r="B210" s="19" t="s">
        <v>227</v>
      </c>
      <c r="C210" s="20">
        <v>240409000023</v>
      </c>
      <c r="D210" s="21">
        <v>45457</v>
      </c>
      <c r="E210" s="21" t="s">
        <v>37</v>
      </c>
      <c r="F210" s="19" t="s">
        <v>37</v>
      </c>
      <c r="G210" s="19" t="s">
        <v>228</v>
      </c>
      <c r="H210" s="19">
        <v>73.5403</v>
      </c>
      <c r="I210" s="38">
        <v>27693</v>
      </c>
      <c r="J210" s="87">
        <v>17200000</v>
      </c>
      <c r="K210" s="40"/>
      <c r="L210" s="47">
        <f>SUM(J210/M210)</f>
        <v>1520.41510868316</v>
      </c>
      <c r="M210" s="48">
        <v>11312.7</v>
      </c>
      <c r="N210" s="88">
        <v>7.24</v>
      </c>
      <c r="O210" s="89">
        <f>SUM(M210*N210+I210)</f>
        <v>109596.948</v>
      </c>
      <c r="P210" s="90">
        <f t="shared" ref="P210:P212" si="139">SUM(O210)</f>
        <v>109596.948</v>
      </c>
      <c r="Q210" s="90" t="s">
        <v>229</v>
      </c>
      <c r="R210" s="92">
        <v>24305.2</v>
      </c>
      <c r="S210" s="92"/>
      <c r="T210" s="90">
        <v>0</v>
      </c>
      <c r="U210" s="92"/>
      <c r="V210" s="92"/>
      <c r="W210" s="68">
        <f t="shared" si="136"/>
        <v>24305.2</v>
      </c>
      <c r="X210" s="93">
        <v>10523.54</v>
      </c>
      <c r="Y210" s="93"/>
      <c r="Z210" s="93"/>
      <c r="AA210" s="70">
        <f t="shared" si="137"/>
        <v>10523.54</v>
      </c>
      <c r="AB210" s="80">
        <v>7.24</v>
      </c>
      <c r="AC210" s="68">
        <f t="shared" si="138"/>
        <v>76190.4296</v>
      </c>
      <c r="AD210" s="68">
        <f t="shared" ref="AD210:AD241" si="140">SUM(W210+AC210)</f>
        <v>100495.6296</v>
      </c>
      <c r="AE210" s="68">
        <f t="shared" ref="AE210:AE241" si="141">SUM(O210-AD210)</f>
        <v>9101.3184</v>
      </c>
    </row>
    <row r="211" customFormat="1" spans="1:31">
      <c r="A211" s="18" t="s">
        <v>230</v>
      </c>
      <c r="B211" s="19" t="s">
        <v>231</v>
      </c>
      <c r="C211" s="20">
        <v>240409000024</v>
      </c>
      <c r="D211" s="21">
        <v>45457</v>
      </c>
      <c r="E211" s="21" t="s">
        <v>37</v>
      </c>
      <c r="F211" s="19" t="s">
        <v>37</v>
      </c>
      <c r="G211" s="19" t="s">
        <v>228</v>
      </c>
      <c r="H211" s="19">
        <v>73.5403</v>
      </c>
      <c r="I211" s="38">
        <v>27693</v>
      </c>
      <c r="J211" s="87">
        <v>17200000</v>
      </c>
      <c r="K211" s="40"/>
      <c r="L211" s="47">
        <f>SUM(J211/M211)</f>
        <v>1520.41510868316</v>
      </c>
      <c r="M211" s="48">
        <v>11312.7</v>
      </c>
      <c r="N211" s="88">
        <v>7.24</v>
      </c>
      <c r="O211" s="89">
        <f>SUM(M211*N211+I211)</f>
        <v>109596.948</v>
      </c>
      <c r="P211" s="90">
        <f t="shared" si="139"/>
        <v>109596.948</v>
      </c>
      <c r="Q211" s="90" t="s">
        <v>229</v>
      </c>
      <c r="R211" s="92">
        <v>24105.2</v>
      </c>
      <c r="S211" s="92"/>
      <c r="T211" s="90">
        <v>0</v>
      </c>
      <c r="U211" s="92"/>
      <c r="V211" s="92"/>
      <c r="W211" s="68">
        <f t="shared" ref="W211:W242" si="142">SUM(R211:V211)</f>
        <v>24105.2</v>
      </c>
      <c r="X211" s="93">
        <v>10523.54</v>
      </c>
      <c r="Y211" s="93"/>
      <c r="Z211" s="93"/>
      <c r="AA211" s="70">
        <f t="shared" ref="AA211:AA242" si="143">SUM(X211:Z211)</f>
        <v>10523.54</v>
      </c>
      <c r="AB211" s="80">
        <v>7.24</v>
      </c>
      <c r="AC211" s="68">
        <f t="shared" ref="AC211:AC242" si="144">SUM(AA211*AB211)</f>
        <v>76190.4296</v>
      </c>
      <c r="AD211" s="68">
        <f t="shared" si="140"/>
        <v>100295.6296</v>
      </c>
      <c r="AE211" s="68">
        <f t="shared" si="141"/>
        <v>9301.3184</v>
      </c>
    </row>
    <row r="212" customFormat="1" spans="1:31">
      <c r="A212" s="18" t="s">
        <v>232</v>
      </c>
      <c r="B212" s="19" t="s">
        <v>233</v>
      </c>
      <c r="C212" s="20">
        <v>240409000025</v>
      </c>
      <c r="D212" s="21">
        <v>45457</v>
      </c>
      <c r="E212" s="21" t="s">
        <v>37</v>
      </c>
      <c r="F212" s="19" t="s">
        <v>37</v>
      </c>
      <c r="G212" s="19" t="s">
        <v>228</v>
      </c>
      <c r="H212" s="19">
        <v>73.5403</v>
      </c>
      <c r="I212" s="45">
        <v>112772</v>
      </c>
      <c r="J212" s="91"/>
      <c r="K212" s="40"/>
      <c r="L212" s="42"/>
      <c r="M212" s="4"/>
      <c r="N212" s="88"/>
      <c r="O212" s="89">
        <f t="shared" ref="O212:O217" si="145">SUM(I212)</f>
        <v>112772</v>
      </c>
      <c r="P212" s="90">
        <f t="shared" si="139"/>
        <v>112772</v>
      </c>
      <c r="Q212" s="90" t="s">
        <v>229</v>
      </c>
      <c r="R212" s="92">
        <v>24305.2</v>
      </c>
      <c r="S212" s="92"/>
      <c r="T212" s="90">
        <v>0</v>
      </c>
      <c r="U212" s="92"/>
      <c r="V212" s="92"/>
      <c r="W212" s="68">
        <f t="shared" si="142"/>
        <v>24305.2</v>
      </c>
      <c r="X212" s="93"/>
      <c r="Y212" s="93"/>
      <c r="Z212" s="93"/>
      <c r="AA212" s="70">
        <f t="shared" si="143"/>
        <v>0</v>
      </c>
      <c r="AB212" s="80">
        <v>7.24</v>
      </c>
      <c r="AC212" s="68">
        <f t="shared" si="144"/>
        <v>0</v>
      </c>
      <c r="AD212" s="68">
        <f t="shared" si="140"/>
        <v>24305.2</v>
      </c>
      <c r="AE212" s="68">
        <f t="shared" si="141"/>
        <v>88466.8</v>
      </c>
    </row>
    <row r="213" customFormat="1" spans="1:31">
      <c r="A213" s="18" t="s">
        <v>234</v>
      </c>
      <c r="B213" s="19" t="s">
        <v>235</v>
      </c>
      <c r="C213" s="20">
        <v>240605000006</v>
      </c>
      <c r="D213" s="21">
        <v>45458</v>
      </c>
      <c r="E213" s="21" t="s">
        <v>41</v>
      </c>
      <c r="F213" s="19" t="s">
        <v>42</v>
      </c>
      <c r="G213" s="19" t="s">
        <v>236</v>
      </c>
      <c r="H213" s="19">
        <v>3</v>
      </c>
      <c r="I213" s="38">
        <v>183</v>
      </c>
      <c r="J213" s="39"/>
      <c r="K213" s="40"/>
      <c r="L213" s="19"/>
      <c r="M213" s="40"/>
      <c r="N213" s="41"/>
      <c r="O213" s="42">
        <f t="shared" si="145"/>
        <v>183</v>
      </c>
      <c r="P213" s="43">
        <f>SUM(O213:O260)</f>
        <v>143140.4952</v>
      </c>
      <c r="Q213" s="71" t="s">
        <v>237</v>
      </c>
      <c r="R213" s="68">
        <f>SUM(102260.8/2452)*H213</f>
        <v>125.115171288744</v>
      </c>
      <c r="S213" s="69">
        <f>SUM(86.44/2452)*H213</f>
        <v>0.105758564437194</v>
      </c>
      <c r="T213" s="69">
        <f>SUM(184.61/2452)*H213</f>
        <v>0.22586867862969</v>
      </c>
      <c r="U213" s="68"/>
      <c r="V213" s="68"/>
      <c r="W213" s="68">
        <f t="shared" si="142"/>
        <v>125.446798531811</v>
      </c>
      <c r="X213" s="70">
        <f>SUM(2140.54/2452)*H213</f>
        <v>2.61893148450245</v>
      </c>
      <c r="Y213" s="70"/>
      <c r="Z213" s="70"/>
      <c r="AA213" s="70">
        <f t="shared" si="143"/>
        <v>2.61893148450245</v>
      </c>
      <c r="AB213" s="80">
        <v>7.24</v>
      </c>
      <c r="AC213" s="68">
        <f t="shared" si="144"/>
        <v>18.9610639477977</v>
      </c>
      <c r="AD213" s="68">
        <f t="shared" si="140"/>
        <v>144.407862479608</v>
      </c>
      <c r="AE213" s="68">
        <f t="shared" si="141"/>
        <v>38.5921375203915</v>
      </c>
    </row>
    <row r="214" customFormat="1" spans="1:31">
      <c r="A214" s="18"/>
      <c r="B214" s="19"/>
      <c r="C214" s="20">
        <v>240605000036</v>
      </c>
      <c r="D214" s="21">
        <v>45458</v>
      </c>
      <c r="E214" s="21" t="s">
        <v>48</v>
      </c>
      <c r="F214" s="19" t="s">
        <v>49</v>
      </c>
      <c r="G214" s="19" t="s">
        <v>120</v>
      </c>
      <c r="H214" s="19">
        <v>13.5</v>
      </c>
      <c r="I214" s="38">
        <v>689</v>
      </c>
      <c r="J214" s="39"/>
      <c r="K214" s="40"/>
      <c r="L214" s="19"/>
      <c r="M214" s="40"/>
      <c r="N214" s="41"/>
      <c r="O214" s="42">
        <f t="shared" si="145"/>
        <v>689</v>
      </c>
      <c r="P214" s="44"/>
      <c r="Q214" s="44"/>
      <c r="R214" s="68">
        <f t="shared" ref="R214:R260" si="146">SUM(102260.8/2452)*H214</f>
        <v>563.018270799348</v>
      </c>
      <c r="S214" s="69">
        <f t="shared" ref="S214:S260" si="147">SUM(86.44/2452)*H214</f>
        <v>0.475913539967374</v>
      </c>
      <c r="T214" s="69">
        <f t="shared" ref="T214:T260" si="148">SUM(184.61/2452)*H214</f>
        <v>1.01640905383361</v>
      </c>
      <c r="U214" s="68"/>
      <c r="V214" s="68"/>
      <c r="W214" s="68">
        <f t="shared" si="142"/>
        <v>564.510593393148</v>
      </c>
      <c r="X214" s="70">
        <f t="shared" ref="X214:X260" si="149">SUM(2140.54/2452)*H214</f>
        <v>11.785191680261</v>
      </c>
      <c r="Y214" s="70"/>
      <c r="Z214" s="70"/>
      <c r="AA214" s="70">
        <f t="shared" si="143"/>
        <v>11.785191680261</v>
      </c>
      <c r="AB214" s="80">
        <v>7.24</v>
      </c>
      <c r="AC214" s="68">
        <f t="shared" si="144"/>
        <v>85.3247877650897</v>
      </c>
      <c r="AD214" s="68">
        <f t="shared" si="140"/>
        <v>649.835381158238</v>
      </c>
      <c r="AE214" s="68">
        <f t="shared" si="141"/>
        <v>39.1646188417618</v>
      </c>
    </row>
    <row r="215" customFormat="1" spans="1:31">
      <c r="A215" s="18"/>
      <c r="B215" s="19"/>
      <c r="C215" s="20">
        <v>240605000037</v>
      </c>
      <c r="D215" s="21">
        <v>45458</v>
      </c>
      <c r="E215" s="21" t="s">
        <v>48</v>
      </c>
      <c r="F215" s="19" t="s">
        <v>49</v>
      </c>
      <c r="G215" s="19" t="s">
        <v>120</v>
      </c>
      <c r="H215" s="19">
        <v>5.5</v>
      </c>
      <c r="I215" s="38">
        <v>291.5</v>
      </c>
      <c r="J215" s="39"/>
      <c r="K215" s="40"/>
      <c r="L215" s="19"/>
      <c r="M215" s="40"/>
      <c r="N215" s="41"/>
      <c r="O215" s="42">
        <f t="shared" si="145"/>
        <v>291.5</v>
      </c>
      <c r="P215" s="44"/>
      <c r="Q215" s="44"/>
      <c r="R215" s="68">
        <f t="shared" si="146"/>
        <v>229.377814029364</v>
      </c>
      <c r="S215" s="69">
        <f t="shared" si="147"/>
        <v>0.193890701468189</v>
      </c>
      <c r="T215" s="69">
        <f t="shared" si="148"/>
        <v>0.414092577487765</v>
      </c>
      <c r="U215" s="68"/>
      <c r="V215" s="68"/>
      <c r="W215" s="68">
        <f t="shared" si="142"/>
        <v>229.98579730832</v>
      </c>
      <c r="X215" s="70">
        <f t="shared" si="149"/>
        <v>4.80137438825449</v>
      </c>
      <c r="Y215" s="70"/>
      <c r="Z215" s="70"/>
      <c r="AA215" s="70">
        <f t="shared" si="143"/>
        <v>4.80137438825449</v>
      </c>
      <c r="AB215" s="80">
        <v>7.24</v>
      </c>
      <c r="AC215" s="68">
        <f t="shared" si="144"/>
        <v>34.7619505709625</v>
      </c>
      <c r="AD215" s="68">
        <f t="shared" si="140"/>
        <v>264.747747879282</v>
      </c>
      <c r="AE215" s="68">
        <f t="shared" si="141"/>
        <v>26.7522521207178</v>
      </c>
    </row>
    <row r="216" customFormat="1" spans="1:31">
      <c r="A216" s="18"/>
      <c r="B216" s="19"/>
      <c r="C216" s="20">
        <v>240606000006</v>
      </c>
      <c r="D216" s="21">
        <v>45458</v>
      </c>
      <c r="E216" s="21" t="s">
        <v>41</v>
      </c>
      <c r="F216" s="19" t="s">
        <v>42</v>
      </c>
      <c r="G216" s="19" t="s">
        <v>74</v>
      </c>
      <c r="H216" s="19">
        <v>564.5</v>
      </c>
      <c r="I216" s="38">
        <v>32024.9</v>
      </c>
      <c r="J216" s="39"/>
      <c r="K216" s="40"/>
      <c r="L216" s="19"/>
      <c r="M216" s="40"/>
      <c r="N216" s="41"/>
      <c r="O216" s="42">
        <f t="shared" si="145"/>
        <v>32024.9</v>
      </c>
      <c r="P216" s="44"/>
      <c r="Q216" s="44"/>
      <c r="R216" s="68">
        <f t="shared" si="146"/>
        <v>23542.504730832</v>
      </c>
      <c r="S216" s="69">
        <f t="shared" si="147"/>
        <v>19.9002365415987</v>
      </c>
      <c r="T216" s="69">
        <f t="shared" si="148"/>
        <v>42.5009563621533</v>
      </c>
      <c r="U216" s="69">
        <f>SUM(170+120)</f>
        <v>290</v>
      </c>
      <c r="V216" s="68"/>
      <c r="W216" s="68">
        <f t="shared" si="142"/>
        <v>23894.9059237357</v>
      </c>
      <c r="X216" s="70">
        <f t="shared" si="149"/>
        <v>492.79560766721</v>
      </c>
      <c r="Y216" s="70"/>
      <c r="Z216" s="70"/>
      <c r="AA216" s="70">
        <f t="shared" si="143"/>
        <v>492.79560766721</v>
      </c>
      <c r="AB216" s="80">
        <v>7.24</v>
      </c>
      <c r="AC216" s="68">
        <f t="shared" si="144"/>
        <v>3567.8401995106</v>
      </c>
      <c r="AD216" s="68">
        <f t="shared" si="140"/>
        <v>27462.7461232463</v>
      </c>
      <c r="AE216" s="68">
        <f t="shared" si="141"/>
        <v>4562.15387675367</v>
      </c>
    </row>
    <row r="217" customFormat="1" spans="1:31">
      <c r="A217" s="18"/>
      <c r="B217" s="19"/>
      <c r="C217" s="20">
        <v>240606000012</v>
      </c>
      <c r="D217" s="21">
        <v>45458</v>
      </c>
      <c r="E217" s="21" t="s">
        <v>37</v>
      </c>
      <c r="F217" s="19" t="s">
        <v>37</v>
      </c>
      <c r="G217" s="19" t="s">
        <v>238</v>
      </c>
      <c r="H217" s="19">
        <v>2</v>
      </c>
      <c r="I217" s="38">
        <v>123</v>
      </c>
      <c r="J217" s="39"/>
      <c r="K217" s="40"/>
      <c r="L217" s="19"/>
      <c r="M217" s="40"/>
      <c r="N217" s="41"/>
      <c r="O217" s="42">
        <f t="shared" si="145"/>
        <v>123</v>
      </c>
      <c r="P217" s="44"/>
      <c r="Q217" s="44"/>
      <c r="R217" s="68">
        <f t="shared" si="146"/>
        <v>83.4101141924959</v>
      </c>
      <c r="S217" s="69">
        <f t="shared" si="147"/>
        <v>0.0705057096247961</v>
      </c>
      <c r="T217" s="69">
        <f t="shared" si="148"/>
        <v>0.15057911908646</v>
      </c>
      <c r="U217" s="68"/>
      <c r="V217" s="68"/>
      <c r="W217" s="68">
        <f t="shared" si="142"/>
        <v>83.6311990212072</v>
      </c>
      <c r="X217" s="70">
        <f t="shared" si="149"/>
        <v>1.74595432300163</v>
      </c>
      <c r="Y217" s="70"/>
      <c r="Z217" s="70"/>
      <c r="AA217" s="70">
        <f t="shared" si="143"/>
        <v>1.74595432300163</v>
      </c>
      <c r="AB217" s="80">
        <v>7.24</v>
      </c>
      <c r="AC217" s="68">
        <f t="shared" si="144"/>
        <v>12.6407092985318</v>
      </c>
      <c r="AD217" s="68">
        <f t="shared" si="140"/>
        <v>96.271908319739</v>
      </c>
      <c r="AE217" s="68">
        <f t="shared" si="141"/>
        <v>26.728091680261</v>
      </c>
    </row>
    <row r="218" customFormat="1" spans="1:31">
      <c r="A218" s="18"/>
      <c r="B218" s="19"/>
      <c r="C218" s="20">
        <v>240607000003</v>
      </c>
      <c r="D218" s="21">
        <v>45458</v>
      </c>
      <c r="E218" s="21" t="s">
        <v>48</v>
      </c>
      <c r="F218" s="19" t="s">
        <v>49</v>
      </c>
      <c r="G218" s="19" t="s">
        <v>239</v>
      </c>
      <c r="H218" s="19">
        <v>5.5</v>
      </c>
      <c r="I218" s="45"/>
      <c r="J218" s="46">
        <v>63525</v>
      </c>
      <c r="K218" s="40"/>
      <c r="L218" s="47">
        <f t="shared" ref="L218:L225" si="150">SUM(J218/M218)</f>
        <v>1520.46433700335</v>
      </c>
      <c r="M218" s="48">
        <v>41.78</v>
      </c>
      <c r="N218" s="41">
        <v>7.24</v>
      </c>
      <c r="O218" s="42">
        <f>SUM(M218*N218)</f>
        <v>302.4872</v>
      </c>
      <c r="P218" s="44"/>
      <c r="Q218" s="44"/>
      <c r="R218" s="68">
        <f t="shared" si="146"/>
        <v>229.377814029364</v>
      </c>
      <c r="S218" s="69">
        <f t="shared" si="147"/>
        <v>0.193890701468189</v>
      </c>
      <c r="T218" s="69">
        <f t="shared" si="148"/>
        <v>0.414092577487765</v>
      </c>
      <c r="U218" s="68"/>
      <c r="V218" s="68"/>
      <c r="W218" s="68">
        <f t="shared" si="142"/>
        <v>229.98579730832</v>
      </c>
      <c r="X218" s="70">
        <f t="shared" si="149"/>
        <v>4.80137438825449</v>
      </c>
      <c r="Y218" s="70"/>
      <c r="Z218" s="70"/>
      <c r="AA218" s="70">
        <f t="shared" si="143"/>
        <v>4.80137438825449</v>
      </c>
      <c r="AB218" s="80">
        <v>7.24</v>
      </c>
      <c r="AC218" s="68">
        <f t="shared" si="144"/>
        <v>34.7619505709625</v>
      </c>
      <c r="AD218" s="68">
        <f t="shared" si="140"/>
        <v>264.747747879282</v>
      </c>
      <c r="AE218" s="68">
        <f t="shared" si="141"/>
        <v>37.7394521207178</v>
      </c>
    </row>
    <row r="219" customFormat="1" spans="1:31">
      <c r="A219" s="18"/>
      <c r="B219" s="19"/>
      <c r="C219" s="20">
        <v>240607000011</v>
      </c>
      <c r="D219" s="21">
        <v>45458</v>
      </c>
      <c r="E219" s="21" t="s">
        <v>136</v>
      </c>
      <c r="F219" s="19" t="s">
        <v>137</v>
      </c>
      <c r="G219" s="19" t="s">
        <v>240</v>
      </c>
      <c r="H219" s="19">
        <v>7.5</v>
      </c>
      <c r="I219" s="38">
        <v>418.5</v>
      </c>
      <c r="J219" s="39"/>
      <c r="K219" s="40"/>
      <c r="L219" s="19"/>
      <c r="M219" s="40"/>
      <c r="N219" s="41"/>
      <c r="O219" s="42">
        <f t="shared" ref="O219:O221" si="151">SUM(I219)</f>
        <v>418.5</v>
      </c>
      <c r="P219" s="44"/>
      <c r="Q219" s="44"/>
      <c r="R219" s="68">
        <f t="shared" si="146"/>
        <v>312.78792822186</v>
      </c>
      <c r="S219" s="69">
        <f t="shared" si="147"/>
        <v>0.264396411092985</v>
      </c>
      <c r="T219" s="69">
        <f t="shared" si="148"/>
        <v>0.564671696574225</v>
      </c>
      <c r="U219" s="68"/>
      <c r="V219" s="68"/>
      <c r="W219" s="68">
        <f t="shared" si="142"/>
        <v>313.616996329527</v>
      </c>
      <c r="X219" s="70">
        <f t="shared" si="149"/>
        <v>6.54732871125612</v>
      </c>
      <c r="Y219" s="70"/>
      <c r="Z219" s="70"/>
      <c r="AA219" s="70">
        <f t="shared" si="143"/>
        <v>6.54732871125612</v>
      </c>
      <c r="AB219" s="80">
        <v>7.24</v>
      </c>
      <c r="AC219" s="68">
        <f t="shared" si="144"/>
        <v>47.4026598694943</v>
      </c>
      <c r="AD219" s="68">
        <f t="shared" si="140"/>
        <v>361.019656199021</v>
      </c>
      <c r="AE219" s="68">
        <f t="shared" si="141"/>
        <v>57.4803438009787</v>
      </c>
    </row>
    <row r="220" customFormat="1" spans="1:31">
      <c r="A220" s="18"/>
      <c r="B220" s="19"/>
      <c r="C220" s="20">
        <v>240607000015</v>
      </c>
      <c r="D220" s="21">
        <v>45458</v>
      </c>
      <c r="E220" s="21" t="s">
        <v>51</v>
      </c>
      <c r="F220" s="19" t="s">
        <v>52</v>
      </c>
      <c r="G220" s="19" t="s">
        <v>208</v>
      </c>
      <c r="H220" s="19">
        <v>1.5</v>
      </c>
      <c r="I220" s="38">
        <v>93</v>
      </c>
      <c r="J220" s="39"/>
      <c r="K220" s="40"/>
      <c r="L220" s="19"/>
      <c r="M220" s="40"/>
      <c r="N220" s="41"/>
      <c r="O220" s="42">
        <f t="shared" si="151"/>
        <v>93</v>
      </c>
      <c r="P220" s="44"/>
      <c r="Q220" s="44"/>
      <c r="R220" s="68">
        <f t="shared" si="146"/>
        <v>62.5575856443719</v>
      </c>
      <c r="S220" s="69">
        <f t="shared" si="147"/>
        <v>0.0528792822185971</v>
      </c>
      <c r="T220" s="69">
        <f t="shared" si="148"/>
        <v>0.112934339314845</v>
      </c>
      <c r="U220" s="68"/>
      <c r="V220" s="68"/>
      <c r="W220" s="68">
        <f t="shared" si="142"/>
        <v>62.7233992659054</v>
      </c>
      <c r="X220" s="70">
        <f t="shared" si="149"/>
        <v>1.30946574225122</v>
      </c>
      <c r="Y220" s="70"/>
      <c r="Z220" s="70"/>
      <c r="AA220" s="70">
        <f t="shared" si="143"/>
        <v>1.30946574225122</v>
      </c>
      <c r="AB220" s="80">
        <v>7.24</v>
      </c>
      <c r="AC220" s="68">
        <f t="shared" si="144"/>
        <v>9.48053197389886</v>
      </c>
      <c r="AD220" s="68">
        <f t="shared" si="140"/>
        <v>72.2039312398042</v>
      </c>
      <c r="AE220" s="68">
        <f t="shared" si="141"/>
        <v>20.7960687601958</v>
      </c>
    </row>
    <row r="221" customFormat="1" spans="1:31">
      <c r="A221" s="18"/>
      <c r="B221" s="19"/>
      <c r="C221" s="20">
        <v>240607000016</v>
      </c>
      <c r="D221" s="21">
        <v>45458</v>
      </c>
      <c r="E221" s="21" t="s">
        <v>51</v>
      </c>
      <c r="F221" s="19" t="s">
        <v>52</v>
      </c>
      <c r="G221" s="19" t="s">
        <v>241</v>
      </c>
      <c r="H221" s="19">
        <v>4.5</v>
      </c>
      <c r="I221" s="38">
        <v>273</v>
      </c>
      <c r="J221" s="39"/>
      <c r="K221" s="40"/>
      <c r="L221" s="19"/>
      <c r="M221" s="40"/>
      <c r="N221" s="41"/>
      <c r="O221" s="42">
        <f t="shared" si="151"/>
        <v>273</v>
      </c>
      <c r="P221" s="44"/>
      <c r="Q221" s="44"/>
      <c r="R221" s="68">
        <f t="shared" si="146"/>
        <v>187.672756933116</v>
      </c>
      <c r="S221" s="69">
        <f t="shared" si="147"/>
        <v>0.158637846655791</v>
      </c>
      <c r="T221" s="69">
        <f t="shared" si="148"/>
        <v>0.338803017944535</v>
      </c>
      <c r="U221" s="68"/>
      <c r="V221" s="68"/>
      <c r="W221" s="68">
        <f t="shared" si="142"/>
        <v>188.170197797716</v>
      </c>
      <c r="X221" s="70">
        <f t="shared" si="149"/>
        <v>3.92839722675367</v>
      </c>
      <c r="Y221" s="70"/>
      <c r="Z221" s="70"/>
      <c r="AA221" s="70">
        <f t="shared" si="143"/>
        <v>3.92839722675367</v>
      </c>
      <c r="AB221" s="80">
        <v>7.24</v>
      </c>
      <c r="AC221" s="68">
        <f t="shared" si="144"/>
        <v>28.4415959216966</v>
      </c>
      <c r="AD221" s="68">
        <f t="shared" si="140"/>
        <v>216.611793719413</v>
      </c>
      <c r="AE221" s="68">
        <f t="shared" si="141"/>
        <v>56.3882062805873</v>
      </c>
    </row>
    <row r="222" customFormat="1" spans="1:31">
      <c r="A222" s="18"/>
      <c r="B222" s="19"/>
      <c r="C222" s="20">
        <v>240607000022</v>
      </c>
      <c r="D222" s="21">
        <v>45458</v>
      </c>
      <c r="E222" s="21" t="s">
        <v>44</v>
      </c>
      <c r="F222" s="19" t="s">
        <v>45</v>
      </c>
      <c r="G222" s="19" t="s">
        <v>220</v>
      </c>
      <c r="H222" s="19">
        <v>25.5</v>
      </c>
      <c r="I222" s="42"/>
      <c r="J222" s="46">
        <v>292890</v>
      </c>
      <c r="K222" s="40"/>
      <c r="L222" s="47">
        <f t="shared" si="150"/>
        <v>1502</v>
      </c>
      <c r="M222" s="48">
        <v>195</v>
      </c>
      <c r="N222" s="41">
        <v>7.24</v>
      </c>
      <c r="O222" s="42">
        <f t="shared" ref="O222:O225" si="152">SUM(M222*N222)</f>
        <v>1411.8</v>
      </c>
      <c r="P222" s="44"/>
      <c r="Q222" s="44"/>
      <c r="R222" s="68">
        <f t="shared" si="146"/>
        <v>1063.47895595432</v>
      </c>
      <c r="S222" s="69">
        <f t="shared" si="147"/>
        <v>0.89894779771615</v>
      </c>
      <c r="T222" s="69">
        <f t="shared" si="148"/>
        <v>1.91988376835237</v>
      </c>
      <c r="U222" s="68"/>
      <c r="V222" s="68"/>
      <c r="W222" s="68">
        <f t="shared" si="142"/>
        <v>1066.29778752039</v>
      </c>
      <c r="X222" s="70">
        <f t="shared" si="149"/>
        <v>22.2609176182708</v>
      </c>
      <c r="Y222" s="70"/>
      <c r="Z222" s="70"/>
      <c r="AA222" s="70">
        <f t="shared" si="143"/>
        <v>22.2609176182708</v>
      </c>
      <c r="AB222" s="80">
        <v>7.24</v>
      </c>
      <c r="AC222" s="68">
        <f t="shared" si="144"/>
        <v>161.169043556281</v>
      </c>
      <c r="AD222" s="68">
        <f t="shared" si="140"/>
        <v>1227.46683107667</v>
      </c>
      <c r="AE222" s="68">
        <f t="shared" si="141"/>
        <v>184.333168923328</v>
      </c>
    </row>
    <row r="223" customFormat="1" spans="1:31">
      <c r="A223" s="18"/>
      <c r="B223" s="19"/>
      <c r="C223" s="20">
        <v>240607000028</v>
      </c>
      <c r="D223" s="21">
        <v>45458</v>
      </c>
      <c r="E223" s="21" t="s">
        <v>41</v>
      </c>
      <c r="F223" s="19" t="s">
        <v>42</v>
      </c>
      <c r="G223" s="19" t="s">
        <v>242</v>
      </c>
      <c r="H223" s="19">
        <v>6.5</v>
      </c>
      <c r="I223" s="45"/>
      <c r="J223" s="46">
        <v>77935.5</v>
      </c>
      <c r="K223" s="40"/>
      <c r="L223" s="47">
        <f t="shared" si="150"/>
        <v>1498.75961538462</v>
      </c>
      <c r="M223" s="48">
        <v>52</v>
      </c>
      <c r="N223" s="41">
        <v>7.24</v>
      </c>
      <c r="O223" s="42">
        <f t="shared" si="152"/>
        <v>376.48</v>
      </c>
      <c r="P223" s="44"/>
      <c r="Q223" s="44"/>
      <c r="R223" s="68">
        <f t="shared" si="146"/>
        <v>271.082871125612</v>
      </c>
      <c r="S223" s="69">
        <f t="shared" si="147"/>
        <v>0.229143556280587</v>
      </c>
      <c r="T223" s="69">
        <f t="shared" si="148"/>
        <v>0.489382137030995</v>
      </c>
      <c r="U223" s="68"/>
      <c r="V223" s="68"/>
      <c r="W223" s="68">
        <f t="shared" si="142"/>
        <v>271.801396818923</v>
      </c>
      <c r="X223" s="70">
        <f t="shared" si="149"/>
        <v>5.6743515497553</v>
      </c>
      <c r="Y223" s="70"/>
      <c r="Z223" s="70"/>
      <c r="AA223" s="70">
        <f t="shared" si="143"/>
        <v>5.6743515497553</v>
      </c>
      <c r="AB223" s="80">
        <v>7.24</v>
      </c>
      <c r="AC223" s="68">
        <f t="shared" si="144"/>
        <v>41.0823052202284</v>
      </c>
      <c r="AD223" s="68">
        <f t="shared" si="140"/>
        <v>312.883702039152</v>
      </c>
      <c r="AE223" s="68">
        <f t="shared" si="141"/>
        <v>63.5962979608483</v>
      </c>
    </row>
    <row r="224" customFormat="1" spans="1:31">
      <c r="A224" s="18"/>
      <c r="B224" s="19"/>
      <c r="C224" s="20">
        <v>240607000036</v>
      </c>
      <c r="D224" s="21">
        <v>45458</v>
      </c>
      <c r="E224" s="21" t="s">
        <v>44</v>
      </c>
      <c r="F224" s="19" t="s">
        <v>45</v>
      </c>
      <c r="G224" s="19" t="s">
        <v>243</v>
      </c>
      <c r="H224" s="19">
        <v>6</v>
      </c>
      <c r="I224" s="42"/>
      <c r="J224" s="46">
        <v>73283</v>
      </c>
      <c r="K224" s="40"/>
      <c r="L224" s="47">
        <f t="shared" si="150"/>
        <v>1502.00860832138</v>
      </c>
      <c r="M224" s="48">
        <v>48.79</v>
      </c>
      <c r="N224" s="41">
        <v>7.24</v>
      </c>
      <c r="O224" s="42">
        <f t="shared" si="152"/>
        <v>353.2396</v>
      </c>
      <c r="P224" s="44"/>
      <c r="Q224" s="44"/>
      <c r="R224" s="68">
        <f t="shared" si="146"/>
        <v>250.230342577488</v>
      </c>
      <c r="S224" s="69">
        <f t="shared" si="147"/>
        <v>0.211517128874388</v>
      </c>
      <c r="T224" s="69">
        <f t="shared" si="148"/>
        <v>0.45173735725938</v>
      </c>
      <c r="U224" s="68"/>
      <c r="V224" s="68"/>
      <c r="W224" s="68">
        <f t="shared" si="142"/>
        <v>250.893597063622</v>
      </c>
      <c r="X224" s="70">
        <f t="shared" si="149"/>
        <v>5.23786296900489</v>
      </c>
      <c r="Y224" s="70"/>
      <c r="Z224" s="70"/>
      <c r="AA224" s="70">
        <f t="shared" si="143"/>
        <v>5.23786296900489</v>
      </c>
      <c r="AB224" s="80">
        <v>7.24</v>
      </c>
      <c r="AC224" s="68">
        <f t="shared" si="144"/>
        <v>37.9221278955954</v>
      </c>
      <c r="AD224" s="68">
        <f t="shared" si="140"/>
        <v>288.815724959217</v>
      </c>
      <c r="AE224" s="68">
        <f t="shared" si="141"/>
        <v>64.423875040783</v>
      </c>
    </row>
    <row r="225" customFormat="1" spans="1:31">
      <c r="A225" s="18"/>
      <c r="B225" s="19"/>
      <c r="C225" s="20">
        <v>240607000040</v>
      </c>
      <c r="D225" s="21">
        <v>45458</v>
      </c>
      <c r="E225" s="21" t="s">
        <v>41</v>
      </c>
      <c r="F225" s="19" t="s">
        <v>42</v>
      </c>
      <c r="G225" s="19" t="s">
        <v>125</v>
      </c>
      <c r="H225" s="19">
        <v>0.76</v>
      </c>
      <c r="I225" s="42"/>
      <c r="J225" s="46">
        <v>13217.6</v>
      </c>
      <c r="K225" s="40"/>
      <c r="L225" s="47">
        <f t="shared" si="150"/>
        <v>1502</v>
      </c>
      <c r="M225" s="48">
        <v>8.8</v>
      </c>
      <c r="N225" s="41">
        <v>7.24</v>
      </c>
      <c r="O225" s="42">
        <f t="shared" si="152"/>
        <v>63.712</v>
      </c>
      <c r="P225" s="44"/>
      <c r="Q225" s="44"/>
      <c r="R225" s="68">
        <f t="shared" si="146"/>
        <v>31.6958433931485</v>
      </c>
      <c r="S225" s="69">
        <f t="shared" si="147"/>
        <v>0.0267921696574225</v>
      </c>
      <c r="T225" s="69">
        <f t="shared" si="148"/>
        <v>0.0572200652528548</v>
      </c>
      <c r="U225" s="68"/>
      <c r="V225" s="68"/>
      <c r="W225" s="68">
        <f t="shared" si="142"/>
        <v>31.7798556280587</v>
      </c>
      <c r="X225" s="70">
        <f t="shared" si="149"/>
        <v>0.66346264274062</v>
      </c>
      <c r="Y225" s="70"/>
      <c r="Z225" s="70"/>
      <c r="AA225" s="70">
        <f t="shared" si="143"/>
        <v>0.66346264274062</v>
      </c>
      <c r="AB225" s="80">
        <v>7.24</v>
      </c>
      <c r="AC225" s="68">
        <f t="shared" si="144"/>
        <v>4.80346953344209</v>
      </c>
      <c r="AD225" s="68">
        <f t="shared" si="140"/>
        <v>36.5833251615008</v>
      </c>
      <c r="AE225" s="68">
        <f t="shared" si="141"/>
        <v>27.1286748384992</v>
      </c>
    </row>
    <row r="226" customFormat="1" spans="1:31">
      <c r="A226" s="18"/>
      <c r="B226" s="19"/>
      <c r="C226" s="20">
        <v>240607000045</v>
      </c>
      <c r="D226" s="21">
        <v>45458</v>
      </c>
      <c r="E226" s="21" t="s">
        <v>48</v>
      </c>
      <c r="F226" s="19" t="s">
        <v>49</v>
      </c>
      <c r="G226" s="19" t="s">
        <v>244</v>
      </c>
      <c r="H226" s="19">
        <v>10.5</v>
      </c>
      <c r="I226" s="38">
        <v>609</v>
      </c>
      <c r="J226" s="39"/>
      <c r="K226" s="40"/>
      <c r="L226" s="19"/>
      <c r="M226" s="40"/>
      <c r="N226" s="41"/>
      <c r="O226" s="42">
        <f t="shared" ref="O226:O233" si="153">SUM(I226)</f>
        <v>609</v>
      </c>
      <c r="P226" s="44"/>
      <c r="Q226" s="44"/>
      <c r="R226" s="68">
        <f t="shared" si="146"/>
        <v>437.903099510604</v>
      </c>
      <c r="S226" s="69">
        <f t="shared" si="147"/>
        <v>0.370154975530179</v>
      </c>
      <c r="T226" s="69">
        <f t="shared" si="148"/>
        <v>0.790540375203915</v>
      </c>
      <c r="U226" s="68"/>
      <c r="V226" s="68"/>
      <c r="W226" s="68">
        <f t="shared" si="142"/>
        <v>439.063794861338</v>
      </c>
      <c r="X226" s="70">
        <f t="shared" si="149"/>
        <v>9.16626019575856</v>
      </c>
      <c r="Y226" s="70"/>
      <c r="Z226" s="70"/>
      <c r="AA226" s="70">
        <f t="shared" si="143"/>
        <v>9.16626019575856</v>
      </c>
      <c r="AB226" s="80">
        <v>7.24</v>
      </c>
      <c r="AC226" s="68">
        <f t="shared" si="144"/>
        <v>66.363723817292</v>
      </c>
      <c r="AD226" s="68">
        <f t="shared" si="140"/>
        <v>505.42751867863</v>
      </c>
      <c r="AE226" s="68">
        <f t="shared" si="141"/>
        <v>103.57248132137</v>
      </c>
    </row>
    <row r="227" customFormat="1" spans="1:31">
      <c r="A227" s="18"/>
      <c r="B227" s="19"/>
      <c r="C227" s="20">
        <v>240607000047</v>
      </c>
      <c r="D227" s="21">
        <v>45458</v>
      </c>
      <c r="E227" s="21" t="s">
        <v>37</v>
      </c>
      <c r="F227" s="19" t="s">
        <v>37</v>
      </c>
      <c r="G227" s="19" t="s">
        <v>245</v>
      </c>
      <c r="H227" s="19">
        <v>40</v>
      </c>
      <c r="I227" s="38">
        <v>2208</v>
      </c>
      <c r="J227" s="39"/>
      <c r="K227" s="40"/>
      <c r="L227" s="19"/>
      <c r="M227" s="40"/>
      <c r="N227" s="41"/>
      <c r="O227" s="42">
        <f t="shared" si="153"/>
        <v>2208</v>
      </c>
      <c r="P227" s="44"/>
      <c r="Q227" s="44"/>
      <c r="R227" s="68">
        <f t="shared" si="146"/>
        <v>1668.20228384992</v>
      </c>
      <c r="S227" s="69">
        <f t="shared" si="147"/>
        <v>1.41011419249592</v>
      </c>
      <c r="T227" s="69">
        <f t="shared" si="148"/>
        <v>3.0115823817292</v>
      </c>
      <c r="U227" s="68"/>
      <c r="V227" s="68"/>
      <c r="W227" s="68">
        <f t="shared" si="142"/>
        <v>1672.62398042414</v>
      </c>
      <c r="X227" s="70">
        <f t="shared" si="149"/>
        <v>34.9190864600326</v>
      </c>
      <c r="Y227" s="70"/>
      <c r="Z227" s="70"/>
      <c r="AA227" s="70">
        <f t="shared" si="143"/>
        <v>34.9190864600326</v>
      </c>
      <c r="AB227" s="80">
        <v>7.24</v>
      </c>
      <c r="AC227" s="68">
        <f t="shared" si="144"/>
        <v>252.814185970636</v>
      </c>
      <c r="AD227" s="68">
        <f t="shared" si="140"/>
        <v>1925.43816639478</v>
      </c>
      <c r="AE227" s="68">
        <f t="shared" si="141"/>
        <v>282.56183360522</v>
      </c>
    </row>
    <row r="228" customFormat="1" spans="1:31">
      <c r="A228" s="18"/>
      <c r="B228" s="19"/>
      <c r="C228" s="20">
        <v>240607000049</v>
      </c>
      <c r="D228" s="21">
        <v>45458</v>
      </c>
      <c r="E228" s="21" t="s">
        <v>37</v>
      </c>
      <c r="F228" s="19" t="s">
        <v>37</v>
      </c>
      <c r="G228" s="19" t="s">
        <v>114</v>
      </c>
      <c r="H228" s="19">
        <v>175.5</v>
      </c>
      <c r="I228" s="38">
        <v>11453.5</v>
      </c>
      <c r="J228" s="39"/>
      <c r="K228" s="40"/>
      <c r="L228" s="19"/>
      <c r="M228" s="40"/>
      <c r="N228" s="41"/>
      <c r="O228" s="42">
        <f t="shared" si="153"/>
        <v>11453.5</v>
      </c>
      <c r="P228" s="44"/>
      <c r="Q228" s="44"/>
      <c r="R228" s="68">
        <f t="shared" si="146"/>
        <v>7319.23752039152</v>
      </c>
      <c r="S228" s="69">
        <f t="shared" si="147"/>
        <v>6.18687601957586</v>
      </c>
      <c r="T228" s="69">
        <f t="shared" si="148"/>
        <v>13.2133176998369</v>
      </c>
      <c r="U228" s="68"/>
      <c r="V228" s="68"/>
      <c r="W228" s="68">
        <f t="shared" si="142"/>
        <v>7338.63771411093</v>
      </c>
      <c r="X228" s="70">
        <f t="shared" si="149"/>
        <v>153.207491843393</v>
      </c>
      <c r="Y228" s="70"/>
      <c r="Z228" s="70"/>
      <c r="AA228" s="70">
        <f t="shared" si="143"/>
        <v>153.207491843393</v>
      </c>
      <c r="AB228" s="80">
        <v>7.24</v>
      </c>
      <c r="AC228" s="68">
        <f t="shared" si="144"/>
        <v>1109.22224094617</v>
      </c>
      <c r="AD228" s="68">
        <f t="shared" si="140"/>
        <v>8447.8599550571</v>
      </c>
      <c r="AE228" s="68">
        <f t="shared" si="141"/>
        <v>3005.6400449429</v>
      </c>
    </row>
    <row r="229" customFormat="1" spans="1:31">
      <c r="A229" s="18"/>
      <c r="B229" s="19"/>
      <c r="C229" s="20">
        <v>240607000052</v>
      </c>
      <c r="D229" s="21">
        <v>45458</v>
      </c>
      <c r="E229" s="21" t="s">
        <v>41</v>
      </c>
      <c r="F229" s="19" t="s">
        <v>42</v>
      </c>
      <c r="G229" s="19" t="s">
        <v>246</v>
      </c>
      <c r="H229" s="19">
        <v>13</v>
      </c>
      <c r="I229" s="38">
        <v>821</v>
      </c>
      <c r="J229" s="39"/>
      <c r="K229" s="40"/>
      <c r="L229" s="19"/>
      <c r="M229" s="40"/>
      <c r="N229" s="41"/>
      <c r="O229" s="42">
        <f t="shared" si="153"/>
        <v>821</v>
      </c>
      <c r="P229" s="44"/>
      <c r="Q229" s="44"/>
      <c r="R229" s="68">
        <f t="shared" si="146"/>
        <v>542.165742251223</v>
      </c>
      <c r="S229" s="69">
        <f t="shared" si="147"/>
        <v>0.458287112561175</v>
      </c>
      <c r="T229" s="69">
        <f t="shared" si="148"/>
        <v>0.97876427406199</v>
      </c>
      <c r="U229" s="68"/>
      <c r="V229" s="68"/>
      <c r="W229" s="68">
        <f t="shared" si="142"/>
        <v>543.602793637847</v>
      </c>
      <c r="X229" s="70">
        <f t="shared" si="149"/>
        <v>11.3487030995106</v>
      </c>
      <c r="Y229" s="70"/>
      <c r="Z229" s="70"/>
      <c r="AA229" s="70">
        <f t="shared" si="143"/>
        <v>11.3487030995106</v>
      </c>
      <c r="AB229" s="80">
        <v>7.24</v>
      </c>
      <c r="AC229" s="68">
        <f t="shared" si="144"/>
        <v>82.1646104404568</v>
      </c>
      <c r="AD229" s="68">
        <f t="shared" si="140"/>
        <v>625.767404078303</v>
      </c>
      <c r="AE229" s="68">
        <f t="shared" si="141"/>
        <v>195.232595921697</v>
      </c>
    </row>
    <row r="230" customFormat="1" spans="1:31">
      <c r="A230" s="18"/>
      <c r="B230" s="19"/>
      <c r="C230" s="20">
        <v>240608000002</v>
      </c>
      <c r="D230" s="21">
        <v>45458</v>
      </c>
      <c r="E230" s="21" t="s">
        <v>41</v>
      </c>
      <c r="F230" s="19" t="s">
        <v>42</v>
      </c>
      <c r="G230" s="19" t="s">
        <v>247</v>
      </c>
      <c r="H230" s="19">
        <v>3</v>
      </c>
      <c r="I230" s="38">
        <v>183</v>
      </c>
      <c r="J230" s="39"/>
      <c r="K230" s="40"/>
      <c r="L230" s="19"/>
      <c r="M230" s="40"/>
      <c r="N230" s="41"/>
      <c r="O230" s="42">
        <f t="shared" si="153"/>
        <v>183</v>
      </c>
      <c r="P230" s="44"/>
      <c r="Q230" s="44"/>
      <c r="R230" s="68">
        <f t="shared" si="146"/>
        <v>125.115171288744</v>
      </c>
      <c r="S230" s="69">
        <f t="shared" si="147"/>
        <v>0.105758564437194</v>
      </c>
      <c r="T230" s="69">
        <f t="shared" si="148"/>
        <v>0.22586867862969</v>
      </c>
      <c r="U230" s="68"/>
      <c r="V230" s="68"/>
      <c r="W230" s="68">
        <f t="shared" si="142"/>
        <v>125.446798531811</v>
      </c>
      <c r="X230" s="70">
        <f t="shared" si="149"/>
        <v>2.61893148450245</v>
      </c>
      <c r="Y230" s="70"/>
      <c r="Z230" s="70"/>
      <c r="AA230" s="70">
        <f t="shared" si="143"/>
        <v>2.61893148450245</v>
      </c>
      <c r="AB230" s="80">
        <v>7.24</v>
      </c>
      <c r="AC230" s="68">
        <f t="shared" si="144"/>
        <v>18.9610639477977</v>
      </c>
      <c r="AD230" s="68">
        <f t="shared" si="140"/>
        <v>144.407862479608</v>
      </c>
      <c r="AE230" s="68">
        <f t="shared" si="141"/>
        <v>38.5921375203915</v>
      </c>
    </row>
    <row r="231" customFormat="1" spans="1:31">
      <c r="A231" s="18"/>
      <c r="B231" s="19"/>
      <c r="C231" s="20">
        <v>240608000005</v>
      </c>
      <c r="D231" s="21">
        <v>45458</v>
      </c>
      <c r="E231" s="21" t="s">
        <v>51</v>
      </c>
      <c r="F231" s="19" t="s">
        <v>52</v>
      </c>
      <c r="G231" s="19" t="s">
        <v>248</v>
      </c>
      <c r="H231" s="19">
        <v>11.5</v>
      </c>
      <c r="I231" s="38">
        <v>727.65</v>
      </c>
      <c r="J231" s="39"/>
      <c r="K231" s="40"/>
      <c r="L231" s="19"/>
      <c r="M231" s="40"/>
      <c r="N231" s="41"/>
      <c r="O231" s="42">
        <f t="shared" si="153"/>
        <v>727.65</v>
      </c>
      <c r="P231" s="44"/>
      <c r="Q231" s="44"/>
      <c r="R231" s="68">
        <f t="shared" si="146"/>
        <v>479.608156606852</v>
      </c>
      <c r="S231" s="69">
        <f t="shared" si="147"/>
        <v>0.405407830342577</v>
      </c>
      <c r="T231" s="69">
        <f t="shared" si="148"/>
        <v>0.865829934747145</v>
      </c>
      <c r="U231" s="68"/>
      <c r="V231" s="68"/>
      <c r="W231" s="68">
        <f t="shared" si="142"/>
        <v>480.879394371941</v>
      </c>
      <c r="X231" s="70">
        <f t="shared" si="149"/>
        <v>10.0392373572594</v>
      </c>
      <c r="Y231" s="70"/>
      <c r="Z231" s="70"/>
      <c r="AA231" s="70">
        <f t="shared" si="143"/>
        <v>10.0392373572594</v>
      </c>
      <c r="AB231" s="80">
        <v>7.24</v>
      </c>
      <c r="AC231" s="68">
        <f t="shared" si="144"/>
        <v>72.6840784665579</v>
      </c>
      <c r="AD231" s="68">
        <f t="shared" si="140"/>
        <v>553.563472838499</v>
      </c>
      <c r="AE231" s="68">
        <f t="shared" si="141"/>
        <v>174.086527161501</v>
      </c>
    </row>
    <row r="232" customFormat="1" spans="1:31">
      <c r="A232" s="18"/>
      <c r="B232" s="19"/>
      <c r="C232" s="20">
        <v>240608000007</v>
      </c>
      <c r="D232" s="21">
        <v>45458</v>
      </c>
      <c r="E232" s="21" t="s">
        <v>37</v>
      </c>
      <c r="F232" s="19" t="s">
        <v>37</v>
      </c>
      <c r="G232" s="19" t="s">
        <v>249</v>
      </c>
      <c r="H232" s="19">
        <v>104.5</v>
      </c>
      <c r="I232" s="38">
        <v>5540</v>
      </c>
      <c r="J232" s="39"/>
      <c r="K232" s="40"/>
      <c r="L232" s="19"/>
      <c r="M232" s="40"/>
      <c r="N232" s="41"/>
      <c r="O232" s="42">
        <f t="shared" si="153"/>
        <v>5540</v>
      </c>
      <c r="P232" s="44"/>
      <c r="Q232" s="44"/>
      <c r="R232" s="68">
        <f t="shared" si="146"/>
        <v>4358.17846655791</v>
      </c>
      <c r="S232" s="69">
        <f t="shared" si="147"/>
        <v>3.6839233278956</v>
      </c>
      <c r="T232" s="69">
        <f t="shared" si="148"/>
        <v>7.86775897226754</v>
      </c>
      <c r="U232" s="68"/>
      <c r="V232" s="68"/>
      <c r="W232" s="68">
        <f t="shared" si="142"/>
        <v>4369.73014885807</v>
      </c>
      <c r="X232" s="70">
        <f t="shared" si="149"/>
        <v>91.2261133768352</v>
      </c>
      <c r="Y232" s="70"/>
      <c r="Z232" s="70"/>
      <c r="AA232" s="70">
        <f t="shared" si="143"/>
        <v>91.2261133768352</v>
      </c>
      <c r="AB232" s="80">
        <v>7.24</v>
      </c>
      <c r="AC232" s="68">
        <f t="shared" si="144"/>
        <v>660.477060848287</v>
      </c>
      <c r="AD232" s="68">
        <f t="shared" si="140"/>
        <v>5030.20720970636</v>
      </c>
      <c r="AE232" s="68">
        <f t="shared" si="141"/>
        <v>509.792790293639</v>
      </c>
    </row>
    <row r="233" customFormat="1" spans="1:31">
      <c r="A233" s="18"/>
      <c r="B233" s="19"/>
      <c r="C233" s="20">
        <v>240608000009</v>
      </c>
      <c r="D233" s="21">
        <v>45458</v>
      </c>
      <c r="E233" s="21" t="s">
        <v>51</v>
      </c>
      <c r="F233" s="19" t="s">
        <v>250</v>
      </c>
      <c r="G233" s="19" t="s">
        <v>251</v>
      </c>
      <c r="H233" s="19">
        <v>5.5</v>
      </c>
      <c r="I233" s="38">
        <v>513.5</v>
      </c>
      <c r="J233" s="39"/>
      <c r="K233" s="40"/>
      <c r="L233" s="19"/>
      <c r="M233" s="40"/>
      <c r="N233" s="41"/>
      <c r="O233" s="42">
        <f t="shared" si="153"/>
        <v>513.5</v>
      </c>
      <c r="P233" s="44"/>
      <c r="Q233" s="44"/>
      <c r="R233" s="68">
        <f t="shared" si="146"/>
        <v>229.377814029364</v>
      </c>
      <c r="S233" s="69">
        <f t="shared" si="147"/>
        <v>0.193890701468189</v>
      </c>
      <c r="T233" s="69">
        <f t="shared" si="148"/>
        <v>0.414092577487765</v>
      </c>
      <c r="U233" s="68"/>
      <c r="V233" s="68"/>
      <c r="W233" s="68">
        <f t="shared" si="142"/>
        <v>229.98579730832</v>
      </c>
      <c r="X233" s="70">
        <f t="shared" si="149"/>
        <v>4.80137438825449</v>
      </c>
      <c r="Y233" s="70"/>
      <c r="Z233" s="70"/>
      <c r="AA233" s="70">
        <f t="shared" si="143"/>
        <v>4.80137438825449</v>
      </c>
      <c r="AB233" s="80">
        <v>7.24</v>
      </c>
      <c r="AC233" s="68">
        <f t="shared" si="144"/>
        <v>34.7619505709625</v>
      </c>
      <c r="AD233" s="68">
        <f t="shared" si="140"/>
        <v>264.747747879282</v>
      </c>
      <c r="AE233" s="68">
        <f t="shared" si="141"/>
        <v>248.752252120718</v>
      </c>
    </row>
    <row r="234" customFormat="1" spans="1:31">
      <c r="A234" s="18"/>
      <c r="B234" s="19"/>
      <c r="C234" s="20">
        <v>240608000010</v>
      </c>
      <c r="D234" s="21">
        <v>45458</v>
      </c>
      <c r="E234" s="21" t="s">
        <v>136</v>
      </c>
      <c r="F234" s="19" t="s">
        <v>137</v>
      </c>
      <c r="G234" s="19" t="s">
        <v>252</v>
      </c>
      <c r="H234" s="19">
        <v>56.5</v>
      </c>
      <c r="I234" s="45"/>
      <c r="J234" s="46">
        <v>706992</v>
      </c>
      <c r="K234" s="40"/>
      <c r="L234" s="47">
        <f>SUM(J234/M234)</f>
        <v>1505.93648156432</v>
      </c>
      <c r="M234" s="48">
        <v>469.47</v>
      </c>
      <c r="N234" s="41">
        <v>7.24</v>
      </c>
      <c r="O234" s="42">
        <f>SUM(M234*N234)</f>
        <v>3398.9628</v>
      </c>
      <c r="P234" s="44"/>
      <c r="Q234" s="44"/>
      <c r="R234" s="68">
        <f t="shared" si="146"/>
        <v>2356.33572593801</v>
      </c>
      <c r="S234" s="69">
        <f t="shared" si="147"/>
        <v>1.99178629690049</v>
      </c>
      <c r="T234" s="69">
        <f t="shared" si="148"/>
        <v>4.2538601141925</v>
      </c>
      <c r="U234" s="68"/>
      <c r="V234" s="68"/>
      <c r="W234" s="68">
        <f t="shared" si="142"/>
        <v>2362.5813723491</v>
      </c>
      <c r="X234" s="70">
        <f t="shared" si="149"/>
        <v>49.3232096247961</v>
      </c>
      <c r="Y234" s="70"/>
      <c r="Z234" s="70"/>
      <c r="AA234" s="70">
        <f t="shared" si="143"/>
        <v>49.3232096247961</v>
      </c>
      <c r="AB234" s="80">
        <v>7.24</v>
      </c>
      <c r="AC234" s="68">
        <f t="shared" si="144"/>
        <v>357.100037683524</v>
      </c>
      <c r="AD234" s="68">
        <f t="shared" si="140"/>
        <v>2719.68141003263</v>
      </c>
      <c r="AE234" s="68">
        <f t="shared" si="141"/>
        <v>679.281389967373</v>
      </c>
    </row>
    <row r="235" customFormat="1" spans="1:31">
      <c r="A235" s="18"/>
      <c r="B235" s="19"/>
      <c r="C235" s="20">
        <v>240608000011</v>
      </c>
      <c r="D235" s="21">
        <v>45458</v>
      </c>
      <c r="E235" s="21" t="s">
        <v>37</v>
      </c>
      <c r="F235" s="19" t="s">
        <v>37</v>
      </c>
      <c r="G235" s="19" t="s">
        <v>253</v>
      </c>
      <c r="H235" s="19">
        <v>5.5</v>
      </c>
      <c r="I235" s="45">
        <v>333</v>
      </c>
      <c r="J235" s="39"/>
      <c r="K235" s="40"/>
      <c r="L235" s="19"/>
      <c r="M235" s="40"/>
      <c r="N235" s="41"/>
      <c r="O235" s="42">
        <f t="shared" ref="O235:O237" si="154">SUM(I235)</f>
        <v>333</v>
      </c>
      <c r="P235" s="44"/>
      <c r="Q235" s="44"/>
      <c r="R235" s="68">
        <f t="shared" si="146"/>
        <v>229.377814029364</v>
      </c>
      <c r="S235" s="69">
        <f t="shared" si="147"/>
        <v>0.193890701468189</v>
      </c>
      <c r="T235" s="69">
        <f t="shared" si="148"/>
        <v>0.414092577487765</v>
      </c>
      <c r="U235" s="68"/>
      <c r="V235" s="68"/>
      <c r="W235" s="68">
        <f t="shared" si="142"/>
        <v>229.98579730832</v>
      </c>
      <c r="X235" s="70">
        <f t="shared" si="149"/>
        <v>4.80137438825449</v>
      </c>
      <c r="Y235" s="70"/>
      <c r="Z235" s="70"/>
      <c r="AA235" s="70">
        <f t="shared" si="143"/>
        <v>4.80137438825449</v>
      </c>
      <c r="AB235" s="80">
        <v>7.24</v>
      </c>
      <c r="AC235" s="68">
        <f t="shared" si="144"/>
        <v>34.7619505709625</v>
      </c>
      <c r="AD235" s="68">
        <f t="shared" si="140"/>
        <v>264.747747879282</v>
      </c>
      <c r="AE235" s="68">
        <f t="shared" si="141"/>
        <v>68.2522521207178</v>
      </c>
    </row>
    <row r="236" customFormat="1" spans="1:31">
      <c r="A236" s="18"/>
      <c r="B236" s="19"/>
      <c r="C236" s="81">
        <v>240608000012</v>
      </c>
      <c r="D236" s="82">
        <v>45458</v>
      </c>
      <c r="E236" s="21" t="s">
        <v>37</v>
      </c>
      <c r="F236" s="83" t="s">
        <v>37</v>
      </c>
      <c r="G236" s="83" t="s">
        <v>254</v>
      </c>
      <c r="H236" s="83">
        <v>24</v>
      </c>
      <c r="I236" s="45">
        <v>2108</v>
      </c>
      <c r="J236" s="39"/>
      <c r="K236" s="40"/>
      <c r="L236" s="19"/>
      <c r="M236" s="40"/>
      <c r="N236" s="41"/>
      <c r="O236" s="42">
        <f t="shared" si="154"/>
        <v>2108</v>
      </c>
      <c r="P236" s="44"/>
      <c r="Q236" s="44"/>
      <c r="R236" s="68">
        <f t="shared" si="146"/>
        <v>1000.92137030995</v>
      </c>
      <c r="S236" s="69">
        <f t="shared" si="147"/>
        <v>0.846068515497553</v>
      </c>
      <c r="T236" s="69">
        <f t="shared" si="148"/>
        <v>1.80694942903752</v>
      </c>
      <c r="U236" s="69">
        <v>100</v>
      </c>
      <c r="V236" s="69">
        <v>32</v>
      </c>
      <c r="W236" s="68">
        <f t="shared" si="142"/>
        <v>1135.57438825449</v>
      </c>
      <c r="X236" s="70">
        <f t="shared" si="149"/>
        <v>20.9514518760196</v>
      </c>
      <c r="Y236" s="70"/>
      <c r="Z236" s="70"/>
      <c r="AA236" s="70">
        <f t="shared" si="143"/>
        <v>20.9514518760196</v>
      </c>
      <c r="AB236" s="80">
        <v>7.24</v>
      </c>
      <c r="AC236" s="68">
        <f t="shared" si="144"/>
        <v>151.688511582382</v>
      </c>
      <c r="AD236" s="68">
        <f t="shared" si="140"/>
        <v>1287.26289983687</v>
      </c>
      <c r="AE236" s="68">
        <f t="shared" si="141"/>
        <v>820.737100163132</v>
      </c>
    </row>
    <row r="237" customFormat="1" spans="1:31">
      <c r="A237" s="18"/>
      <c r="B237" s="19"/>
      <c r="C237" s="20">
        <v>240608000019</v>
      </c>
      <c r="D237" s="21">
        <v>45458</v>
      </c>
      <c r="E237" s="21" t="s">
        <v>37</v>
      </c>
      <c r="F237" s="19" t="s">
        <v>37</v>
      </c>
      <c r="G237" s="19" t="s">
        <v>255</v>
      </c>
      <c r="H237" s="19">
        <v>839.5</v>
      </c>
      <c r="I237" s="38">
        <v>47012</v>
      </c>
      <c r="J237" s="39"/>
      <c r="K237" s="40"/>
      <c r="L237" s="19"/>
      <c r="M237" s="40"/>
      <c r="N237" s="41"/>
      <c r="O237" s="42">
        <f t="shared" si="154"/>
        <v>47012</v>
      </c>
      <c r="P237" s="44"/>
      <c r="Q237" s="44"/>
      <c r="R237" s="68">
        <f t="shared" si="146"/>
        <v>35011.3954323002</v>
      </c>
      <c r="S237" s="69">
        <f t="shared" si="147"/>
        <v>29.5947716150082</v>
      </c>
      <c r="T237" s="69">
        <f t="shared" si="148"/>
        <v>63.2055852365416</v>
      </c>
      <c r="U237" s="68"/>
      <c r="V237" s="68"/>
      <c r="W237" s="68">
        <f t="shared" si="142"/>
        <v>35104.1957891517</v>
      </c>
      <c r="X237" s="70">
        <f t="shared" si="149"/>
        <v>732.864327079935</v>
      </c>
      <c r="Y237" s="70"/>
      <c r="Z237" s="70"/>
      <c r="AA237" s="70">
        <f t="shared" si="143"/>
        <v>732.864327079935</v>
      </c>
      <c r="AB237" s="80">
        <v>7.24</v>
      </c>
      <c r="AC237" s="68">
        <f t="shared" si="144"/>
        <v>5305.93772805873</v>
      </c>
      <c r="AD237" s="68">
        <f t="shared" si="140"/>
        <v>40410.1335172105</v>
      </c>
      <c r="AE237" s="68">
        <f t="shared" si="141"/>
        <v>6601.86648278955</v>
      </c>
    </row>
    <row r="238" customFormat="1" spans="1:31">
      <c r="A238" s="18"/>
      <c r="B238" s="19"/>
      <c r="C238" s="20">
        <v>240609000003</v>
      </c>
      <c r="D238" s="21">
        <v>45458</v>
      </c>
      <c r="E238" s="21" t="s">
        <v>66</v>
      </c>
      <c r="F238" s="19" t="s">
        <v>256</v>
      </c>
      <c r="G238" s="19" t="s">
        <v>118</v>
      </c>
      <c r="H238" s="19">
        <v>0.54</v>
      </c>
      <c r="I238" s="42"/>
      <c r="J238" s="46">
        <v>13218</v>
      </c>
      <c r="K238" s="40"/>
      <c r="L238" s="47">
        <f>SUM(J238/M238)</f>
        <v>1502.04545454545</v>
      </c>
      <c r="M238" s="48">
        <v>8.8</v>
      </c>
      <c r="N238" s="41">
        <v>7.24</v>
      </c>
      <c r="O238" s="42">
        <f>SUM(M238*N238)</f>
        <v>63.712</v>
      </c>
      <c r="P238" s="44"/>
      <c r="Q238" s="44"/>
      <c r="R238" s="68">
        <f t="shared" si="146"/>
        <v>22.5207308319739</v>
      </c>
      <c r="S238" s="69">
        <f t="shared" si="147"/>
        <v>0.0190365415986949</v>
      </c>
      <c r="T238" s="69">
        <f t="shared" si="148"/>
        <v>0.0406563621533442</v>
      </c>
      <c r="U238" s="68"/>
      <c r="V238" s="68"/>
      <c r="W238" s="68">
        <f t="shared" si="142"/>
        <v>22.5804237357259</v>
      </c>
      <c r="X238" s="70">
        <f t="shared" si="149"/>
        <v>0.47140766721044</v>
      </c>
      <c r="Y238" s="70"/>
      <c r="Z238" s="70"/>
      <c r="AA238" s="70">
        <f t="shared" si="143"/>
        <v>0.47140766721044</v>
      </c>
      <c r="AB238" s="80">
        <v>7.24</v>
      </c>
      <c r="AC238" s="68">
        <f t="shared" si="144"/>
        <v>3.41299151060359</v>
      </c>
      <c r="AD238" s="68">
        <f t="shared" si="140"/>
        <v>25.9934152463295</v>
      </c>
      <c r="AE238" s="68">
        <f t="shared" si="141"/>
        <v>37.7185847536705</v>
      </c>
    </row>
    <row r="239" customFormat="1" spans="1:31">
      <c r="A239" s="18"/>
      <c r="B239" s="19"/>
      <c r="C239" s="20">
        <v>240609000005</v>
      </c>
      <c r="D239" s="21">
        <v>45458</v>
      </c>
      <c r="E239" s="21" t="s">
        <v>51</v>
      </c>
      <c r="F239" s="19" t="s">
        <v>52</v>
      </c>
      <c r="G239" s="19" t="s">
        <v>257</v>
      </c>
      <c r="H239" s="19">
        <v>6</v>
      </c>
      <c r="I239" s="38">
        <v>384</v>
      </c>
      <c r="J239" s="39"/>
      <c r="K239" s="40"/>
      <c r="L239" s="19"/>
      <c r="M239" s="40"/>
      <c r="N239" s="41"/>
      <c r="O239" s="42">
        <f t="shared" ref="O239:O241" si="155">SUM(I239)</f>
        <v>384</v>
      </c>
      <c r="P239" s="44"/>
      <c r="Q239" s="44"/>
      <c r="R239" s="68">
        <f t="shared" si="146"/>
        <v>250.230342577488</v>
      </c>
      <c r="S239" s="69">
        <f t="shared" si="147"/>
        <v>0.211517128874388</v>
      </c>
      <c r="T239" s="69">
        <f t="shared" si="148"/>
        <v>0.45173735725938</v>
      </c>
      <c r="U239" s="68"/>
      <c r="V239" s="68"/>
      <c r="W239" s="68">
        <f t="shared" si="142"/>
        <v>250.893597063622</v>
      </c>
      <c r="X239" s="70">
        <f t="shared" si="149"/>
        <v>5.23786296900489</v>
      </c>
      <c r="Y239" s="70"/>
      <c r="Z239" s="70"/>
      <c r="AA239" s="70">
        <f t="shared" si="143"/>
        <v>5.23786296900489</v>
      </c>
      <c r="AB239" s="80">
        <v>7.24</v>
      </c>
      <c r="AC239" s="68">
        <f t="shared" si="144"/>
        <v>37.9221278955954</v>
      </c>
      <c r="AD239" s="68">
        <f t="shared" si="140"/>
        <v>288.815724959217</v>
      </c>
      <c r="AE239" s="68">
        <f t="shared" si="141"/>
        <v>95.184275040783</v>
      </c>
    </row>
    <row r="240" customFormat="1" spans="1:31">
      <c r="A240" s="18"/>
      <c r="B240" s="19"/>
      <c r="C240" s="20">
        <v>240609000006</v>
      </c>
      <c r="D240" s="21">
        <v>45458</v>
      </c>
      <c r="E240" s="21" t="s">
        <v>41</v>
      </c>
      <c r="F240" s="19" t="s">
        <v>42</v>
      </c>
      <c r="G240" s="19" t="s">
        <v>246</v>
      </c>
      <c r="H240" s="19">
        <v>3</v>
      </c>
      <c r="I240" s="38">
        <v>183</v>
      </c>
      <c r="J240" s="39"/>
      <c r="K240" s="40"/>
      <c r="L240" s="19"/>
      <c r="M240" s="40"/>
      <c r="N240" s="41"/>
      <c r="O240" s="42">
        <f t="shared" si="155"/>
        <v>183</v>
      </c>
      <c r="P240" s="44"/>
      <c r="Q240" s="44"/>
      <c r="R240" s="68">
        <f t="shared" si="146"/>
        <v>125.115171288744</v>
      </c>
      <c r="S240" s="69">
        <f t="shared" si="147"/>
        <v>0.105758564437194</v>
      </c>
      <c r="T240" s="69">
        <f t="shared" si="148"/>
        <v>0.22586867862969</v>
      </c>
      <c r="U240" s="68"/>
      <c r="V240" s="68"/>
      <c r="W240" s="68">
        <f t="shared" si="142"/>
        <v>125.446798531811</v>
      </c>
      <c r="X240" s="70">
        <f t="shared" si="149"/>
        <v>2.61893148450245</v>
      </c>
      <c r="Y240" s="70"/>
      <c r="Z240" s="70"/>
      <c r="AA240" s="70">
        <f t="shared" si="143"/>
        <v>2.61893148450245</v>
      </c>
      <c r="AB240" s="80">
        <v>7.24</v>
      </c>
      <c r="AC240" s="68">
        <f t="shared" si="144"/>
        <v>18.9610639477977</v>
      </c>
      <c r="AD240" s="68">
        <f t="shared" si="140"/>
        <v>144.407862479608</v>
      </c>
      <c r="AE240" s="68">
        <f t="shared" si="141"/>
        <v>38.5921375203915</v>
      </c>
    </row>
    <row r="241" customFormat="1" spans="1:31">
      <c r="A241" s="18"/>
      <c r="B241" s="19"/>
      <c r="C241" s="20">
        <v>240609000007</v>
      </c>
      <c r="D241" s="21">
        <v>45458</v>
      </c>
      <c r="E241" s="21" t="s">
        <v>41</v>
      </c>
      <c r="F241" s="19" t="s">
        <v>42</v>
      </c>
      <c r="G241" s="19" t="s">
        <v>258</v>
      </c>
      <c r="H241" s="19">
        <v>2.5</v>
      </c>
      <c r="I241" s="38">
        <v>153</v>
      </c>
      <c r="J241" s="39"/>
      <c r="K241" s="40"/>
      <c r="L241" s="19"/>
      <c r="M241" s="40"/>
      <c r="N241" s="41"/>
      <c r="O241" s="42">
        <f t="shared" si="155"/>
        <v>153</v>
      </c>
      <c r="P241" s="44"/>
      <c r="Q241" s="44"/>
      <c r="R241" s="68">
        <f t="shared" si="146"/>
        <v>104.26264274062</v>
      </c>
      <c r="S241" s="69">
        <f t="shared" si="147"/>
        <v>0.0881321370309951</v>
      </c>
      <c r="T241" s="69">
        <f t="shared" si="148"/>
        <v>0.188223898858075</v>
      </c>
      <c r="U241" s="68"/>
      <c r="V241" s="68"/>
      <c r="W241" s="68">
        <f t="shared" si="142"/>
        <v>104.538998776509</v>
      </c>
      <c r="X241" s="70">
        <f t="shared" si="149"/>
        <v>2.18244290375204</v>
      </c>
      <c r="Y241" s="70"/>
      <c r="Z241" s="70"/>
      <c r="AA241" s="70">
        <f t="shared" si="143"/>
        <v>2.18244290375204</v>
      </c>
      <c r="AB241" s="80">
        <v>7.24</v>
      </c>
      <c r="AC241" s="68">
        <f t="shared" si="144"/>
        <v>15.8008866231648</v>
      </c>
      <c r="AD241" s="68">
        <f t="shared" si="140"/>
        <v>120.339885399674</v>
      </c>
      <c r="AE241" s="68">
        <f t="shared" si="141"/>
        <v>32.6601146003263</v>
      </c>
    </row>
    <row r="242" customFormat="1" spans="1:31">
      <c r="A242" s="18"/>
      <c r="B242" s="19"/>
      <c r="C242" s="20">
        <v>240609000008</v>
      </c>
      <c r="D242" s="21">
        <v>45458</v>
      </c>
      <c r="E242" s="21" t="s">
        <v>41</v>
      </c>
      <c r="F242" s="19" t="s">
        <v>42</v>
      </c>
      <c r="G242" s="19" t="s">
        <v>259</v>
      </c>
      <c r="H242" s="19">
        <v>14</v>
      </c>
      <c r="I242" s="42"/>
      <c r="J242" s="46">
        <v>210280</v>
      </c>
      <c r="K242" s="40"/>
      <c r="L242" s="47">
        <f t="shared" ref="L242:L246" si="156">SUM(J242/M242)</f>
        <v>1502</v>
      </c>
      <c r="M242" s="48">
        <v>140</v>
      </c>
      <c r="N242" s="41">
        <v>7.24</v>
      </c>
      <c r="O242" s="42">
        <f t="shared" ref="O242:O246" si="157">SUM(M242*N242)</f>
        <v>1013.6</v>
      </c>
      <c r="P242" s="44"/>
      <c r="Q242" s="44"/>
      <c r="R242" s="68">
        <f t="shared" si="146"/>
        <v>583.870799347471</v>
      </c>
      <c r="S242" s="69">
        <f t="shared" si="147"/>
        <v>0.493539967373573</v>
      </c>
      <c r="T242" s="69">
        <f t="shared" si="148"/>
        <v>1.05405383360522</v>
      </c>
      <c r="U242" s="68"/>
      <c r="V242" s="68"/>
      <c r="W242" s="68">
        <f t="shared" si="142"/>
        <v>585.41839314845</v>
      </c>
      <c r="X242" s="70">
        <f t="shared" si="149"/>
        <v>12.2216802610114</v>
      </c>
      <c r="Y242" s="70"/>
      <c r="Z242" s="70"/>
      <c r="AA242" s="70">
        <f t="shared" si="143"/>
        <v>12.2216802610114</v>
      </c>
      <c r="AB242" s="80">
        <v>7.24</v>
      </c>
      <c r="AC242" s="68">
        <f t="shared" si="144"/>
        <v>88.4849650897227</v>
      </c>
      <c r="AD242" s="68">
        <f t="shared" ref="AD242:AD260" si="158">SUM(W242+AC242)</f>
        <v>673.903358238173</v>
      </c>
      <c r="AE242" s="68">
        <f t="shared" ref="AE242:AE260" si="159">SUM(O242-AD242)</f>
        <v>339.696641761827</v>
      </c>
    </row>
    <row r="243" customFormat="1" spans="1:31">
      <c r="A243" s="18"/>
      <c r="B243" s="19"/>
      <c r="C243" s="20">
        <v>240609000009</v>
      </c>
      <c r="D243" s="21">
        <v>45458</v>
      </c>
      <c r="E243" s="21" t="s">
        <v>41</v>
      </c>
      <c r="F243" s="19" t="s">
        <v>42</v>
      </c>
      <c r="G243" s="19" t="s">
        <v>247</v>
      </c>
      <c r="H243" s="19">
        <v>6</v>
      </c>
      <c r="I243" s="38">
        <v>348</v>
      </c>
      <c r="J243" s="39"/>
      <c r="K243" s="40"/>
      <c r="L243" s="19"/>
      <c r="M243" s="40"/>
      <c r="N243" s="41"/>
      <c r="O243" s="42">
        <f t="shared" ref="O243:O251" si="160">SUM(I243)</f>
        <v>348</v>
      </c>
      <c r="P243" s="44"/>
      <c r="Q243" s="44"/>
      <c r="R243" s="68">
        <f t="shared" si="146"/>
        <v>250.230342577488</v>
      </c>
      <c r="S243" s="69">
        <f t="shared" si="147"/>
        <v>0.211517128874388</v>
      </c>
      <c r="T243" s="69">
        <f t="shared" si="148"/>
        <v>0.45173735725938</v>
      </c>
      <c r="U243" s="68"/>
      <c r="V243" s="68"/>
      <c r="W243" s="68">
        <f t="shared" ref="W243:W260" si="161">SUM(R243:V243)</f>
        <v>250.893597063622</v>
      </c>
      <c r="X243" s="70">
        <f t="shared" si="149"/>
        <v>5.23786296900489</v>
      </c>
      <c r="Y243" s="70"/>
      <c r="Z243" s="70"/>
      <c r="AA243" s="70">
        <f t="shared" ref="AA243:AA260" si="162">SUM(X243:Z243)</f>
        <v>5.23786296900489</v>
      </c>
      <c r="AB243" s="80">
        <v>7.24</v>
      </c>
      <c r="AC243" s="68">
        <f t="shared" ref="AC243:AC260" si="163">SUM(AA243*AB243)</f>
        <v>37.9221278955954</v>
      </c>
      <c r="AD243" s="68">
        <f t="shared" si="158"/>
        <v>288.815724959217</v>
      </c>
      <c r="AE243" s="68">
        <f t="shared" si="159"/>
        <v>59.184275040783</v>
      </c>
    </row>
    <row r="244" customFormat="1" spans="1:31">
      <c r="A244" s="18"/>
      <c r="B244" s="19"/>
      <c r="C244" s="20">
        <v>240609000014</v>
      </c>
      <c r="D244" s="21">
        <v>45458</v>
      </c>
      <c r="E244" s="21" t="s">
        <v>41</v>
      </c>
      <c r="F244" s="19" t="s">
        <v>42</v>
      </c>
      <c r="G244" s="19" t="s">
        <v>260</v>
      </c>
      <c r="H244" s="19">
        <v>4</v>
      </c>
      <c r="I244" s="42"/>
      <c r="J244" s="46">
        <v>50617</v>
      </c>
      <c r="K244" s="40"/>
      <c r="L244" s="47">
        <f t="shared" si="156"/>
        <v>1501.9881305638</v>
      </c>
      <c r="M244" s="48">
        <v>33.7</v>
      </c>
      <c r="N244" s="41">
        <v>7.24</v>
      </c>
      <c r="O244" s="42">
        <f t="shared" si="157"/>
        <v>243.988</v>
      </c>
      <c r="P244" s="44"/>
      <c r="Q244" s="44"/>
      <c r="R244" s="68">
        <f t="shared" si="146"/>
        <v>166.820228384992</v>
      </c>
      <c r="S244" s="69">
        <f t="shared" si="147"/>
        <v>0.141011419249592</v>
      </c>
      <c r="T244" s="69">
        <f t="shared" si="148"/>
        <v>0.30115823817292</v>
      </c>
      <c r="U244" s="68"/>
      <c r="V244" s="68"/>
      <c r="W244" s="68">
        <f t="shared" si="161"/>
        <v>167.262398042414</v>
      </c>
      <c r="X244" s="70">
        <f t="shared" si="149"/>
        <v>3.49190864600326</v>
      </c>
      <c r="Y244" s="70"/>
      <c r="Z244" s="70"/>
      <c r="AA244" s="70">
        <f t="shared" si="162"/>
        <v>3.49190864600326</v>
      </c>
      <c r="AB244" s="80">
        <v>7.24</v>
      </c>
      <c r="AC244" s="68">
        <f t="shared" si="163"/>
        <v>25.2814185970636</v>
      </c>
      <c r="AD244" s="68">
        <f t="shared" si="158"/>
        <v>192.543816639478</v>
      </c>
      <c r="AE244" s="68">
        <f t="shared" si="159"/>
        <v>51.444183360522</v>
      </c>
    </row>
    <row r="245" customFormat="1" spans="1:31">
      <c r="A245" s="18"/>
      <c r="B245" s="19"/>
      <c r="C245" s="20">
        <v>240609000015</v>
      </c>
      <c r="D245" s="21">
        <v>45458</v>
      </c>
      <c r="E245" s="21" t="s">
        <v>41</v>
      </c>
      <c r="F245" s="19" t="s">
        <v>42</v>
      </c>
      <c r="G245" s="19" t="s">
        <v>201</v>
      </c>
      <c r="H245" s="19">
        <v>4</v>
      </c>
      <c r="I245" s="42"/>
      <c r="J245" s="46">
        <v>55680</v>
      </c>
      <c r="K245" s="40"/>
      <c r="L245" s="47">
        <f t="shared" si="156"/>
        <v>1502.02319935258</v>
      </c>
      <c r="M245" s="48">
        <v>37.07</v>
      </c>
      <c r="N245" s="41">
        <v>7.24</v>
      </c>
      <c r="O245" s="42">
        <f t="shared" si="157"/>
        <v>268.3868</v>
      </c>
      <c r="P245" s="44"/>
      <c r="Q245" s="44"/>
      <c r="R245" s="68">
        <f t="shared" si="146"/>
        <v>166.820228384992</v>
      </c>
      <c r="S245" s="69">
        <f t="shared" si="147"/>
        <v>0.141011419249592</v>
      </c>
      <c r="T245" s="69">
        <f t="shared" si="148"/>
        <v>0.30115823817292</v>
      </c>
      <c r="U245" s="68"/>
      <c r="V245" s="68"/>
      <c r="W245" s="68">
        <f t="shared" si="161"/>
        <v>167.262398042414</v>
      </c>
      <c r="X245" s="70">
        <f t="shared" si="149"/>
        <v>3.49190864600326</v>
      </c>
      <c r="Y245" s="70"/>
      <c r="Z245" s="70"/>
      <c r="AA245" s="70">
        <f t="shared" si="162"/>
        <v>3.49190864600326</v>
      </c>
      <c r="AB245" s="80">
        <v>7.24</v>
      </c>
      <c r="AC245" s="68">
        <f t="shared" si="163"/>
        <v>25.2814185970636</v>
      </c>
      <c r="AD245" s="68">
        <f t="shared" si="158"/>
        <v>192.543816639478</v>
      </c>
      <c r="AE245" s="68">
        <f t="shared" si="159"/>
        <v>75.842983360522</v>
      </c>
    </row>
    <row r="246" customFormat="1" spans="1:31">
      <c r="A246" s="18"/>
      <c r="B246" s="19"/>
      <c r="C246" s="20">
        <v>240610000002</v>
      </c>
      <c r="D246" s="21">
        <v>45458</v>
      </c>
      <c r="E246" s="21" t="s">
        <v>66</v>
      </c>
      <c r="F246" s="19" t="s">
        <v>100</v>
      </c>
      <c r="G246" s="19" t="s">
        <v>261</v>
      </c>
      <c r="H246" s="19">
        <v>51.5</v>
      </c>
      <c r="I246" s="42"/>
      <c r="J246" s="46">
        <v>589671</v>
      </c>
      <c r="K246" s="40"/>
      <c r="L246" s="47">
        <f t="shared" si="156"/>
        <v>1502.00208869304</v>
      </c>
      <c r="M246" s="48">
        <v>392.59</v>
      </c>
      <c r="N246" s="41">
        <v>7.24</v>
      </c>
      <c r="O246" s="42">
        <f t="shared" si="157"/>
        <v>2842.3516</v>
      </c>
      <c r="P246" s="44"/>
      <c r="Q246" s="44"/>
      <c r="R246" s="68">
        <f t="shared" si="146"/>
        <v>2147.81044045677</v>
      </c>
      <c r="S246" s="69">
        <f t="shared" si="147"/>
        <v>1.8155220228385</v>
      </c>
      <c r="T246" s="69">
        <f t="shared" si="148"/>
        <v>3.87741231647635</v>
      </c>
      <c r="U246" s="68"/>
      <c r="V246" s="68"/>
      <c r="W246" s="68">
        <f t="shared" si="161"/>
        <v>2153.50337479609</v>
      </c>
      <c r="X246" s="70">
        <f t="shared" si="149"/>
        <v>44.958323817292</v>
      </c>
      <c r="Y246" s="70"/>
      <c r="Z246" s="70"/>
      <c r="AA246" s="70">
        <f t="shared" si="162"/>
        <v>44.958323817292</v>
      </c>
      <c r="AB246" s="80">
        <v>7.24</v>
      </c>
      <c r="AC246" s="68">
        <f t="shared" si="163"/>
        <v>325.498264437194</v>
      </c>
      <c r="AD246" s="68">
        <f t="shared" si="158"/>
        <v>2479.00163923328</v>
      </c>
      <c r="AE246" s="68">
        <f t="shared" si="159"/>
        <v>363.349960766721</v>
      </c>
    </row>
    <row r="247" customFormat="1" spans="1:31">
      <c r="A247" s="18"/>
      <c r="B247" s="19"/>
      <c r="C247" s="20">
        <v>240610000003</v>
      </c>
      <c r="D247" s="21">
        <v>45458</v>
      </c>
      <c r="E247" s="21" t="s">
        <v>37</v>
      </c>
      <c r="F247" s="19" t="s">
        <v>37</v>
      </c>
      <c r="G247" s="19" t="s">
        <v>262</v>
      </c>
      <c r="H247" s="19">
        <v>115.5</v>
      </c>
      <c r="I247" s="38">
        <v>6325</v>
      </c>
      <c r="J247" s="39"/>
      <c r="K247" s="40"/>
      <c r="L247" s="19"/>
      <c r="M247" s="40"/>
      <c r="N247" s="41"/>
      <c r="O247" s="42">
        <f t="shared" si="160"/>
        <v>6325</v>
      </c>
      <c r="P247" s="44"/>
      <c r="Q247" s="44"/>
      <c r="R247" s="68">
        <f t="shared" si="146"/>
        <v>4816.93409461664</v>
      </c>
      <c r="S247" s="69">
        <f t="shared" si="147"/>
        <v>4.07170473083197</v>
      </c>
      <c r="T247" s="69">
        <f t="shared" si="148"/>
        <v>8.69594412724307</v>
      </c>
      <c r="U247" s="68"/>
      <c r="V247" s="68"/>
      <c r="W247" s="68">
        <f t="shared" si="161"/>
        <v>4829.70174347471</v>
      </c>
      <c r="X247" s="70">
        <f t="shared" si="149"/>
        <v>100.828862153344</v>
      </c>
      <c r="Y247" s="70"/>
      <c r="Z247" s="70"/>
      <c r="AA247" s="70">
        <f t="shared" si="162"/>
        <v>100.828862153344</v>
      </c>
      <c r="AB247" s="80">
        <v>7.24</v>
      </c>
      <c r="AC247" s="68">
        <f t="shared" si="163"/>
        <v>730.000961990212</v>
      </c>
      <c r="AD247" s="68">
        <f t="shared" si="158"/>
        <v>5559.70270546493</v>
      </c>
      <c r="AE247" s="68">
        <f t="shared" si="159"/>
        <v>765.297294535074</v>
      </c>
    </row>
    <row r="248" customFormat="1" spans="1:31">
      <c r="A248" s="18"/>
      <c r="B248" s="19"/>
      <c r="C248" s="20">
        <v>240610000004</v>
      </c>
      <c r="D248" s="21">
        <v>45458</v>
      </c>
      <c r="E248" s="21" t="s">
        <v>51</v>
      </c>
      <c r="F248" s="19" t="s">
        <v>52</v>
      </c>
      <c r="G248" s="19" t="s">
        <v>160</v>
      </c>
      <c r="H248" s="19">
        <v>12.5</v>
      </c>
      <c r="I248" s="38">
        <v>687.5</v>
      </c>
      <c r="J248" s="39"/>
      <c r="K248" s="40"/>
      <c r="L248" s="19"/>
      <c r="M248" s="40"/>
      <c r="N248" s="41"/>
      <c r="O248" s="42">
        <f t="shared" si="160"/>
        <v>687.5</v>
      </c>
      <c r="P248" s="44"/>
      <c r="Q248" s="44"/>
      <c r="R248" s="68">
        <f t="shared" si="146"/>
        <v>521.3132137031</v>
      </c>
      <c r="S248" s="69">
        <f t="shared" si="147"/>
        <v>0.440660685154976</v>
      </c>
      <c r="T248" s="69">
        <f t="shared" si="148"/>
        <v>0.941119494290375</v>
      </c>
      <c r="U248" s="68"/>
      <c r="V248" s="68"/>
      <c r="W248" s="68">
        <f t="shared" si="161"/>
        <v>522.694993882545</v>
      </c>
      <c r="X248" s="70">
        <f t="shared" si="149"/>
        <v>10.9122145187602</v>
      </c>
      <c r="Y248" s="70"/>
      <c r="Z248" s="70"/>
      <c r="AA248" s="70">
        <f t="shared" si="162"/>
        <v>10.9122145187602</v>
      </c>
      <c r="AB248" s="80">
        <v>7.24</v>
      </c>
      <c r="AC248" s="68">
        <f t="shared" si="163"/>
        <v>79.0044331158238</v>
      </c>
      <c r="AD248" s="68">
        <f t="shared" si="158"/>
        <v>601.699426998369</v>
      </c>
      <c r="AE248" s="68">
        <f t="shared" si="159"/>
        <v>85.8005730016314</v>
      </c>
    </row>
    <row r="249" customFormat="1" spans="1:31">
      <c r="A249" s="18"/>
      <c r="B249" s="19"/>
      <c r="C249" s="20">
        <v>240610000008</v>
      </c>
      <c r="D249" s="21">
        <v>45458</v>
      </c>
      <c r="E249" s="21" t="s">
        <v>51</v>
      </c>
      <c r="F249" s="19" t="s">
        <v>52</v>
      </c>
      <c r="G249" s="19" t="s">
        <v>263</v>
      </c>
      <c r="H249" s="19">
        <v>6</v>
      </c>
      <c r="I249" s="38">
        <v>348</v>
      </c>
      <c r="J249" s="39"/>
      <c r="K249" s="40"/>
      <c r="L249" s="19"/>
      <c r="M249" s="40"/>
      <c r="N249" s="41"/>
      <c r="O249" s="42">
        <f t="shared" si="160"/>
        <v>348</v>
      </c>
      <c r="P249" s="44"/>
      <c r="Q249" s="44"/>
      <c r="R249" s="68">
        <f t="shared" si="146"/>
        <v>250.230342577488</v>
      </c>
      <c r="S249" s="69">
        <f t="shared" si="147"/>
        <v>0.211517128874388</v>
      </c>
      <c r="T249" s="69">
        <f t="shared" si="148"/>
        <v>0.45173735725938</v>
      </c>
      <c r="U249" s="68"/>
      <c r="V249" s="68"/>
      <c r="W249" s="68">
        <f t="shared" si="161"/>
        <v>250.893597063622</v>
      </c>
      <c r="X249" s="70">
        <f t="shared" si="149"/>
        <v>5.23786296900489</v>
      </c>
      <c r="Y249" s="70"/>
      <c r="Z249" s="70"/>
      <c r="AA249" s="70">
        <f t="shared" si="162"/>
        <v>5.23786296900489</v>
      </c>
      <c r="AB249" s="80">
        <v>7.24</v>
      </c>
      <c r="AC249" s="68">
        <f t="shared" si="163"/>
        <v>37.9221278955954</v>
      </c>
      <c r="AD249" s="68">
        <f t="shared" si="158"/>
        <v>288.815724959217</v>
      </c>
      <c r="AE249" s="68">
        <f t="shared" si="159"/>
        <v>59.184275040783</v>
      </c>
    </row>
    <row r="250" customFormat="1" spans="1:31">
      <c r="A250" s="18"/>
      <c r="B250" s="19"/>
      <c r="C250" s="20">
        <v>240610000011</v>
      </c>
      <c r="D250" s="21">
        <v>45458</v>
      </c>
      <c r="E250" s="21" t="s">
        <v>264</v>
      </c>
      <c r="F250" s="19" t="s">
        <v>37</v>
      </c>
      <c r="G250" s="19" t="s">
        <v>265</v>
      </c>
      <c r="H250" s="19">
        <v>0.2</v>
      </c>
      <c r="I250" s="38">
        <v>63</v>
      </c>
      <c r="J250" s="39"/>
      <c r="K250" s="40"/>
      <c r="L250" s="19"/>
      <c r="M250" s="40"/>
      <c r="N250" s="41"/>
      <c r="O250" s="42">
        <f t="shared" si="160"/>
        <v>63</v>
      </c>
      <c r="P250" s="44"/>
      <c r="Q250" s="44"/>
      <c r="R250" s="68">
        <f t="shared" si="146"/>
        <v>8.34101141924959</v>
      </c>
      <c r="S250" s="69">
        <f t="shared" si="147"/>
        <v>0.00705057096247961</v>
      </c>
      <c r="T250" s="69">
        <f t="shared" si="148"/>
        <v>0.015057911908646</v>
      </c>
      <c r="U250" s="68"/>
      <c r="V250" s="68"/>
      <c r="W250" s="68">
        <f t="shared" si="161"/>
        <v>8.36311990212072</v>
      </c>
      <c r="X250" s="70">
        <f t="shared" si="149"/>
        <v>0.174595432300163</v>
      </c>
      <c r="Y250" s="70"/>
      <c r="Z250" s="70"/>
      <c r="AA250" s="70">
        <f t="shared" si="162"/>
        <v>0.174595432300163</v>
      </c>
      <c r="AB250" s="80">
        <v>7.24</v>
      </c>
      <c r="AC250" s="68">
        <f t="shared" si="163"/>
        <v>1.26407092985318</v>
      </c>
      <c r="AD250" s="68">
        <f t="shared" si="158"/>
        <v>9.6271908319739</v>
      </c>
      <c r="AE250" s="68">
        <f t="shared" si="159"/>
        <v>53.3728091680261</v>
      </c>
    </row>
    <row r="251" customFormat="1" spans="1:31">
      <c r="A251" s="18"/>
      <c r="B251" s="19"/>
      <c r="C251" s="20">
        <v>240611000001</v>
      </c>
      <c r="D251" s="21">
        <v>45458</v>
      </c>
      <c r="E251" s="21" t="s">
        <v>37</v>
      </c>
      <c r="F251" s="19" t="s">
        <v>165</v>
      </c>
      <c r="G251" s="19" t="s">
        <v>166</v>
      </c>
      <c r="H251" s="19">
        <v>151.5</v>
      </c>
      <c r="I251" s="38">
        <v>9099</v>
      </c>
      <c r="J251" s="39"/>
      <c r="K251" s="40"/>
      <c r="L251" s="19"/>
      <c r="M251" s="40"/>
      <c r="N251" s="41"/>
      <c r="O251" s="42">
        <f t="shared" si="160"/>
        <v>9099</v>
      </c>
      <c r="P251" s="44"/>
      <c r="Q251" s="44"/>
      <c r="R251" s="68">
        <f t="shared" si="146"/>
        <v>6318.31615008157</v>
      </c>
      <c r="S251" s="69">
        <f t="shared" si="147"/>
        <v>5.3408075040783</v>
      </c>
      <c r="T251" s="69">
        <f t="shared" si="148"/>
        <v>11.4063682707993</v>
      </c>
      <c r="U251" s="68"/>
      <c r="V251" s="68"/>
      <c r="W251" s="68">
        <f t="shared" si="161"/>
        <v>6335.06332585644</v>
      </c>
      <c r="X251" s="70">
        <f t="shared" si="149"/>
        <v>132.256039967374</v>
      </c>
      <c r="Y251" s="70"/>
      <c r="Z251" s="70"/>
      <c r="AA251" s="70">
        <f t="shared" si="162"/>
        <v>132.256039967374</v>
      </c>
      <c r="AB251" s="80">
        <v>7.24</v>
      </c>
      <c r="AC251" s="68">
        <f t="shared" si="163"/>
        <v>957.533729363785</v>
      </c>
      <c r="AD251" s="68">
        <f t="shared" si="158"/>
        <v>7292.59705522023</v>
      </c>
      <c r="AE251" s="68">
        <f t="shared" si="159"/>
        <v>1806.40294477977</v>
      </c>
    </row>
    <row r="252" customFormat="1" spans="1:31">
      <c r="A252" s="18"/>
      <c r="B252" s="19"/>
      <c r="C252" s="20">
        <v>240611000003</v>
      </c>
      <c r="D252" s="21">
        <v>45458</v>
      </c>
      <c r="E252" s="21" t="s">
        <v>48</v>
      </c>
      <c r="F252" s="19" t="s">
        <v>49</v>
      </c>
      <c r="G252" s="19" t="s">
        <v>211</v>
      </c>
      <c r="H252" s="19">
        <v>0.6</v>
      </c>
      <c r="I252" s="45"/>
      <c r="J252" s="46">
        <v>13041</v>
      </c>
      <c r="K252" s="40"/>
      <c r="L252" s="47">
        <f>SUM(J252/M252)</f>
        <v>1498.96551724138</v>
      </c>
      <c r="M252" s="48">
        <v>8.7</v>
      </c>
      <c r="N252" s="41">
        <v>7.24</v>
      </c>
      <c r="O252" s="42">
        <f>SUM(M252*N252)</f>
        <v>62.988</v>
      </c>
      <c r="P252" s="44"/>
      <c r="Q252" s="44"/>
      <c r="R252" s="68">
        <f t="shared" si="146"/>
        <v>25.0230342577488</v>
      </c>
      <c r="S252" s="69">
        <f t="shared" si="147"/>
        <v>0.0211517128874388</v>
      </c>
      <c r="T252" s="69">
        <f t="shared" si="148"/>
        <v>0.045173735725938</v>
      </c>
      <c r="U252" s="68"/>
      <c r="V252" s="68"/>
      <c r="W252" s="68">
        <f t="shared" si="161"/>
        <v>25.0893597063622</v>
      </c>
      <c r="X252" s="70">
        <f t="shared" si="149"/>
        <v>0.523786296900489</v>
      </c>
      <c r="Y252" s="70"/>
      <c r="Z252" s="70"/>
      <c r="AA252" s="70">
        <f t="shared" si="162"/>
        <v>0.523786296900489</v>
      </c>
      <c r="AB252" s="80">
        <v>7.24</v>
      </c>
      <c r="AC252" s="68">
        <f t="shared" si="163"/>
        <v>3.79221278955954</v>
      </c>
      <c r="AD252" s="68">
        <f t="shared" si="158"/>
        <v>28.8815724959217</v>
      </c>
      <c r="AE252" s="68">
        <f t="shared" si="159"/>
        <v>34.1064275040783</v>
      </c>
    </row>
    <row r="253" customFormat="1" spans="1:31">
      <c r="A253" s="18"/>
      <c r="B253" s="19"/>
      <c r="C253" s="20">
        <v>240611000007</v>
      </c>
      <c r="D253" s="21">
        <v>45458</v>
      </c>
      <c r="E253" s="21" t="s">
        <v>48</v>
      </c>
      <c r="F253" s="19" t="s">
        <v>49</v>
      </c>
      <c r="G253" s="19" t="s">
        <v>63</v>
      </c>
      <c r="H253" s="19">
        <v>7.5</v>
      </c>
      <c r="I253" s="38">
        <v>442.5</v>
      </c>
      <c r="J253" s="39"/>
      <c r="K253" s="40"/>
      <c r="L253" s="19"/>
      <c r="M253" s="40"/>
      <c r="N253" s="41"/>
      <c r="O253" s="42">
        <f t="shared" ref="O253:O256" si="164">SUM(I253)</f>
        <v>442.5</v>
      </c>
      <c r="P253" s="44"/>
      <c r="Q253" s="44"/>
      <c r="R253" s="68">
        <f t="shared" si="146"/>
        <v>312.78792822186</v>
      </c>
      <c r="S253" s="69">
        <f t="shared" si="147"/>
        <v>0.264396411092985</v>
      </c>
      <c r="T253" s="69">
        <f t="shared" si="148"/>
        <v>0.564671696574225</v>
      </c>
      <c r="U253" s="68"/>
      <c r="V253" s="68"/>
      <c r="W253" s="68">
        <f t="shared" si="161"/>
        <v>313.616996329527</v>
      </c>
      <c r="X253" s="70">
        <f t="shared" si="149"/>
        <v>6.54732871125612</v>
      </c>
      <c r="Y253" s="70"/>
      <c r="Z253" s="70"/>
      <c r="AA253" s="70">
        <f t="shared" si="162"/>
        <v>6.54732871125612</v>
      </c>
      <c r="AB253" s="80">
        <v>7.24</v>
      </c>
      <c r="AC253" s="68">
        <f t="shared" si="163"/>
        <v>47.4026598694943</v>
      </c>
      <c r="AD253" s="68">
        <f t="shared" si="158"/>
        <v>361.019656199021</v>
      </c>
      <c r="AE253" s="68">
        <f t="shared" si="159"/>
        <v>81.4803438009787</v>
      </c>
    </row>
    <row r="254" customFormat="1" spans="1:31">
      <c r="A254" s="18"/>
      <c r="B254" s="19"/>
      <c r="C254" s="20">
        <v>240611000008</v>
      </c>
      <c r="D254" s="21">
        <v>45458</v>
      </c>
      <c r="E254" s="21" t="s">
        <v>48</v>
      </c>
      <c r="F254" s="19" t="s">
        <v>49</v>
      </c>
      <c r="G254" s="19" t="s">
        <v>63</v>
      </c>
      <c r="H254" s="19">
        <v>0.94</v>
      </c>
      <c r="I254" s="38">
        <v>59</v>
      </c>
      <c r="J254" s="39"/>
      <c r="K254" s="40"/>
      <c r="L254" s="19"/>
      <c r="M254" s="40"/>
      <c r="N254" s="41"/>
      <c r="O254" s="42">
        <f t="shared" si="164"/>
        <v>59</v>
      </c>
      <c r="P254" s="44"/>
      <c r="Q254" s="44"/>
      <c r="R254" s="68">
        <f t="shared" si="146"/>
        <v>39.2027536704731</v>
      </c>
      <c r="S254" s="69">
        <f t="shared" si="147"/>
        <v>0.0331376835236542</v>
      </c>
      <c r="T254" s="69">
        <f t="shared" si="148"/>
        <v>0.0707721859706362</v>
      </c>
      <c r="U254" s="68"/>
      <c r="V254" s="68"/>
      <c r="W254" s="68">
        <f t="shared" si="161"/>
        <v>39.3066635399674</v>
      </c>
      <c r="X254" s="70">
        <f t="shared" si="149"/>
        <v>0.820598531810767</v>
      </c>
      <c r="Y254" s="70"/>
      <c r="Z254" s="70"/>
      <c r="AA254" s="70">
        <f t="shared" si="162"/>
        <v>0.820598531810767</v>
      </c>
      <c r="AB254" s="80">
        <v>7.24</v>
      </c>
      <c r="AC254" s="68">
        <f t="shared" si="163"/>
        <v>5.94113337030995</v>
      </c>
      <c r="AD254" s="68">
        <f t="shared" si="158"/>
        <v>45.2477969102773</v>
      </c>
      <c r="AE254" s="68">
        <f t="shared" si="159"/>
        <v>13.7522030897227</v>
      </c>
    </row>
    <row r="255" customFormat="1" spans="1:31">
      <c r="A255" s="18"/>
      <c r="B255" s="19"/>
      <c r="C255" s="20">
        <v>240611000013</v>
      </c>
      <c r="D255" s="21">
        <v>45458</v>
      </c>
      <c r="E255" s="21" t="s">
        <v>48</v>
      </c>
      <c r="F255" s="19" t="s">
        <v>49</v>
      </c>
      <c r="G255" s="19" t="s">
        <v>266</v>
      </c>
      <c r="H255" s="19">
        <v>75</v>
      </c>
      <c r="I255" s="38">
        <v>4500</v>
      </c>
      <c r="J255" s="39"/>
      <c r="K255" s="40"/>
      <c r="L255" s="19"/>
      <c r="M255" s="40"/>
      <c r="N255" s="41"/>
      <c r="O255" s="42">
        <f t="shared" si="164"/>
        <v>4500</v>
      </c>
      <c r="P255" s="44"/>
      <c r="Q255" s="44"/>
      <c r="R255" s="68">
        <f t="shared" si="146"/>
        <v>3127.8792822186</v>
      </c>
      <c r="S255" s="69">
        <f t="shared" si="147"/>
        <v>2.64396411092985</v>
      </c>
      <c r="T255" s="69">
        <f t="shared" si="148"/>
        <v>5.64671696574225</v>
      </c>
      <c r="U255" s="68"/>
      <c r="V255" s="68"/>
      <c r="W255" s="68">
        <f t="shared" si="161"/>
        <v>3136.16996329527</v>
      </c>
      <c r="X255" s="70">
        <f t="shared" si="149"/>
        <v>65.4732871125612</v>
      </c>
      <c r="Y255" s="70"/>
      <c r="Z255" s="70"/>
      <c r="AA255" s="70">
        <f t="shared" si="162"/>
        <v>65.4732871125612</v>
      </c>
      <c r="AB255" s="80">
        <v>7.24</v>
      </c>
      <c r="AC255" s="68">
        <f t="shared" si="163"/>
        <v>474.026598694943</v>
      </c>
      <c r="AD255" s="68">
        <f t="shared" si="158"/>
        <v>3610.19656199021</v>
      </c>
      <c r="AE255" s="68">
        <f t="shared" si="159"/>
        <v>889.803438009787</v>
      </c>
    </row>
    <row r="256" customFormat="1" spans="1:31">
      <c r="A256" s="18"/>
      <c r="B256" s="19"/>
      <c r="C256" s="20">
        <v>240611000015</v>
      </c>
      <c r="D256" s="21">
        <v>45458</v>
      </c>
      <c r="E256" s="21" t="s">
        <v>48</v>
      </c>
      <c r="F256" s="19" t="s">
        <v>49</v>
      </c>
      <c r="G256" s="19" t="s">
        <v>65</v>
      </c>
      <c r="H256" s="19">
        <v>2</v>
      </c>
      <c r="I256" s="38">
        <v>108</v>
      </c>
      <c r="J256" s="39"/>
      <c r="K256" s="40"/>
      <c r="L256" s="19"/>
      <c r="M256" s="40"/>
      <c r="N256" s="41"/>
      <c r="O256" s="42">
        <f t="shared" si="164"/>
        <v>108</v>
      </c>
      <c r="P256" s="44"/>
      <c r="Q256" s="44"/>
      <c r="R256" s="68">
        <f t="shared" si="146"/>
        <v>83.4101141924959</v>
      </c>
      <c r="S256" s="69">
        <f t="shared" si="147"/>
        <v>0.0705057096247961</v>
      </c>
      <c r="T256" s="69">
        <f t="shared" si="148"/>
        <v>0.15057911908646</v>
      </c>
      <c r="U256" s="68"/>
      <c r="V256" s="68"/>
      <c r="W256" s="68">
        <f t="shared" si="161"/>
        <v>83.6311990212072</v>
      </c>
      <c r="X256" s="70">
        <f t="shared" si="149"/>
        <v>1.74595432300163</v>
      </c>
      <c r="Y256" s="70"/>
      <c r="Z256" s="70"/>
      <c r="AA256" s="70">
        <f t="shared" si="162"/>
        <v>1.74595432300163</v>
      </c>
      <c r="AB256" s="80">
        <v>7.24</v>
      </c>
      <c r="AC256" s="68">
        <f t="shared" si="163"/>
        <v>12.6407092985318</v>
      </c>
      <c r="AD256" s="68">
        <f t="shared" si="158"/>
        <v>96.271908319739</v>
      </c>
      <c r="AE256" s="68">
        <f t="shared" si="159"/>
        <v>11.728091680261</v>
      </c>
    </row>
    <row r="257" customFormat="1" spans="1:31">
      <c r="A257" s="18"/>
      <c r="B257" s="19"/>
      <c r="C257" s="20">
        <v>240611000016</v>
      </c>
      <c r="D257" s="21">
        <v>45458</v>
      </c>
      <c r="E257" s="21" t="s">
        <v>48</v>
      </c>
      <c r="F257" s="19" t="s">
        <v>49</v>
      </c>
      <c r="G257" s="19" t="s">
        <v>70</v>
      </c>
      <c r="H257" s="19">
        <v>5.5</v>
      </c>
      <c r="I257" s="45"/>
      <c r="J257" s="46">
        <v>62920</v>
      </c>
      <c r="K257" s="40"/>
      <c r="L257" s="47">
        <f>SUM(J257/M257)</f>
        <v>1505.98372426999</v>
      </c>
      <c r="M257" s="48">
        <v>41.78</v>
      </c>
      <c r="N257" s="41">
        <v>7.24</v>
      </c>
      <c r="O257" s="42">
        <f>SUM(M257*N257)</f>
        <v>302.4872</v>
      </c>
      <c r="P257" s="44"/>
      <c r="Q257" s="44"/>
      <c r="R257" s="68">
        <f t="shared" si="146"/>
        <v>229.377814029364</v>
      </c>
      <c r="S257" s="69">
        <f t="shared" si="147"/>
        <v>0.193890701468189</v>
      </c>
      <c r="T257" s="69">
        <f t="shared" si="148"/>
        <v>0.414092577487765</v>
      </c>
      <c r="U257" s="68"/>
      <c r="V257" s="68"/>
      <c r="W257" s="68">
        <f t="shared" si="161"/>
        <v>229.98579730832</v>
      </c>
      <c r="X257" s="70">
        <f t="shared" si="149"/>
        <v>4.80137438825449</v>
      </c>
      <c r="Y257" s="70"/>
      <c r="Z257" s="70"/>
      <c r="AA257" s="70">
        <f t="shared" si="162"/>
        <v>4.80137438825449</v>
      </c>
      <c r="AB257" s="80">
        <v>7.24</v>
      </c>
      <c r="AC257" s="68">
        <f t="shared" si="163"/>
        <v>34.7619505709625</v>
      </c>
      <c r="AD257" s="68">
        <f t="shared" ref="AD257:AD288" si="165">SUM(W257+AC257)</f>
        <v>264.747747879282</v>
      </c>
      <c r="AE257" s="68">
        <f t="shared" si="159"/>
        <v>37.7394521207178</v>
      </c>
    </row>
    <row r="258" customFormat="1" spans="1:31">
      <c r="A258" s="18"/>
      <c r="B258" s="19"/>
      <c r="C258" s="20">
        <v>240611000017</v>
      </c>
      <c r="D258" s="21">
        <v>45458</v>
      </c>
      <c r="E258" s="21" t="s">
        <v>48</v>
      </c>
      <c r="F258" s="19" t="s">
        <v>49</v>
      </c>
      <c r="G258" s="19" t="s">
        <v>267</v>
      </c>
      <c r="H258" s="19">
        <v>69</v>
      </c>
      <c r="I258" s="38">
        <v>3726</v>
      </c>
      <c r="J258" s="39"/>
      <c r="K258" s="40"/>
      <c r="L258" s="19"/>
      <c r="M258" s="40"/>
      <c r="N258" s="41"/>
      <c r="O258" s="42">
        <f t="shared" ref="O258:O262" si="166">SUM(I258)</f>
        <v>3726</v>
      </c>
      <c r="P258" s="44"/>
      <c r="Q258" s="44"/>
      <c r="R258" s="68">
        <f t="shared" si="146"/>
        <v>2877.64893964111</v>
      </c>
      <c r="S258" s="69">
        <f t="shared" si="147"/>
        <v>2.43244698205546</v>
      </c>
      <c r="T258" s="69">
        <f t="shared" si="148"/>
        <v>5.19497960848287</v>
      </c>
      <c r="U258" s="68"/>
      <c r="V258" s="68"/>
      <c r="W258" s="68">
        <f t="shared" si="161"/>
        <v>2885.27636623165</v>
      </c>
      <c r="X258" s="70">
        <f t="shared" si="149"/>
        <v>60.2354241435563</v>
      </c>
      <c r="Y258" s="70"/>
      <c r="Z258" s="70"/>
      <c r="AA258" s="70">
        <f t="shared" si="162"/>
        <v>60.2354241435563</v>
      </c>
      <c r="AB258" s="80">
        <v>7.24</v>
      </c>
      <c r="AC258" s="68">
        <f t="shared" si="163"/>
        <v>436.104470799347</v>
      </c>
      <c r="AD258" s="68">
        <f t="shared" si="165"/>
        <v>3321.38083703099</v>
      </c>
      <c r="AE258" s="68">
        <f t="shared" si="159"/>
        <v>404.619162969005</v>
      </c>
    </row>
    <row r="259" customFormat="1" spans="1:31">
      <c r="A259" s="18"/>
      <c r="B259" s="19"/>
      <c r="C259" s="20">
        <v>240611000025</v>
      </c>
      <c r="D259" s="21">
        <v>45458</v>
      </c>
      <c r="E259" s="21" t="s">
        <v>41</v>
      </c>
      <c r="F259" s="19" t="s">
        <v>42</v>
      </c>
      <c r="G259" s="19" t="s">
        <v>247</v>
      </c>
      <c r="H259" s="19">
        <v>5</v>
      </c>
      <c r="I259" s="38">
        <v>303</v>
      </c>
      <c r="J259" s="39"/>
      <c r="K259" s="40"/>
      <c r="L259" s="19"/>
      <c r="M259" s="40"/>
      <c r="N259" s="41"/>
      <c r="O259" s="42">
        <f t="shared" si="166"/>
        <v>303</v>
      </c>
      <c r="P259" s="44"/>
      <c r="Q259" s="44"/>
      <c r="R259" s="68">
        <f t="shared" si="146"/>
        <v>208.52528548124</v>
      </c>
      <c r="S259" s="69">
        <f t="shared" si="147"/>
        <v>0.17626427406199</v>
      </c>
      <c r="T259" s="69">
        <f t="shared" si="148"/>
        <v>0.37644779771615</v>
      </c>
      <c r="U259" s="68"/>
      <c r="V259" s="68"/>
      <c r="W259" s="68">
        <f t="shared" si="161"/>
        <v>209.077997553018</v>
      </c>
      <c r="X259" s="70">
        <f t="shared" si="149"/>
        <v>4.36488580750408</v>
      </c>
      <c r="Y259" s="70"/>
      <c r="Z259" s="70"/>
      <c r="AA259" s="70">
        <f t="shared" si="162"/>
        <v>4.36488580750408</v>
      </c>
      <c r="AB259" s="80">
        <v>7.24</v>
      </c>
      <c r="AC259" s="68">
        <f t="shared" ref="AC259:AC290" si="167">SUM(AA259*AB259)</f>
        <v>31.6017732463295</v>
      </c>
      <c r="AD259" s="68">
        <f t="shared" si="165"/>
        <v>240.679770799347</v>
      </c>
      <c r="AE259" s="68">
        <f t="shared" ref="AE259:AE290" si="168">SUM(O259-AD259)</f>
        <v>62.3202292006525</v>
      </c>
    </row>
    <row r="260" customFormat="1" spans="1:31">
      <c r="A260" s="18"/>
      <c r="B260" s="19"/>
      <c r="C260" s="20">
        <v>240611000041</v>
      </c>
      <c r="D260" s="21">
        <v>45458</v>
      </c>
      <c r="E260" s="21" t="s">
        <v>41</v>
      </c>
      <c r="F260" s="19" t="s">
        <v>42</v>
      </c>
      <c r="G260" s="19" t="s">
        <v>74</v>
      </c>
      <c r="H260" s="19">
        <v>1.5</v>
      </c>
      <c r="I260" s="38">
        <v>102.75</v>
      </c>
      <c r="J260" s="39"/>
      <c r="K260" s="40"/>
      <c r="L260" s="19"/>
      <c r="M260" s="40"/>
      <c r="N260" s="41"/>
      <c r="O260" s="42">
        <f t="shared" si="166"/>
        <v>102.75</v>
      </c>
      <c r="P260" s="49"/>
      <c r="Q260" s="49"/>
      <c r="R260" s="68">
        <f t="shared" si="146"/>
        <v>62.5575856443719</v>
      </c>
      <c r="S260" s="69">
        <f t="shared" si="147"/>
        <v>0.0528792822185971</v>
      </c>
      <c r="T260" s="69">
        <f t="shared" si="148"/>
        <v>0.112934339314845</v>
      </c>
      <c r="U260" s="68"/>
      <c r="V260" s="68"/>
      <c r="W260" s="68">
        <f t="shared" ref="W260:W291" si="169">SUM(R260:V260)</f>
        <v>62.7233992659054</v>
      </c>
      <c r="X260" s="70">
        <f t="shared" si="149"/>
        <v>1.30946574225122</v>
      </c>
      <c r="Y260" s="70"/>
      <c r="Z260" s="70"/>
      <c r="AA260" s="70">
        <f t="shared" si="162"/>
        <v>1.30946574225122</v>
      </c>
      <c r="AB260" s="80">
        <v>7.24</v>
      </c>
      <c r="AC260" s="68">
        <f t="shared" si="167"/>
        <v>9.48053197389886</v>
      </c>
      <c r="AD260" s="68">
        <f t="shared" si="165"/>
        <v>72.2039312398042</v>
      </c>
      <c r="AE260" s="68">
        <f t="shared" si="168"/>
        <v>30.5460687601958</v>
      </c>
    </row>
    <row r="261" customFormat="1" spans="1:31">
      <c r="A261" s="18" t="s">
        <v>268</v>
      </c>
      <c r="B261" s="19" t="s">
        <v>269</v>
      </c>
      <c r="C261" s="20">
        <v>240606000001</v>
      </c>
      <c r="D261" s="21">
        <v>45461</v>
      </c>
      <c r="E261" s="21" t="s">
        <v>48</v>
      </c>
      <c r="F261" s="19" t="s">
        <v>49</v>
      </c>
      <c r="G261" s="19" t="s">
        <v>267</v>
      </c>
      <c r="H261" s="19">
        <v>10</v>
      </c>
      <c r="I261" s="38">
        <v>530</v>
      </c>
      <c r="J261" s="39"/>
      <c r="K261" s="40"/>
      <c r="L261" s="19"/>
      <c r="M261" s="40"/>
      <c r="N261" s="41"/>
      <c r="O261" s="42">
        <f t="shared" si="166"/>
        <v>530</v>
      </c>
      <c r="P261" s="43">
        <f>SUM(O261:O315)</f>
        <v>153965.17891768</v>
      </c>
      <c r="Q261" s="71" t="s">
        <v>270</v>
      </c>
      <c r="R261" s="68">
        <f>SUM(114312.4/2488)*H261</f>
        <v>459.45498392283</v>
      </c>
      <c r="S261" s="68"/>
      <c r="T261" s="69">
        <f>SUM(346.97/2488)*H261</f>
        <v>1.39457395498392</v>
      </c>
      <c r="U261" s="68"/>
      <c r="V261" s="68"/>
      <c r="W261" s="68">
        <f t="shared" si="169"/>
        <v>460.849557877813</v>
      </c>
      <c r="X261" s="70">
        <f>SUM(1708.77/2488)*H261</f>
        <v>6.86804662379421</v>
      </c>
      <c r="Y261" s="70"/>
      <c r="Z261" s="70"/>
      <c r="AA261" s="70">
        <f t="shared" ref="AA261:AA292" si="170">SUM(X261:Z261)</f>
        <v>6.86804662379421</v>
      </c>
      <c r="AB261" s="80">
        <v>7.24</v>
      </c>
      <c r="AC261" s="68">
        <f t="shared" si="167"/>
        <v>49.7246575562701</v>
      </c>
      <c r="AD261" s="68">
        <f t="shared" si="165"/>
        <v>510.574215434084</v>
      </c>
      <c r="AE261" s="68">
        <f t="shared" si="168"/>
        <v>19.4257845659164</v>
      </c>
    </row>
    <row r="262" customFormat="1" spans="1:31">
      <c r="A262" s="18"/>
      <c r="B262" s="19"/>
      <c r="C262" s="20">
        <v>240609000012</v>
      </c>
      <c r="D262" s="21">
        <v>45461</v>
      </c>
      <c r="E262" s="21" t="s">
        <v>41</v>
      </c>
      <c r="F262" s="19" t="s">
        <v>42</v>
      </c>
      <c r="G262" s="19" t="s">
        <v>271</v>
      </c>
      <c r="H262" s="19">
        <v>0.9</v>
      </c>
      <c r="I262" s="38">
        <v>63</v>
      </c>
      <c r="J262" s="39"/>
      <c r="K262" s="40"/>
      <c r="L262" s="19"/>
      <c r="M262" s="40"/>
      <c r="N262" s="41"/>
      <c r="O262" s="42">
        <f t="shared" si="166"/>
        <v>63</v>
      </c>
      <c r="P262" s="44"/>
      <c r="Q262" s="44"/>
      <c r="R262" s="68">
        <f t="shared" ref="R262:R293" si="171">SUM(114312.4/2488)*H262</f>
        <v>41.3509485530547</v>
      </c>
      <c r="S262" s="68"/>
      <c r="T262" s="69">
        <f t="shared" ref="T262:T293" si="172">SUM(346.97/2488)*H262</f>
        <v>0.125511655948553</v>
      </c>
      <c r="U262" s="68"/>
      <c r="V262" s="68"/>
      <c r="W262" s="68">
        <f t="shared" si="169"/>
        <v>41.4764602090032</v>
      </c>
      <c r="X262" s="70">
        <f t="shared" ref="X262:X293" si="173">SUM(1708.77/2488)*H262</f>
        <v>0.618124196141479</v>
      </c>
      <c r="Y262" s="70"/>
      <c r="Z262" s="70"/>
      <c r="AA262" s="70">
        <f t="shared" si="170"/>
        <v>0.618124196141479</v>
      </c>
      <c r="AB262" s="80">
        <v>7.24</v>
      </c>
      <c r="AC262" s="68">
        <f t="shared" si="167"/>
        <v>4.47521918006431</v>
      </c>
      <c r="AD262" s="68">
        <f t="shared" si="165"/>
        <v>45.9516793890675</v>
      </c>
      <c r="AE262" s="68">
        <f t="shared" si="168"/>
        <v>17.0483206109325</v>
      </c>
    </row>
    <row r="263" customFormat="1" spans="1:31">
      <c r="A263" s="18"/>
      <c r="B263" s="19"/>
      <c r="C263" s="20">
        <v>240610000001</v>
      </c>
      <c r="D263" s="21">
        <v>45461</v>
      </c>
      <c r="E263" s="21" t="s">
        <v>66</v>
      </c>
      <c r="F263" s="19" t="s">
        <v>100</v>
      </c>
      <c r="G263" s="19" t="s">
        <v>216</v>
      </c>
      <c r="H263" s="19">
        <v>1.5</v>
      </c>
      <c r="I263" s="42"/>
      <c r="J263" s="46">
        <v>23956</v>
      </c>
      <c r="K263" s="40"/>
      <c r="L263" s="47">
        <f t="shared" ref="L263:L266" si="174">SUM(J263/M263)</f>
        <v>1501.94347950198</v>
      </c>
      <c r="M263" s="48">
        <v>15.950001</v>
      </c>
      <c r="N263" s="41">
        <v>7.24</v>
      </c>
      <c r="O263" s="42">
        <f t="shared" ref="O263:O266" si="175">SUM(M263*N263)</f>
        <v>115.47800724</v>
      </c>
      <c r="P263" s="44"/>
      <c r="Q263" s="44"/>
      <c r="R263" s="68">
        <f t="shared" si="171"/>
        <v>68.9182475884244</v>
      </c>
      <c r="S263" s="68"/>
      <c r="T263" s="69">
        <f t="shared" si="172"/>
        <v>0.209186093247588</v>
      </c>
      <c r="U263" s="68"/>
      <c r="V263" s="68"/>
      <c r="W263" s="68">
        <f t="shared" si="169"/>
        <v>69.127433681672</v>
      </c>
      <c r="X263" s="70">
        <f t="shared" si="173"/>
        <v>1.03020699356913</v>
      </c>
      <c r="Y263" s="70"/>
      <c r="Z263" s="70"/>
      <c r="AA263" s="70">
        <f t="shared" si="170"/>
        <v>1.03020699356913</v>
      </c>
      <c r="AB263" s="80">
        <v>7.24</v>
      </c>
      <c r="AC263" s="68">
        <f t="shared" si="167"/>
        <v>7.45869863344051</v>
      </c>
      <c r="AD263" s="68">
        <f t="shared" si="165"/>
        <v>76.5861323151126</v>
      </c>
      <c r="AE263" s="68">
        <f t="shared" si="168"/>
        <v>38.8918749248874</v>
      </c>
    </row>
    <row r="264" customFormat="1" spans="1:31">
      <c r="A264" s="18"/>
      <c r="B264" s="19"/>
      <c r="C264" s="20">
        <v>240611000018</v>
      </c>
      <c r="D264" s="21">
        <v>45461</v>
      </c>
      <c r="E264" s="21" t="s">
        <v>48</v>
      </c>
      <c r="F264" s="19" t="s">
        <v>49</v>
      </c>
      <c r="G264" s="19" t="s">
        <v>272</v>
      </c>
      <c r="H264" s="19">
        <v>10.5</v>
      </c>
      <c r="I264" s="38">
        <v>573</v>
      </c>
      <c r="J264" s="39"/>
      <c r="K264" s="40"/>
      <c r="L264" s="19"/>
      <c r="M264" s="40"/>
      <c r="N264" s="41"/>
      <c r="O264" s="42">
        <f t="shared" ref="O264:O274" si="176">SUM(I264)</f>
        <v>573</v>
      </c>
      <c r="P264" s="44"/>
      <c r="Q264" s="44"/>
      <c r="R264" s="68">
        <f t="shared" si="171"/>
        <v>482.427733118971</v>
      </c>
      <c r="S264" s="68"/>
      <c r="T264" s="69">
        <f t="shared" si="172"/>
        <v>1.46430265273312</v>
      </c>
      <c r="U264" s="68"/>
      <c r="V264" s="68"/>
      <c r="W264" s="68">
        <f t="shared" si="169"/>
        <v>483.892035771704</v>
      </c>
      <c r="X264" s="70">
        <f t="shared" si="173"/>
        <v>7.21144895498392</v>
      </c>
      <c r="Y264" s="70"/>
      <c r="Z264" s="70"/>
      <c r="AA264" s="70">
        <f t="shared" si="170"/>
        <v>7.21144895498392</v>
      </c>
      <c r="AB264" s="80">
        <v>7.24</v>
      </c>
      <c r="AC264" s="68">
        <f t="shared" si="167"/>
        <v>52.2108904340836</v>
      </c>
      <c r="AD264" s="68">
        <f t="shared" si="165"/>
        <v>536.102926205788</v>
      </c>
      <c r="AE264" s="68">
        <f t="shared" si="168"/>
        <v>36.8970737942122</v>
      </c>
    </row>
    <row r="265" customFormat="1" spans="1:31">
      <c r="A265" s="18"/>
      <c r="B265" s="19"/>
      <c r="C265" s="20">
        <v>240611000019</v>
      </c>
      <c r="D265" s="21">
        <v>45461</v>
      </c>
      <c r="E265" s="21" t="s">
        <v>48</v>
      </c>
      <c r="F265" s="19" t="s">
        <v>49</v>
      </c>
      <c r="G265" s="19" t="s">
        <v>142</v>
      </c>
      <c r="H265" s="19">
        <v>20</v>
      </c>
      <c r="I265" s="45"/>
      <c r="J265" s="46">
        <v>252000</v>
      </c>
      <c r="K265" s="40"/>
      <c r="L265" s="47">
        <f t="shared" si="174"/>
        <v>1520.4537226982</v>
      </c>
      <c r="M265" s="48">
        <v>165.74</v>
      </c>
      <c r="N265" s="41">
        <v>7.24</v>
      </c>
      <c r="O265" s="42">
        <f t="shared" si="175"/>
        <v>1199.9576</v>
      </c>
      <c r="P265" s="44"/>
      <c r="Q265" s="44"/>
      <c r="R265" s="68">
        <f t="shared" si="171"/>
        <v>918.909967845659</v>
      </c>
      <c r="S265" s="68"/>
      <c r="T265" s="69">
        <f t="shared" si="172"/>
        <v>2.78914790996785</v>
      </c>
      <c r="U265" s="68"/>
      <c r="V265" s="68"/>
      <c r="W265" s="68">
        <f t="shared" si="169"/>
        <v>921.699115755627</v>
      </c>
      <c r="X265" s="70">
        <f t="shared" si="173"/>
        <v>13.7360932475884</v>
      </c>
      <c r="Y265" s="70"/>
      <c r="Z265" s="70"/>
      <c r="AA265" s="70">
        <f t="shared" si="170"/>
        <v>13.7360932475884</v>
      </c>
      <c r="AB265" s="80">
        <v>7.24</v>
      </c>
      <c r="AC265" s="68">
        <f t="shared" si="167"/>
        <v>99.4493151125402</v>
      </c>
      <c r="AD265" s="68">
        <f t="shared" si="165"/>
        <v>1021.14843086817</v>
      </c>
      <c r="AE265" s="68">
        <f t="shared" si="168"/>
        <v>178.809169131833</v>
      </c>
    </row>
    <row r="266" customFormat="1" spans="1:31">
      <c r="A266" s="18"/>
      <c r="B266" s="19"/>
      <c r="C266" s="20">
        <v>240611000020</v>
      </c>
      <c r="D266" s="21">
        <v>45461</v>
      </c>
      <c r="E266" s="21" t="s">
        <v>41</v>
      </c>
      <c r="F266" s="19" t="s">
        <v>42</v>
      </c>
      <c r="G266" s="19" t="s">
        <v>273</v>
      </c>
      <c r="H266" s="19">
        <v>0.41</v>
      </c>
      <c r="I266" s="45"/>
      <c r="J266" s="46">
        <v>13041</v>
      </c>
      <c r="K266" s="40"/>
      <c r="L266" s="47">
        <f t="shared" si="174"/>
        <v>1498.96551724138</v>
      </c>
      <c r="M266" s="48">
        <v>8.7</v>
      </c>
      <c r="N266" s="41">
        <v>7.24</v>
      </c>
      <c r="O266" s="42">
        <f t="shared" si="175"/>
        <v>62.988</v>
      </c>
      <c r="P266" s="44"/>
      <c r="Q266" s="44"/>
      <c r="R266" s="68">
        <f t="shared" si="171"/>
        <v>18.837654340836</v>
      </c>
      <c r="S266" s="68"/>
      <c r="T266" s="69">
        <f t="shared" si="172"/>
        <v>0.0571775321543408</v>
      </c>
      <c r="U266" s="68"/>
      <c r="V266" s="68"/>
      <c r="W266" s="68">
        <f t="shared" si="169"/>
        <v>18.8948318729904</v>
      </c>
      <c r="X266" s="70">
        <f t="shared" si="173"/>
        <v>0.281589911575563</v>
      </c>
      <c r="Y266" s="70"/>
      <c r="Z266" s="70"/>
      <c r="AA266" s="70">
        <f t="shared" si="170"/>
        <v>0.281589911575563</v>
      </c>
      <c r="AB266" s="80">
        <v>7.24</v>
      </c>
      <c r="AC266" s="68">
        <f t="shared" si="167"/>
        <v>2.03871095980707</v>
      </c>
      <c r="AD266" s="68">
        <f t="shared" si="165"/>
        <v>20.9335428327974</v>
      </c>
      <c r="AE266" s="68">
        <f t="shared" si="168"/>
        <v>42.0544571672026</v>
      </c>
    </row>
    <row r="267" customFormat="1" spans="1:31">
      <c r="A267" s="18"/>
      <c r="B267" s="19"/>
      <c r="C267" s="20">
        <v>240611000021</v>
      </c>
      <c r="D267" s="21">
        <v>45461</v>
      </c>
      <c r="E267" s="21" t="s">
        <v>44</v>
      </c>
      <c r="F267" s="19" t="s">
        <v>45</v>
      </c>
      <c r="G267" s="19" t="s">
        <v>274</v>
      </c>
      <c r="H267" s="19">
        <v>15.5</v>
      </c>
      <c r="I267" s="38">
        <v>889.5</v>
      </c>
      <c r="J267" s="39"/>
      <c r="K267" s="40"/>
      <c r="L267" s="19"/>
      <c r="M267" s="40"/>
      <c r="N267" s="41"/>
      <c r="O267" s="42">
        <f t="shared" si="176"/>
        <v>889.5</v>
      </c>
      <c r="P267" s="44"/>
      <c r="Q267" s="44"/>
      <c r="R267" s="68">
        <f t="shared" si="171"/>
        <v>712.155225080386</v>
      </c>
      <c r="S267" s="68"/>
      <c r="T267" s="69">
        <f t="shared" si="172"/>
        <v>2.16158963022508</v>
      </c>
      <c r="U267" s="68"/>
      <c r="V267" s="68"/>
      <c r="W267" s="68">
        <f t="shared" si="169"/>
        <v>714.316814710611</v>
      </c>
      <c r="X267" s="70">
        <f t="shared" si="173"/>
        <v>10.645472266881</v>
      </c>
      <c r="Y267" s="70"/>
      <c r="Z267" s="70"/>
      <c r="AA267" s="70">
        <f t="shared" si="170"/>
        <v>10.645472266881</v>
      </c>
      <c r="AB267" s="80">
        <v>7.24</v>
      </c>
      <c r="AC267" s="68">
        <f t="shared" si="167"/>
        <v>77.0732192122186</v>
      </c>
      <c r="AD267" s="68">
        <f t="shared" si="165"/>
        <v>791.39003392283</v>
      </c>
      <c r="AE267" s="68">
        <f t="shared" si="168"/>
        <v>98.1099660771704</v>
      </c>
    </row>
    <row r="268" customFormat="1" spans="1:31">
      <c r="A268" s="18"/>
      <c r="B268" s="19"/>
      <c r="C268" s="20">
        <v>240611000026</v>
      </c>
      <c r="D268" s="21">
        <v>45461</v>
      </c>
      <c r="E268" s="21" t="s">
        <v>41</v>
      </c>
      <c r="F268" s="19" t="s">
        <v>42</v>
      </c>
      <c r="G268" s="19" t="s">
        <v>247</v>
      </c>
      <c r="H268" s="19">
        <v>2.5</v>
      </c>
      <c r="I268" s="38">
        <v>153</v>
      </c>
      <c r="J268" s="39"/>
      <c r="K268" s="40"/>
      <c r="L268" s="19"/>
      <c r="M268" s="40"/>
      <c r="N268" s="41"/>
      <c r="O268" s="42">
        <f t="shared" si="176"/>
        <v>153</v>
      </c>
      <c r="P268" s="44"/>
      <c r="Q268" s="44"/>
      <c r="R268" s="68">
        <f t="shared" si="171"/>
        <v>114.863745980707</v>
      </c>
      <c r="S268" s="68"/>
      <c r="T268" s="69">
        <f t="shared" si="172"/>
        <v>0.348643488745981</v>
      </c>
      <c r="U268" s="68"/>
      <c r="V268" s="68"/>
      <c r="W268" s="68">
        <f t="shared" si="169"/>
        <v>115.212389469453</v>
      </c>
      <c r="X268" s="70">
        <f t="shared" si="173"/>
        <v>1.71701165594855</v>
      </c>
      <c r="Y268" s="70"/>
      <c r="Z268" s="70"/>
      <c r="AA268" s="70">
        <f t="shared" si="170"/>
        <v>1.71701165594855</v>
      </c>
      <c r="AB268" s="80">
        <v>7.24</v>
      </c>
      <c r="AC268" s="68">
        <f t="shared" si="167"/>
        <v>12.4311643890675</v>
      </c>
      <c r="AD268" s="68">
        <f t="shared" si="165"/>
        <v>127.643553858521</v>
      </c>
      <c r="AE268" s="68">
        <f t="shared" si="168"/>
        <v>25.3564461414791</v>
      </c>
    </row>
    <row r="269" customFormat="1" spans="1:31">
      <c r="A269" s="18"/>
      <c r="B269" s="19"/>
      <c r="C269" s="20">
        <v>240611000028</v>
      </c>
      <c r="D269" s="21">
        <v>45461</v>
      </c>
      <c r="E269" s="21" t="s">
        <v>44</v>
      </c>
      <c r="F269" s="19" t="s">
        <v>45</v>
      </c>
      <c r="G269" s="19" t="s">
        <v>219</v>
      </c>
      <c r="H269" s="19">
        <v>0.1</v>
      </c>
      <c r="I269" s="38">
        <v>69</v>
      </c>
      <c r="J269" s="39"/>
      <c r="K269" s="40"/>
      <c r="L269" s="19"/>
      <c r="M269" s="40"/>
      <c r="N269" s="41"/>
      <c r="O269" s="42">
        <f t="shared" si="176"/>
        <v>69</v>
      </c>
      <c r="P269" s="44"/>
      <c r="Q269" s="44"/>
      <c r="R269" s="68">
        <f t="shared" si="171"/>
        <v>4.5945498392283</v>
      </c>
      <c r="S269" s="68"/>
      <c r="T269" s="69">
        <f t="shared" si="172"/>
        <v>0.0139457395498392</v>
      </c>
      <c r="U269" s="68"/>
      <c r="V269" s="68"/>
      <c r="W269" s="68">
        <f t="shared" si="169"/>
        <v>4.60849557877813</v>
      </c>
      <c r="X269" s="70">
        <f t="shared" si="173"/>
        <v>0.0686804662379421</v>
      </c>
      <c r="Y269" s="70"/>
      <c r="Z269" s="70"/>
      <c r="AA269" s="70">
        <f t="shared" si="170"/>
        <v>0.0686804662379421</v>
      </c>
      <c r="AB269" s="80">
        <v>7.24</v>
      </c>
      <c r="AC269" s="68">
        <f t="shared" si="167"/>
        <v>0.497246575562701</v>
      </c>
      <c r="AD269" s="68">
        <f t="shared" si="165"/>
        <v>5.10574215434084</v>
      </c>
      <c r="AE269" s="68">
        <f t="shared" si="168"/>
        <v>63.8942578456592</v>
      </c>
    </row>
    <row r="270" customFormat="1" spans="1:31">
      <c r="A270" s="18"/>
      <c r="B270" s="19"/>
      <c r="C270" s="20">
        <v>240611000030</v>
      </c>
      <c r="D270" s="21">
        <v>45461</v>
      </c>
      <c r="E270" s="21" t="s">
        <v>44</v>
      </c>
      <c r="F270" s="19" t="s">
        <v>45</v>
      </c>
      <c r="G270" s="19" t="s">
        <v>275</v>
      </c>
      <c r="H270" s="19">
        <v>5.5</v>
      </c>
      <c r="I270" s="38">
        <v>333</v>
      </c>
      <c r="J270" s="39"/>
      <c r="K270" s="40"/>
      <c r="L270" s="19"/>
      <c r="M270" s="40"/>
      <c r="N270" s="41"/>
      <c r="O270" s="42">
        <f t="shared" si="176"/>
        <v>333</v>
      </c>
      <c r="P270" s="44"/>
      <c r="Q270" s="44"/>
      <c r="R270" s="68">
        <f t="shared" si="171"/>
        <v>252.700241157556</v>
      </c>
      <c r="S270" s="68"/>
      <c r="T270" s="69">
        <f t="shared" si="172"/>
        <v>0.767015675241158</v>
      </c>
      <c r="U270" s="68"/>
      <c r="V270" s="68"/>
      <c r="W270" s="68">
        <f t="shared" si="169"/>
        <v>253.467256832797</v>
      </c>
      <c r="X270" s="70">
        <f t="shared" si="173"/>
        <v>3.77742564308682</v>
      </c>
      <c r="Y270" s="70"/>
      <c r="Z270" s="70"/>
      <c r="AA270" s="70">
        <f t="shared" si="170"/>
        <v>3.77742564308682</v>
      </c>
      <c r="AB270" s="80">
        <v>7.24</v>
      </c>
      <c r="AC270" s="68">
        <f t="shared" si="167"/>
        <v>27.3485616559486</v>
      </c>
      <c r="AD270" s="68">
        <f t="shared" si="165"/>
        <v>280.815818488746</v>
      </c>
      <c r="AE270" s="68">
        <f t="shared" si="168"/>
        <v>52.184181511254</v>
      </c>
    </row>
    <row r="271" customFormat="1" spans="1:31">
      <c r="A271" s="18"/>
      <c r="B271" s="19"/>
      <c r="C271" s="20">
        <v>240611000031</v>
      </c>
      <c r="D271" s="21">
        <v>45461</v>
      </c>
      <c r="E271" s="21" t="s">
        <v>44</v>
      </c>
      <c r="F271" s="19" t="s">
        <v>45</v>
      </c>
      <c r="G271" s="19" t="s">
        <v>276</v>
      </c>
      <c r="H271" s="19">
        <v>5</v>
      </c>
      <c r="I271" s="38">
        <v>303</v>
      </c>
      <c r="J271" s="39"/>
      <c r="K271" s="40"/>
      <c r="L271" s="19"/>
      <c r="M271" s="40"/>
      <c r="N271" s="41"/>
      <c r="O271" s="42">
        <f t="shared" si="176"/>
        <v>303</v>
      </c>
      <c r="P271" s="44"/>
      <c r="Q271" s="44"/>
      <c r="R271" s="68">
        <f t="shared" si="171"/>
        <v>229.727491961415</v>
      </c>
      <c r="S271" s="68"/>
      <c r="T271" s="69">
        <f t="shared" si="172"/>
        <v>0.697286977491961</v>
      </c>
      <c r="U271" s="68"/>
      <c r="V271" s="68"/>
      <c r="W271" s="68">
        <f t="shared" si="169"/>
        <v>230.424778938907</v>
      </c>
      <c r="X271" s="70">
        <f t="shared" si="173"/>
        <v>3.43402331189711</v>
      </c>
      <c r="Y271" s="70"/>
      <c r="Z271" s="70"/>
      <c r="AA271" s="70">
        <f t="shared" si="170"/>
        <v>3.43402331189711</v>
      </c>
      <c r="AB271" s="80">
        <v>7.24</v>
      </c>
      <c r="AC271" s="68">
        <f t="shared" si="167"/>
        <v>24.862328778135</v>
      </c>
      <c r="AD271" s="68">
        <f t="shared" si="165"/>
        <v>255.287107717042</v>
      </c>
      <c r="AE271" s="68">
        <f t="shared" si="168"/>
        <v>47.7128922829582</v>
      </c>
    </row>
    <row r="272" customFormat="1" spans="1:31">
      <c r="A272" s="18"/>
      <c r="B272" s="19"/>
      <c r="C272" s="20">
        <v>240611000033</v>
      </c>
      <c r="D272" s="21">
        <v>45461</v>
      </c>
      <c r="E272" s="21" t="s">
        <v>44</v>
      </c>
      <c r="F272" s="19" t="s">
        <v>45</v>
      </c>
      <c r="G272" s="19" t="s">
        <v>130</v>
      </c>
      <c r="H272" s="19">
        <v>4.5</v>
      </c>
      <c r="I272" s="38">
        <v>273</v>
      </c>
      <c r="J272" s="39"/>
      <c r="K272" s="40"/>
      <c r="L272" s="19"/>
      <c r="M272" s="40"/>
      <c r="N272" s="41"/>
      <c r="O272" s="42">
        <f t="shared" si="176"/>
        <v>273</v>
      </c>
      <c r="P272" s="44"/>
      <c r="Q272" s="44"/>
      <c r="R272" s="68">
        <f t="shared" si="171"/>
        <v>206.754742765273</v>
      </c>
      <c r="S272" s="68"/>
      <c r="T272" s="69">
        <f t="shared" si="172"/>
        <v>0.627558279742765</v>
      </c>
      <c r="U272" s="68"/>
      <c r="V272" s="68"/>
      <c r="W272" s="68">
        <f t="shared" si="169"/>
        <v>207.382301045016</v>
      </c>
      <c r="X272" s="70">
        <f t="shared" si="173"/>
        <v>3.0906209807074</v>
      </c>
      <c r="Y272" s="70"/>
      <c r="Z272" s="70"/>
      <c r="AA272" s="70">
        <f t="shared" si="170"/>
        <v>3.0906209807074</v>
      </c>
      <c r="AB272" s="80">
        <v>7.24</v>
      </c>
      <c r="AC272" s="68">
        <f t="shared" si="167"/>
        <v>22.3760959003215</v>
      </c>
      <c r="AD272" s="68">
        <f t="shared" si="165"/>
        <v>229.758396945338</v>
      </c>
      <c r="AE272" s="68">
        <f t="shared" si="168"/>
        <v>43.2416030546624</v>
      </c>
    </row>
    <row r="273" customFormat="1" spans="1:31">
      <c r="A273" s="18"/>
      <c r="B273" s="19"/>
      <c r="C273" s="20">
        <v>240611000036</v>
      </c>
      <c r="D273" s="21">
        <v>45461</v>
      </c>
      <c r="E273" s="21" t="s">
        <v>44</v>
      </c>
      <c r="F273" s="19" t="s">
        <v>45</v>
      </c>
      <c r="G273" s="19" t="s">
        <v>274</v>
      </c>
      <c r="H273" s="19">
        <v>5.5</v>
      </c>
      <c r="I273" s="38">
        <v>333</v>
      </c>
      <c r="J273" s="39"/>
      <c r="K273" s="40"/>
      <c r="L273" s="19"/>
      <c r="M273" s="40"/>
      <c r="N273" s="41"/>
      <c r="O273" s="42">
        <f t="shared" si="176"/>
        <v>333</v>
      </c>
      <c r="P273" s="44"/>
      <c r="Q273" s="44"/>
      <c r="R273" s="68">
        <f t="shared" si="171"/>
        <v>252.700241157556</v>
      </c>
      <c r="S273" s="68"/>
      <c r="T273" s="69">
        <f t="shared" si="172"/>
        <v>0.767015675241158</v>
      </c>
      <c r="U273" s="68"/>
      <c r="V273" s="68"/>
      <c r="W273" s="68">
        <f t="shared" si="169"/>
        <v>253.467256832797</v>
      </c>
      <c r="X273" s="70">
        <f t="shared" si="173"/>
        <v>3.77742564308682</v>
      </c>
      <c r="Y273" s="70"/>
      <c r="Z273" s="70"/>
      <c r="AA273" s="70">
        <f t="shared" si="170"/>
        <v>3.77742564308682</v>
      </c>
      <c r="AB273" s="80">
        <v>7.24</v>
      </c>
      <c r="AC273" s="68">
        <f t="shared" si="167"/>
        <v>27.3485616559486</v>
      </c>
      <c r="AD273" s="68">
        <f t="shared" si="165"/>
        <v>280.815818488746</v>
      </c>
      <c r="AE273" s="68">
        <f t="shared" si="168"/>
        <v>52.184181511254</v>
      </c>
    </row>
    <row r="274" customFormat="1" spans="1:31">
      <c r="A274" s="18"/>
      <c r="B274" s="19"/>
      <c r="C274" s="20">
        <v>240611000038</v>
      </c>
      <c r="D274" s="21">
        <v>45461</v>
      </c>
      <c r="E274" s="21" t="s">
        <v>37</v>
      </c>
      <c r="F274" s="19" t="s">
        <v>37</v>
      </c>
      <c r="G274" s="19" t="s">
        <v>262</v>
      </c>
      <c r="H274" s="19">
        <v>112</v>
      </c>
      <c r="I274" s="38">
        <v>6168</v>
      </c>
      <c r="J274" s="39"/>
      <c r="K274" s="40"/>
      <c r="L274" s="19"/>
      <c r="M274" s="40"/>
      <c r="N274" s="41"/>
      <c r="O274" s="42">
        <f t="shared" si="176"/>
        <v>6168</v>
      </c>
      <c r="P274" s="44"/>
      <c r="Q274" s="44"/>
      <c r="R274" s="68">
        <f t="shared" si="171"/>
        <v>5145.89581993569</v>
      </c>
      <c r="S274" s="68"/>
      <c r="T274" s="69">
        <f t="shared" si="172"/>
        <v>15.6192282958199</v>
      </c>
      <c r="U274" s="68"/>
      <c r="V274" s="68"/>
      <c r="W274" s="68">
        <f t="shared" si="169"/>
        <v>5161.51504823151</v>
      </c>
      <c r="X274" s="70">
        <f t="shared" si="173"/>
        <v>76.9221221864952</v>
      </c>
      <c r="Y274" s="70"/>
      <c r="Z274" s="70"/>
      <c r="AA274" s="70">
        <f t="shared" si="170"/>
        <v>76.9221221864952</v>
      </c>
      <c r="AB274" s="80">
        <v>7.24</v>
      </c>
      <c r="AC274" s="68">
        <f t="shared" si="167"/>
        <v>556.916164630225</v>
      </c>
      <c r="AD274" s="68">
        <f t="shared" si="165"/>
        <v>5718.43121286174</v>
      </c>
      <c r="AE274" s="68">
        <f t="shared" si="168"/>
        <v>449.568787138263</v>
      </c>
    </row>
    <row r="275" customFormat="1" spans="1:31">
      <c r="A275" s="18"/>
      <c r="B275" s="19"/>
      <c r="C275" s="20">
        <v>240611000045</v>
      </c>
      <c r="D275" s="21">
        <v>45461</v>
      </c>
      <c r="E275" s="21" t="s">
        <v>44</v>
      </c>
      <c r="F275" s="19">
        <v>13635229849</v>
      </c>
      <c r="G275" s="19" t="s">
        <v>116</v>
      </c>
      <c r="H275" s="19">
        <v>6</v>
      </c>
      <c r="I275" s="42"/>
      <c r="J275" s="46">
        <v>80507.2</v>
      </c>
      <c r="K275" s="40"/>
      <c r="L275" s="47">
        <f t="shared" ref="L275:L279" si="177">SUM(J275/M275)</f>
        <v>1502</v>
      </c>
      <c r="M275" s="48">
        <v>53.6</v>
      </c>
      <c r="N275" s="41">
        <v>7.24</v>
      </c>
      <c r="O275" s="42">
        <f t="shared" ref="O275:O279" si="178">SUM(M275*N275)</f>
        <v>388.064</v>
      </c>
      <c r="P275" s="44"/>
      <c r="Q275" s="44"/>
      <c r="R275" s="68">
        <f t="shared" si="171"/>
        <v>275.672990353698</v>
      </c>
      <c r="S275" s="68"/>
      <c r="T275" s="69">
        <f t="shared" si="172"/>
        <v>0.836744372990354</v>
      </c>
      <c r="U275" s="68"/>
      <c r="V275" s="68"/>
      <c r="W275" s="68">
        <f t="shared" si="169"/>
        <v>276.509734726688</v>
      </c>
      <c r="X275" s="70">
        <f t="shared" si="173"/>
        <v>4.12082797427653</v>
      </c>
      <c r="Y275" s="70"/>
      <c r="Z275" s="70"/>
      <c r="AA275" s="70">
        <f t="shared" si="170"/>
        <v>4.12082797427653</v>
      </c>
      <c r="AB275" s="80">
        <v>7.24</v>
      </c>
      <c r="AC275" s="68">
        <f t="shared" si="167"/>
        <v>29.8347945337621</v>
      </c>
      <c r="AD275" s="68">
        <f t="shared" si="165"/>
        <v>306.34452926045</v>
      </c>
      <c r="AE275" s="68">
        <f t="shared" si="168"/>
        <v>81.7194707395498</v>
      </c>
    </row>
    <row r="276" customFormat="1" spans="1:31">
      <c r="A276" s="18"/>
      <c r="B276" s="19"/>
      <c r="C276" s="20">
        <v>240612000005</v>
      </c>
      <c r="D276" s="21">
        <v>45461</v>
      </c>
      <c r="E276" s="21" t="s">
        <v>48</v>
      </c>
      <c r="F276" s="19" t="s">
        <v>49</v>
      </c>
      <c r="G276" s="19" t="s">
        <v>73</v>
      </c>
      <c r="H276" s="19">
        <v>9</v>
      </c>
      <c r="I276" s="45"/>
      <c r="J276" s="46">
        <v>111834</v>
      </c>
      <c r="K276" s="40"/>
      <c r="L276" s="47">
        <f t="shared" si="177"/>
        <v>1578.46153846154</v>
      </c>
      <c r="M276" s="48">
        <v>70.85</v>
      </c>
      <c r="N276" s="41">
        <v>7.24</v>
      </c>
      <c r="O276" s="42">
        <f t="shared" si="178"/>
        <v>512.954</v>
      </c>
      <c r="P276" s="44"/>
      <c r="Q276" s="44"/>
      <c r="R276" s="68">
        <f t="shared" si="171"/>
        <v>413.509485530547</v>
      </c>
      <c r="S276" s="68"/>
      <c r="T276" s="69">
        <f t="shared" si="172"/>
        <v>1.25511655948553</v>
      </c>
      <c r="U276" s="68"/>
      <c r="V276" s="68"/>
      <c r="W276" s="68">
        <f t="shared" si="169"/>
        <v>414.764602090032</v>
      </c>
      <c r="X276" s="70">
        <f t="shared" si="173"/>
        <v>6.18124196141479</v>
      </c>
      <c r="Y276" s="70"/>
      <c r="Z276" s="70"/>
      <c r="AA276" s="70">
        <f t="shared" si="170"/>
        <v>6.18124196141479</v>
      </c>
      <c r="AB276" s="80">
        <v>7.24</v>
      </c>
      <c r="AC276" s="68">
        <f t="shared" si="167"/>
        <v>44.7521918006431</v>
      </c>
      <c r="AD276" s="68">
        <f t="shared" si="165"/>
        <v>459.516793890675</v>
      </c>
      <c r="AE276" s="68">
        <f t="shared" si="168"/>
        <v>53.4372061093247</v>
      </c>
    </row>
    <row r="277" customFormat="1" spans="1:31">
      <c r="A277" s="18"/>
      <c r="B277" s="19"/>
      <c r="C277" s="20">
        <v>240612000009</v>
      </c>
      <c r="D277" s="21">
        <v>45461</v>
      </c>
      <c r="E277" s="21" t="s">
        <v>37</v>
      </c>
      <c r="F277" s="19" t="s">
        <v>37</v>
      </c>
      <c r="G277" s="19" t="s">
        <v>249</v>
      </c>
      <c r="H277" s="19">
        <v>102.5</v>
      </c>
      <c r="I277" s="38">
        <v>5640</v>
      </c>
      <c r="J277" s="39"/>
      <c r="K277" s="40"/>
      <c r="L277" s="19"/>
      <c r="M277" s="40"/>
      <c r="N277" s="41"/>
      <c r="O277" s="42">
        <f t="shared" ref="O277:O284" si="179">SUM(I277)</f>
        <v>5640</v>
      </c>
      <c r="P277" s="44"/>
      <c r="Q277" s="44"/>
      <c r="R277" s="68">
        <f t="shared" si="171"/>
        <v>4709.413585209</v>
      </c>
      <c r="S277" s="68"/>
      <c r="T277" s="69">
        <f t="shared" si="172"/>
        <v>14.2943830385852</v>
      </c>
      <c r="U277" s="68"/>
      <c r="V277" s="68"/>
      <c r="W277" s="68">
        <f t="shared" si="169"/>
        <v>4723.70796824759</v>
      </c>
      <c r="X277" s="70">
        <f t="shared" si="173"/>
        <v>70.3974778938907</v>
      </c>
      <c r="Y277" s="70"/>
      <c r="Z277" s="70"/>
      <c r="AA277" s="70">
        <f t="shared" si="170"/>
        <v>70.3974778938907</v>
      </c>
      <c r="AB277" s="80">
        <v>7.24</v>
      </c>
      <c r="AC277" s="68">
        <f t="shared" si="167"/>
        <v>509.677739951768</v>
      </c>
      <c r="AD277" s="68">
        <f t="shared" si="165"/>
        <v>5233.38570819936</v>
      </c>
      <c r="AE277" s="68">
        <f t="shared" si="168"/>
        <v>406.614291800644</v>
      </c>
    </row>
    <row r="278" customFormat="1" spans="1:31">
      <c r="A278" s="18"/>
      <c r="B278" s="19"/>
      <c r="C278" s="20">
        <v>240612000012</v>
      </c>
      <c r="D278" s="21">
        <v>45461</v>
      </c>
      <c r="E278" s="21" t="s">
        <v>37</v>
      </c>
      <c r="F278" s="19" t="s">
        <v>37</v>
      </c>
      <c r="G278" s="19" t="s">
        <v>277</v>
      </c>
      <c r="H278" s="19">
        <v>24</v>
      </c>
      <c r="I278" s="38">
        <v>1420</v>
      </c>
      <c r="J278" s="39"/>
      <c r="K278" s="40"/>
      <c r="L278" s="19"/>
      <c r="M278" s="40"/>
      <c r="N278" s="41"/>
      <c r="O278" s="42">
        <f t="shared" si="179"/>
        <v>1420</v>
      </c>
      <c r="P278" s="44"/>
      <c r="Q278" s="44"/>
      <c r="R278" s="68">
        <f t="shared" si="171"/>
        <v>1102.69196141479</v>
      </c>
      <c r="S278" s="68"/>
      <c r="T278" s="69">
        <f t="shared" si="172"/>
        <v>3.34697749196141</v>
      </c>
      <c r="U278" s="68"/>
      <c r="V278" s="68"/>
      <c r="W278" s="68">
        <f t="shared" si="169"/>
        <v>1106.03893890675</v>
      </c>
      <c r="X278" s="70">
        <f t="shared" si="173"/>
        <v>16.4833118971061</v>
      </c>
      <c r="Y278" s="70"/>
      <c r="Z278" s="70"/>
      <c r="AA278" s="70">
        <f t="shared" si="170"/>
        <v>16.4833118971061</v>
      </c>
      <c r="AB278" s="80">
        <v>7.24</v>
      </c>
      <c r="AC278" s="68">
        <f t="shared" si="167"/>
        <v>119.339178135048</v>
      </c>
      <c r="AD278" s="68">
        <f t="shared" si="165"/>
        <v>1225.3781170418</v>
      </c>
      <c r="AE278" s="68">
        <f t="shared" si="168"/>
        <v>194.621882958199</v>
      </c>
    </row>
    <row r="279" customFormat="1" spans="1:31">
      <c r="A279" s="18"/>
      <c r="B279" s="19"/>
      <c r="C279" s="20">
        <v>240612000013</v>
      </c>
      <c r="D279" s="21">
        <v>45461</v>
      </c>
      <c r="E279" s="21" t="s">
        <v>48</v>
      </c>
      <c r="F279" s="19" t="s">
        <v>49</v>
      </c>
      <c r="G279" s="19" t="s">
        <v>278</v>
      </c>
      <c r="H279" s="19">
        <v>33.5</v>
      </c>
      <c r="I279" s="45"/>
      <c r="J279" s="46">
        <v>376212</v>
      </c>
      <c r="K279" s="40"/>
      <c r="L279" s="47">
        <f t="shared" si="177"/>
        <v>1505.69118706476</v>
      </c>
      <c r="M279" s="48">
        <v>249.86</v>
      </c>
      <c r="N279" s="41">
        <v>7.24</v>
      </c>
      <c r="O279" s="42">
        <f t="shared" si="178"/>
        <v>1808.9864</v>
      </c>
      <c r="P279" s="44"/>
      <c r="Q279" s="44"/>
      <c r="R279" s="68">
        <f t="shared" si="171"/>
        <v>1539.17419614148</v>
      </c>
      <c r="S279" s="68"/>
      <c r="T279" s="69">
        <f t="shared" si="172"/>
        <v>4.67182274919614</v>
      </c>
      <c r="U279" s="68"/>
      <c r="V279" s="68"/>
      <c r="W279" s="68">
        <f t="shared" si="169"/>
        <v>1543.84601889068</v>
      </c>
      <c r="X279" s="70">
        <f t="shared" si="173"/>
        <v>23.0079561897106</v>
      </c>
      <c r="Y279" s="70"/>
      <c r="Z279" s="70"/>
      <c r="AA279" s="70">
        <f t="shared" si="170"/>
        <v>23.0079561897106</v>
      </c>
      <c r="AB279" s="80">
        <v>7.24</v>
      </c>
      <c r="AC279" s="68">
        <f t="shared" si="167"/>
        <v>166.577602813505</v>
      </c>
      <c r="AD279" s="68">
        <f t="shared" si="165"/>
        <v>1710.42362170418</v>
      </c>
      <c r="AE279" s="68">
        <f t="shared" si="168"/>
        <v>98.56277829582</v>
      </c>
    </row>
    <row r="280" customFormat="1" spans="1:31">
      <c r="A280" s="18"/>
      <c r="B280" s="19"/>
      <c r="C280" s="20">
        <v>240612000015</v>
      </c>
      <c r="D280" s="21">
        <v>45461</v>
      </c>
      <c r="E280" s="21" t="s">
        <v>48</v>
      </c>
      <c r="F280" s="19" t="s">
        <v>49</v>
      </c>
      <c r="G280" s="19" t="s">
        <v>279</v>
      </c>
      <c r="H280" s="19">
        <v>1.5</v>
      </c>
      <c r="I280" s="38">
        <v>82.5</v>
      </c>
      <c r="J280" s="39"/>
      <c r="K280" s="40"/>
      <c r="L280" s="19"/>
      <c r="M280" s="40"/>
      <c r="N280" s="41"/>
      <c r="O280" s="42">
        <f t="shared" si="179"/>
        <v>82.5</v>
      </c>
      <c r="P280" s="44"/>
      <c r="Q280" s="44"/>
      <c r="R280" s="68">
        <f t="shared" si="171"/>
        <v>68.9182475884244</v>
      </c>
      <c r="S280" s="68"/>
      <c r="T280" s="69">
        <f t="shared" si="172"/>
        <v>0.209186093247588</v>
      </c>
      <c r="U280" s="68"/>
      <c r="V280" s="68"/>
      <c r="W280" s="68">
        <f t="shared" si="169"/>
        <v>69.127433681672</v>
      </c>
      <c r="X280" s="70">
        <f t="shared" si="173"/>
        <v>1.03020699356913</v>
      </c>
      <c r="Y280" s="70"/>
      <c r="Z280" s="70"/>
      <c r="AA280" s="70">
        <f t="shared" si="170"/>
        <v>1.03020699356913</v>
      </c>
      <c r="AB280" s="80">
        <v>7.24</v>
      </c>
      <c r="AC280" s="68">
        <f t="shared" si="167"/>
        <v>7.45869863344051</v>
      </c>
      <c r="AD280" s="68">
        <f t="shared" si="165"/>
        <v>76.5861323151126</v>
      </c>
      <c r="AE280" s="68">
        <f t="shared" si="168"/>
        <v>5.91386768488745</v>
      </c>
    </row>
    <row r="281" customFormat="1" spans="1:31">
      <c r="A281" s="18"/>
      <c r="B281" s="19"/>
      <c r="C281" s="20">
        <v>240612000017</v>
      </c>
      <c r="D281" s="21">
        <v>45461</v>
      </c>
      <c r="E281" s="21" t="s">
        <v>48</v>
      </c>
      <c r="F281" s="19" t="s">
        <v>49</v>
      </c>
      <c r="G281" s="19" t="s">
        <v>267</v>
      </c>
      <c r="H281" s="19">
        <v>23.5</v>
      </c>
      <c r="I281" s="38">
        <v>1269</v>
      </c>
      <c r="J281" s="39"/>
      <c r="K281" s="40"/>
      <c r="L281" s="19"/>
      <c r="M281" s="40"/>
      <c r="N281" s="41"/>
      <c r="O281" s="42">
        <f t="shared" si="179"/>
        <v>1269</v>
      </c>
      <c r="P281" s="44"/>
      <c r="Q281" s="44"/>
      <c r="R281" s="68">
        <f t="shared" si="171"/>
        <v>1079.71921221865</v>
      </c>
      <c r="S281" s="68"/>
      <c r="T281" s="69">
        <f t="shared" si="172"/>
        <v>3.27724879421222</v>
      </c>
      <c r="U281" s="68"/>
      <c r="V281" s="68"/>
      <c r="W281" s="68">
        <f t="shared" si="169"/>
        <v>1082.99646101286</v>
      </c>
      <c r="X281" s="70">
        <f t="shared" si="173"/>
        <v>16.1399095659164</v>
      </c>
      <c r="Y281" s="70"/>
      <c r="Z281" s="70"/>
      <c r="AA281" s="70">
        <f t="shared" si="170"/>
        <v>16.1399095659164</v>
      </c>
      <c r="AB281" s="80">
        <v>7.24</v>
      </c>
      <c r="AC281" s="68">
        <f t="shared" si="167"/>
        <v>116.852945257235</v>
      </c>
      <c r="AD281" s="68">
        <f t="shared" si="165"/>
        <v>1199.8494062701</v>
      </c>
      <c r="AE281" s="68">
        <f t="shared" si="168"/>
        <v>69.1505937299034</v>
      </c>
    </row>
    <row r="282" customFormat="1" spans="1:31">
      <c r="A282" s="18"/>
      <c r="B282" s="19"/>
      <c r="C282" s="81">
        <v>240612000019</v>
      </c>
      <c r="D282" s="82">
        <v>45461</v>
      </c>
      <c r="E282" s="21" t="s">
        <v>48</v>
      </c>
      <c r="F282" s="83" t="s">
        <v>49</v>
      </c>
      <c r="G282" s="83" t="s">
        <v>120</v>
      </c>
      <c r="H282" s="83">
        <v>1.5</v>
      </c>
      <c r="I282" s="38">
        <v>172.5</v>
      </c>
      <c r="J282" s="39"/>
      <c r="K282" s="40"/>
      <c r="L282" s="19"/>
      <c r="M282" s="40"/>
      <c r="N282" s="41"/>
      <c r="O282" s="42">
        <f t="shared" si="179"/>
        <v>172.5</v>
      </c>
      <c r="P282" s="44"/>
      <c r="Q282" s="44"/>
      <c r="R282" s="68">
        <f t="shared" si="171"/>
        <v>68.9182475884244</v>
      </c>
      <c r="S282" s="68"/>
      <c r="T282" s="69">
        <f t="shared" si="172"/>
        <v>0.209186093247588</v>
      </c>
      <c r="U282" s="68"/>
      <c r="V282" s="68"/>
      <c r="W282" s="68">
        <f t="shared" si="169"/>
        <v>69.127433681672</v>
      </c>
      <c r="X282" s="70">
        <f t="shared" si="173"/>
        <v>1.03020699356913</v>
      </c>
      <c r="Y282" s="70">
        <v>12.43</v>
      </c>
      <c r="Z282" s="70"/>
      <c r="AA282" s="70">
        <f t="shared" si="170"/>
        <v>13.4602069935691</v>
      </c>
      <c r="AB282" s="80">
        <v>7.24</v>
      </c>
      <c r="AC282" s="68">
        <f t="shared" si="167"/>
        <v>97.4518986334405</v>
      </c>
      <c r="AD282" s="68">
        <f t="shared" si="165"/>
        <v>166.579332315113</v>
      </c>
      <c r="AE282" s="68">
        <f t="shared" si="168"/>
        <v>5.92066768488746</v>
      </c>
    </row>
    <row r="283" customFormat="1" spans="1:31">
      <c r="A283" s="18"/>
      <c r="B283" s="19"/>
      <c r="C283" s="20">
        <v>240612000021</v>
      </c>
      <c r="D283" s="21">
        <v>45461</v>
      </c>
      <c r="E283" s="21" t="s">
        <v>51</v>
      </c>
      <c r="F283" s="19" t="s">
        <v>52</v>
      </c>
      <c r="G283" s="19" t="s">
        <v>160</v>
      </c>
      <c r="H283" s="19">
        <v>19.5</v>
      </c>
      <c r="I283" s="38">
        <v>1083</v>
      </c>
      <c r="J283" s="39"/>
      <c r="K283" s="40"/>
      <c r="L283" s="19"/>
      <c r="M283" s="40"/>
      <c r="N283" s="41"/>
      <c r="O283" s="42">
        <f t="shared" si="179"/>
        <v>1083</v>
      </c>
      <c r="P283" s="44"/>
      <c r="Q283" s="44"/>
      <c r="R283" s="68">
        <f t="shared" si="171"/>
        <v>895.937218649518</v>
      </c>
      <c r="S283" s="68"/>
      <c r="T283" s="69">
        <f t="shared" si="172"/>
        <v>2.71941921221865</v>
      </c>
      <c r="U283" s="68"/>
      <c r="V283" s="68"/>
      <c r="W283" s="68">
        <f t="shared" si="169"/>
        <v>898.656637861736</v>
      </c>
      <c r="X283" s="70">
        <f t="shared" si="173"/>
        <v>13.3926909163987</v>
      </c>
      <c r="Y283" s="70"/>
      <c r="Z283" s="70"/>
      <c r="AA283" s="70">
        <f t="shared" si="170"/>
        <v>13.3926909163987</v>
      </c>
      <c r="AB283" s="80">
        <v>7.24</v>
      </c>
      <c r="AC283" s="68">
        <f t="shared" si="167"/>
        <v>96.9630822347267</v>
      </c>
      <c r="AD283" s="68">
        <f t="shared" si="165"/>
        <v>995.619720096463</v>
      </c>
      <c r="AE283" s="68">
        <f t="shared" si="168"/>
        <v>87.3802799035369</v>
      </c>
    </row>
    <row r="284" customFormat="1" spans="1:31">
      <c r="A284" s="18"/>
      <c r="B284" s="19"/>
      <c r="C284" s="20">
        <v>240612000024</v>
      </c>
      <c r="D284" s="21">
        <v>45461</v>
      </c>
      <c r="E284" s="21" t="s">
        <v>37</v>
      </c>
      <c r="F284" s="19" t="s">
        <v>37</v>
      </c>
      <c r="G284" s="19" t="s">
        <v>262</v>
      </c>
      <c r="H284" s="19">
        <v>148</v>
      </c>
      <c r="I284" s="38">
        <v>8132</v>
      </c>
      <c r="J284" s="39"/>
      <c r="K284" s="40"/>
      <c r="L284" s="19"/>
      <c r="M284" s="40"/>
      <c r="N284" s="41"/>
      <c r="O284" s="42">
        <f t="shared" si="179"/>
        <v>8132</v>
      </c>
      <c r="P284" s="44"/>
      <c r="Q284" s="44"/>
      <c r="R284" s="68">
        <f t="shared" si="171"/>
        <v>6799.93376205788</v>
      </c>
      <c r="S284" s="68"/>
      <c r="T284" s="69">
        <f t="shared" si="172"/>
        <v>20.6396945337621</v>
      </c>
      <c r="U284" s="68"/>
      <c r="V284" s="68"/>
      <c r="W284" s="68">
        <f t="shared" si="169"/>
        <v>6820.57345659164</v>
      </c>
      <c r="X284" s="70">
        <f t="shared" si="173"/>
        <v>101.647090032154</v>
      </c>
      <c r="Y284" s="70"/>
      <c r="Z284" s="70"/>
      <c r="AA284" s="70">
        <f t="shared" si="170"/>
        <v>101.647090032154</v>
      </c>
      <c r="AB284" s="80">
        <v>7.24</v>
      </c>
      <c r="AC284" s="68">
        <f t="shared" si="167"/>
        <v>735.924931832797</v>
      </c>
      <c r="AD284" s="68">
        <f t="shared" si="165"/>
        <v>7556.49838842444</v>
      </c>
      <c r="AE284" s="68">
        <f t="shared" si="168"/>
        <v>575.501611575563</v>
      </c>
    </row>
    <row r="285" customFormat="1" spans="1:31">
      <c r="A285" s="18"/>
      <c r="B285" s="19"/>
      <c r="C285" s="20">
        <v>240612000029</v>
      </c>
      <c r="D285" s="21">
        <v>45461</v>
      </c>
      <c r="E285" s="21" t="s">
        <v>37</v>
      </c>
      <c r="F285" s="19" t="s">
        <v>37</v>
      </c>
      <c r="G285" s="19" t="s">
        <v>280</v>
      </c>
      <c r="H285" s="19">
        <v>1.5</v>
      </c>
      <c r="I285" s="86"/>
      <c r="J285" s="46">
        <v>36771</v>
      </c>
      <c r="K285" s="40"/>
      <c r="L285" s="47">
        <f t="shared" ref="L285:L288" si="180">SUM(J285/M285)</f>
        <v>1491.72413793103</v>
      </c>
      <c r="M285" s="48">
        <v>24.65</v>
      </c>
      <c r="N285" s="41">
        <v>7.24</v>
      </c>
      <c r="O285" s="94">
        <f t="shared" ref="O285:O288" si="181">SUM(M285*N285)</f>
        <v>178.466</v>
      </c>
      <c r="P285" s="44"/>
      <c r="Q285" s="44"/>
      <c r="R285" s="68">
        <f t="shared" si="171"/>
        <v>68.9182475884244</v>
      </c>
      <c r="S285" s="68"/>
      <c r="T285" s="69">
        <f t="shared" si="172"/>
        <v>0.209186093247588</v>
      </c>
      <c r="U285" s="68"/>
      <c r="V285" s="68"/>
      <c r="W285" s="68">
        <f t="shared" si="169"/>
        <v>69.127433681672</v>
      </c>
      <c r="X285" s="70">
        <f t="shared" si="173"/>
        <v>1.03020699356913</v>
      </c>
      <c r="Y285" s="70"/>
      <c r="Z285" s="70"/>
      <c r="AA285" s="70">
        <f t="shared" si="170"/>
        <v>1.03020699356913</v>
      </c>
      <c r="AB285" s="80">
        <v>7.24</v>
      </c>
      <c r="AC285" s="68">
        <f t="shared" si="167"/>
        <v>7.45869863344051</v>
      </c>
      <c r="AD285" s="68">
        <f t="shared" si="165"/>
        <v>76.5861323151126</v>
      </c>
      <c r="AE285" s="68">
        <f t="shared" si="168"/>
        <v>101.879867684887</v>
      </c>
    </row>
    <row r="286" customFormat="1" spans="1:31">
      <c r="A286" s="18"/>
      <c r="B286" s="19"/>
      <c r="C286" s="20">
        <v>240612000030</v>
      </c>
      <c r="D286" s="21">
        <v>45461</v>
      </c>
      <c r="E286" s="21" t="s">
        <v>37</v>
      </c>
      <c r="F286" s="19" t="s">
        <v>37</v>
      </c>
      <c r="G286" s="19" t="s">
        <v>281</v>
      </c>
      <c r="H286" s="19">
        <v>27.5</v>
      </c>
      <c r="I286" s="45"/>
      <c r="J286" s="46">
        <v>347560</v>
      </c>
      <c r="K286" s="40"/>
      <c r="L286" s="47">
        <f t="shared" si="180"/>
        <v>1516.8019551366</v>
      </c>
      <c r="M286" s="48">
        <v>229.14</v>
      </c>
      <c r="N286" s="41">
        <v>7.24</v>
      </c>
      <c r="O286" s="94">
        <f t="shared" si="181"/>
        <v>1658.9736</v>
      </c>
      <c r="P286" s="44"/>
      <c r="Q286" s="44"/>
      <c r="R286" s="68">
        <f t="shared" si="171"/>
        <v>1263.50120578778</v>
      </c>
      <c r="S286" s="68"/>
      <c r="T286" s="69">
        <f t="shared" si="172"/>
        <v>3.83507837620579</v>
      </c>
      <c r="U286" s="68"/>
      <c r="V286" s="68"/>
      <c r="W286" s="68">
        <f t="shared" si="169"/>
        <v>1267.33628416399</v>
      </c>
      <c r="X286" s="70">
        <f t="shared" si="173"/>
        <v>18.8871282154341</v>
      </c>
      <c r="Y286" s="70"/>
      <c r="Z286" s="70"/>
      <c r="AA286" s="70">
        <f t="shared" si="170"/>
        <v>18.8871282154341</v>
      </c>
      <c r="AB286" s="80">
        <v>7.24</v>
      </c>
      <c r="AC286" s="68">
        <f t="shared" si="167"/>
        <v>136.742808279743</v>
      </c>
      <c r="AD286" s="68">
        <f t="shared" si="165"/>
        <v>1404.07909244373</v>
      </c>
      <c r="AE286" s="68">
        <f t="shared" si="168"/>
        <v>254.89450755627</v>
      </c>
    </row>
    <row r="287" customFormat="1" spans="1:31">
      <c r="A287" s="18"/>
      <c r="B287" s="19"/>
      <c r="C287" s="20">
        <v>240612000033</v>
      </c>
      <c r="D287" s="21">
        <v>45461</v>
      </c>
      <c r="E287" s="21" t="s">
        <v>48</v>
      </c>
      <c r="F287" s="19" t="s">
        <v>49</v>
      </c>
      <c r="G287" s="19" t="s">
        <v>183</v>
      </c>
      <c r="H287" s="19">
        <v>0.92</v>
      </c>
      <c r="I287" s="38">
        <v>58</v>
      </c>
      <c r="J287" s="39"/>
      <c r="K287" s="40"/>
      <c r="L287" s="19"/>
      <c r="M287" s="40"/>
      <c r="N287" s="41"/>
      <c r="O287" s="42">
        <f t="shared" ref="O287:O294" si="182">SUM(I287)</f>
        <v>58</v>
      </c>
      <c r="P287" s="44"/>
      <c r="Q287" s="44"/>
      <c r="R287" s="68">
        <f t="shared" si="171"/>
        <v>42.2698585209003</v>
      </c>
      <c r="S287" s="68"/>
      <c r="T287" s="69">
        <f t="shared" si="172"/>
        <v>0.128300803858521</v>
      </c>
      <c r="U287" s="68"/>
      <c r="V287" s="68"/>
      <c r="W287" s="68">
        <f t="shared" si="169"/>
        <v>42.3981593247588</v>
      </c>
      <c r="X287" s="70">
        <f t="shared" si="173"/>
        <v>0.631860289389067</v>
      </c>
      <c r="Y287" s="70"/>
      <c r="Z287" s="70"/>
      <c r="AA287" s="70">
        <f t="shared" si="170"/>
        <v>0.631860289389067</v>
      </c>
      <c r="AB287" s="80">
        <v>7.24</v>
      </c>
      <c r="AC287" s="68">
        <f t="shared" si="167"/>
        <v>4.57466849517685</v>
      </c>
      <c r="AD287" s="68">
        <f t="shared" si="165"/>
        <v>46.9728278199357</v>
      </c>
      <c r="AE287" s="68">
        <f t="shared" si="168"/>
        <v>11.0271721800643</v>
      </c>
    </row>
    <row r="288" customFormat="1" spans="1:31">
      <c r="A288" s="18"/>
      <c r="B288" s="19"/>
      <c r="C288" s="20">
        <v>240612000035</v>
      </c>
      <c r="D288" s="21">
        <v>45461</v>
      </c>
      <c r="E288" s="21" t="s">
        <v>48</v>
      </c>
      <c r="F288" s="19" t="s">
        <v>49</v>
      </c>
      <c r="G288" s="19" t="s">
        <v>73</v>
      </c>
      <c r="H288" s="19">
        <v>26</v>
      </c>
      <c r="I288" s="45"/>
      <c r="J288" s="46">
        <v>323730</v>
      </c>
      <c r="K288" s="40"/>
      <c r="L288" s="47">
        <f t="shared" si="180"/>
        <v>1578.32382623958</v>
      </c>
      <c r="M288" s="48">
        <v>205.11</v>
      </c>
      <c r="N288" s="41">
        <v>7.24</v>
      </c>
      <c r="O288" s="94">
        <f t="shared" si="181"/>
        <v>1484.9964</v>
      </c>
      <c r="P288" s="44"/>
      <c r="Q288" s="44"/>
      <c r="R288" s="68">
        <f t="shared" si="171"/>
        <v>1194.58295819936</v>
      </c>
      <c r="S288" s="68"/>
      <c r="T288" s="69">
        <f t="shared" si="172"/>
        <v>3.6258922829582</v>
      </c>
      <c r="U288" s="69">
        <v>100</v>
      </c>
      <c r="V288" s="68"/>
      <c r="W288" s="68">
        <f t="shared" si="169"/>
        <v>1298.20885048232</v>
      </c>
      <c r="X288" s="70">
        <f t="shared" si="173"/>
        <v>17.856921221865</v>
      </c>
      <c r="Y288" s="70"/>
      <c r="Z288" s="70"/>
      <c r="AA288" s="70">
        <f t="shared" si="170"/>
        <v>17.856921221865</v>
      </c>
      <c r="AB288" s="80">
        <v>7.24</v>
      </c>
      <c r="AC288" s="68">
        <f t="shared" si="167"/>
        <v>129.284109646302</v>
      </c>
      <c r="AD288" s="68">
        <f t="shared" si="165"/>
        <v>1427.49296012862</v>
      </c>
      <c r="AE288" s="68">
        <f t="shared" si="168"/>
        <v>57.5034398713826</v>
      </c>
    </row>
    <row r="289" customFormat="1" spans="1:31">
      <c r="A289" s="18"/>
      <c r="B289" s="19"/>
      <c r="C289" s="20">
        <v>240612000038</v>
      </c>
      <c r="D289" s="21">
        <v>45461</v>
      </c>
      <c r="E289" s="21" t="s">
        <v>48</v>
      </c>
      <c r="F289" s="19" t="s">
        <v>49</v>
      </c>
      <c r="G289" s="19" t="s">
        <v>282</v>
      </c>
      <c r="H289" s="19">
        <v>230</v>
      </c>
      <c r="I289" s="38">
        <v>11500</v>
      </c>
      <c r="J289" s="39"/>
      <c r="K289" s="40"/>
      <c r="L289" s="19"/>
      <c r="M289" s="40"/>
      <c r="N289" s="41"/>
      <c r="O289" s="42">
        <f t="shared" si="182"/>
        <v>11500</v>
      </c>
      <c r="P289" s="44"/>
      <c r="Q289" s="44"/>
      <c r="R289" s="68">
        <f t="shared" si="171"/>
        <v>10567.4646302251</v>
      </c>
      <c r="S289" s="68"/>
      <c r="T289" s="69">
        <f t="shared" si="172"/>
        <v>32.0752009646302</v>
      </c>
      <c r="U289" s="68"/>
      <c r="V289" s="68"/>
      <c r="W289" s="68">
        <f t="shared" si="169"/>
        <v>10599.5398311897</v>
      </c>
      <c r="X289" s="70">
        <f t="shared" si="173"/>
        <v>157.965072347267</v>
      </c>
      <c r="Y289" s="70"/>
      <c r="Z289" s="70"/>
      <c r="AA289" s="70">
        <f t="shared" si="170"/>
        <v>157.965072347267</v>
      </c>
      <c r="AB289" s="80">
        <v>7.24</v>
      </c>
      <c r="AC289" s="68">
        <f t="shared" si="167"/>
        <v>1143.66712379421</v>
      </c>
      <c r="AD289" s="68">
        <f t="shared" ref="AD289:AD315" si="183">SUM(W289+AC289)</f>
        <v>11743.2069549839</v>
      </c>
      <c r="AE289" s="68">
        <f t="shared" si="168"/>
        <v>-243.206954983922</v>
      </c>
    </row>
    <row r="290" customFormat="1" spans="1:31">
      <c r="A290" s="18"/>
      <c r="B290" s="19"/>
      <c r="C290" s="20">
        <v>240612000040</v>
      </c>
      <c r="D290" s="21">
        <v>45461</v>
      </c>
      <c r="E290" s="21" t="s">
        <v>48</v>
      </c>
      <c r="F290" s="19" t="s">
        <v>49</v>
      </c>
      <c r="G290" s="19" t="s">
        <v>153</v>
      </c>
      <c r="H290" s="19">
        <v>5</v>
      </c>
      <c r="I290" s="38">
        <v>358</v>
      </c>
      <c r="J290" s="39"/>
      <c r="K290" s="40"/>
      <c r="L290" s="19"/>
      <c r="M290" s="40"/>
      <c r="N290" s="41"/>
      <c r="O290" s="42">
        <f t="shared" si="182"/>
        <v>358</v>
      </c>
      <c r="P290" s="44"/>
      <c r="Q290" s="44"/>
      <c r="R290" s="68">
        <f t="shared" si="171"/>
        <v>229.727491961415</v>
      </c>
      <c r="S290" s="68"/>
      <c r="T290" s="69">
        <f t="shared" si="172"/>
        <v>0.697286977491961</v>
      </c>
      <c r="U290" s="68">
        <v>40</v>
      </c>
      <c r="V290" s="68"/>
      <c r="W290" s="68">
        <f t="shared" si="169"/>
        <v>270.424778938907</v>
      </c>
      <c r="X290" s="70">
        <f t="shared" si="173"/>
        <v>3.43402331189711</v>
      </c>
      <c r="Y290" s="70"/>
      <c r="Z290" s="70"/>
      <c r="AA290" s="70">
        <f t="shared" si="170"/>
        <v>3.43402331189711</v>
      </c>
      <c r="AB290" s="80">
        <v>7.24</v>
      </c>
      <c r="AC290" s="68">
        <f t="shared" si="167"/>
        <v>24.862328778135</v>
      </c>
      <c r="AD290" s="68">
        <f t="shared" si="183"/>
        <v>295.287107717042</v>
      </c>
      <c r="AE290" s="68">
        <f t="shared" si="168"/>
        <v>62.7128922829582</v>
      </c>
    </row>
    <row r="291" customFormat="1" spans="1:31">
      <c r="A291" s="18"/>
      <c r="B291" s="19"/>
      <c r="C291" s="20">
        <v>240612000041</v>
      </c>
      <c r="D291" s="21">
        <v>45461</v>
      </c>
      <c r="E291" s="21" t="s">
        <v>48</v>
      </c>
      <c r="F291" s="19" t="s">
        <v>49</v>
      </c>
      <c r="G291" s="19" t="s">
        <v>153</v>
      </c>
      <c r="H291" s="19">
        <v>11.5</v>
      </c>
      <c r="I291" s="38">
        <v>609.5</v>
      </c>
      <c r="J291" s="39"/>
      <c r="K291" s="40"/>
      <c r="L291" s="19"/>
      <c r="M291" s="40"/>
      <c r="N291" s="41"/>
      <c r="O291" s="42">
        <f t="shared" si="182"/>
        <v>609.5</v>
      </c>
      <c r="P291" s="44"/>
      <c r="Q291" s="44"/>
      <c r="R291" s="68">
        <f t="shared" si="171"/>
        <v>528.373231511254</v>
      </c>
      <c r="S291" s="68"/>
      <c r="T291" s="69">
        <f t="shared" si="172"/>
        <v>1.60376004823151</v>
      </c>
      <c r="U291" s="68"/>
      <c r="V291" s="68"/>
      <c r="W291" s="68">
        <f t="shared" si="169"/>
        <v>529.976991559486</v>
      </c>
      <c r="X291" s="70">
        <f t="shared" si="173"/>
        <v>7.89825361736334</v>
      </c>
      <c r="Y291" s="70"/>
      <c r="Z291" s="70"/>
      <c r="AA291" s="70">
        <f t="shared" si="170"/>
        <v>7.89825361736334</v>
      </c>
      <c r="AB291" s="80">
        <v>7.24</v>
      </c>
      <c r="AC291" s="68">
        <f t="shared" ref="AC291:AC315" si="184">SUM(AA291*AB291)</f>
        <v>57.1833561897106</v>
      </c>
      <c r="AD291" s="68">
        <f t="shared" si="183"/>
        <v>587.160347749196</v>
      </c>
      <c r="AE291" s="68">
        <f t="shared" ref="AE291:AE315" si="185">SUM(O291-AD291)</f>
        <v>22.3396522508039</v>
      </c>
    </row>
    <row r="292" customFormat="1" spans="1:31">
      <c r="A292" s="18"/>
      <c r="B292" s="19"/>
      <c r="C292" s="20">
        <v>240613000002</v>
      </c>
      <c r="D292" s="21">
        <v>45461</v>
      </c>
      <c r="E292" s="21" t="s">
        <v>48</v>
      </c>
      <c r="F292" s="19" t="s">
        <v>49</v>
      </c>
      <c r="G292" s="19" t="s">
        <v>283</v>
      </c>
      <c r="H292" s="19">
        <v>1.5</v>
      </c>
      <c r="I292" s="38">
        <v>102</v>
      </c>
      <c r="J292" s="39"/>
      <c r="K292" s="40"/>
      <c r="L292" s="19"/>
      <c r="M292" s="40"/>
      <c r="N292" s="41"/>
      <c r="O292" s="42">
        <f t="shared" si="182"/>
        <v>102</v>
      </c>
      <c r="P292" s="44"/>
      <c r="Q292" s="44"/>
      <c r="R292" s="68">
        <f t="shared" si="171"/>
        <v>68.9182475884244</v>
      </c>
      <c r="S292" s="68"/>
      <c r="T292" s="69">
        <f t="shared" si="172"/>
        <v>0.209186093247588</v>
      </c>
      <c r="U292" s="68"/>
      <c r="V292" s="68"/>
      <c r="W292" s="68">
        <f t="shared" ref="W292:W315" si="186">SUM(R292:V292)</f>
        <v>69.127433681672</v>
      </c>
      <c r="X292" s="70">
        <f t="shared" si="173"/>
        <v>1.03020699356913</v>
      </c>
      <c r="Y292" s="70"/>
      <c r="Z292" s="70"/>
      <c r="AA292" s="70">
        <f t="shared" si="170"/>
        <v>1.03020699356913</v>
      </c>
      <c r="AB292" s="80">
        <v>7.24</v>
      </c>
      <c r="AC292" s="68">
        <f t="shared" si="184"/>
        <v>7.45869863344051</v>
      </c>
      <c r="AD292" s="68">
        <f t="shared" si="183"/>
        <v>76.5861323151126</v>
      </c>
      <c r="AE292" s="68">
        <f t="shared" si="185"/>
        <v>25.4138676848874</v>
      </c>
    </row>
    <row r="293" customFormat="1" spans="1:31">
      <c r="A293" s="18"/>
      <c r="B293" s="19"/>
      <c r="C293" s="20">
        <v>240613000003</v>
      </c>
      <c r="D293" s="21">
        <v>45461</v>
      </c>
      <c r="E293" s="21" t="s">
        <v>48</v>
      </c>
      <c r="F293" s="19" t="s">
        <v>49</v>
      </c>
      <c r="G293" s="19" t="s">
        <v>63</v>
      </c>
      <c r="H293" s="19">
        <v>10</v>
      </c>
      <c r="I293" s="38">
        <v>590</v>
      </c>
      <c r="J293" s="39"/>
      <c r="K293" s="40"/>
      <c r="L293" s="19"/>
      <c r="M293" s="40"/>
      <c r="N293" s="41"/>
      <c r="O293" s="42">
        <f t="shared" si="182"/>
        <v>590</v>
      </c>
      <c r="P293" s="44"/>
      <c r="Q293" s="44"/>
      <c r="R293" s="68">
        <f t="shared" si="171"/>
        <v>459.45498392283</v>
      </c>
      <c r="S293" s="68"/>
      <c r="T293" s="69">
        <f t="shared" si="172"/>
        <v>1.39457395498392</v>
      </c>
      <c r="U293" s="68"/>
      <c r="V293" s="68"/>
      <c r="W293" s="68">
        <f t="shared" si="186"/>
        <v>460.849557877813</v>
      </c>
      <c r="X293" s="70">
        <f t="shared" si="173"/>
        <v>6.86804662379421</v>
      </c>
      <c r="Y293" s="70"/>
      <c r="Z293" s="70"/>
      <c r="AA293" s="70">
        <f t="shared" ref="AA293:AA315" si="187">SUM(X293:Z293)</f>
        <v>6.86804662379421</v>
      </c>
      <c r="AB293" s="80">
        <v>7.24</v>
      </c>
      <c r="AC293" s="68">
        <f t="shared" si="184"/>
        <v>49.7246575562701</v>
      </c>
      <c r="AD293" s="68">
        <f t="shared" si="183"/>
        <v>510.574215434084</v>
      </c>
      <c r="AE293" s="68">
        <f t="shared" si="185"/>
        <v>79.4257845659164</v>
      </c>
    </row>
    <row r="294" customFormat="1" spans="1:31">
      <c r="A294" s="18"/>
      <c r="B294" s="19"/>
      <c r="C294" s="20">
        <v>240613000004</v>
      </c>
      <c r="D294" s="21">
        <v>45461</v>
      </c>
      <c r="E294" s="21" t="s">
        <v>48</v>
      </c>
      <c r="F294" s="19" t="s">
        <v>49</v>
      </c>
      <c r="G294" s="19" t="s">
        <v>63</v>
      </c>
      <c r="H294" s="19">
        <v>13</v>
      </c>
      <c r="I294" s="38">
        <v>817</v>
      </c>
      <c r="J294" s="39"/>
      <c r="K294" s="40"/>
      <c r="L294" s="19"/>
      <c r="M294" s="40"/>
      <c r="N294" s="41"/>
      <c r="O294" s="42">
        <f t="shared" si="182"/>
        <v>817</v>
      </c>
      <c r="P294" s="44"/>
      <c r="Q294" s="44"/>
      <c r="R294" s="68">
        <f t="shared" ref="R294:R315" si="188">SUM(114312.4/2488)*H294</f>
        <v>597.291479099678</v>
      </c>
      <c r="S294" s="68"/>
      <c r="T294" s="69">
        <f t="shared" ref="T294:T315" si="189">SUM(346.97/2488)*H294</f>
        <v>1.8129461414791</v>
      </c>
      <c r="U294" s="68">
        <v>50</v>
      </c>
      <c r="V294" s="68"/>
      <c r="W294" s="68">
        <f t="shared" si="186"/>
        <v>649.104425241158</v>
      </c>
      <c r="X294" s="70">
        <f t="shared" ref="X294:X315" si="190">SUM(1708.77/2488)*H294</f>
        <v>8.92846061093248</v>
      </c>
      <c r="Y294" s="70"/>
      <c r="Z294" s="70"/>
      <c r="AA294" s="70">
        <f t="shared" si="187"/>
        <v>8.92846061093248</v>
      </c>
      <c r="AB294" s="80">
        <v>7.24</v>
      </c>
      <c r="AC294" s="68">
        <f t="shared" si="184"/>
        <v>64.6420548231511</v>
      </c>
      <c r="AD294" s="68">
        <f t="shared" si="183"/>
        <v>713.746480064309</v>
      </c>
      <c r="AE294" s="68">
        <f t="shared" si="185"/>
        <v>103.253519935691</v>
      </c>
    </row>
    <row r="295" customFormat="1" spans="1:31">
      <c r="A295" s="18"/>
      <c r="B295" s="19"/>
      <c r="C295" s="20">
        <v>240613000006</v>
      </c>
      <c r="D295" s="21">
        <v>45461</v>
      </c>
      <c r="E295" s="21" t="s">
        <v>41</v>
      </c>
      <c r="F295" s="19" t="s">
        <v>42</v>
      </c>
      <c r="G295" s="19" t="s">
        <v>284</v>
      </c>
      <c r="H295" s="19">
        <v>0.44</v>
      </c>
      <c r="I295" s="42"/>
      <c r="J295" s="46">
        <v>13067.4</v>
      </c>
      <c r="K295" s="40"/>
      <c r="L295" s="47">
        <f t="shared" ref="L295:L297" si="191">SUM(J295/M295)</f>
        <v>1501.99982735634</v>
      </c>
      <c r="M295" s="48">
        <v>8.700001</v>
      </c>
      <c r="N295" s="41">
        <v>7.24</v>
      </c>
      <c r="O295" s="42">
        <f t="shared" ref="O295:O297" si="192">SUM(M295*N295)</f>
        <v>62.98800724</v>
      </c>
      <c r="P295" s="44"/>
      <c r="Q295" s="44"/>
      <c r="R295" s="68">
        <f t="shared" si="188"/>
        <v>20.2160192926045</v>
      </c>
      <c r="S295" s="68"/>
      <c r="T295" s="69">
        <f t="shared" si="189"/>
        <v>0.0613612540192926</v>
      </c>
      <c r="U295" s="68"/>
      <c r="V295" s="68"/>
      <c r="W295" s="68">
        <f t="shared" si="186"/>
        <v>20.2773805466238</v>
      </c>
      <c r="X295" s="70">
        <f t="shared" si="190"/>
        <v>0.302194051446945</v>
      </c>
      <c r="Y295" s="70"/>
      <c r="Z295" s="70"/>
      <c r="AA295" s="70">
        <f t="shared" si="187"/>
        <v>0.302194051446945</v>
      </c>
      <c r="AB295" s="80">
        <v>7.24</v>
      </c>
      <c r="AC295" s="68">
        <f t="shared" si="184"/>
        <v>2.18788493247588</v>
      </c>
      <c r="AD295" s="68">
        <f t="shared" si="183"/>
        <v>22.4652654790997</v>
      </c>
      <c r="AE295" s="68">
        <f t="shared" si="185"/>
        <v>40.5227417609003</v>
      </c>
    </row>
    <row r="296" customFormat="1" spans="1:31">
      <c r="A296" s="18"/>
      <c r="B296" s="19"/>
      <c r="C296" s="20">
        <v>240613000008</v>
      </c>
      <c r="D296" s="21">
        <v>45461</v>
      </c>
      <c r="E296" s="21" t="s">
        <v>37</v>
      </c>
      <c r="F296" s="19" t="s">
        <v>83</v>
      </c>
      <c r="G296" s="19" t="s">
        <v>285</v>
      </c>
      <c r="H296" s="19">
        <v>498.5</v>
      </c>
      <c r="I296" s="42"/>
      <c r="J296" s="46">
        <v>6056710</v>
      </c>
      <c r="K296" s="40"/>
      <c r="L296" s="47">
        <f t="shared" si="191"/>
        <v>1501.9999602225</v>
      </c>
      <c r="M296" s="48">
        <v>4032.4302</v>
      </c>
      <c r="N296" s="41">
        <v>7.24</v>
      </c>
      <c r="O296" s="42">
        <f t="shared" si="192"/>
        <v>29194.794648</v>
      </c>
      <c r="P296" s="44"/>
      <c r="Q296" s="44"/>
      <c r="R296" s="68">
        <f t="shared" si="188"/>
        <v>22903.8309485531</v>
      </c>
      <c r="S296" s="68"/>
      <c r="T296" s="69">
        <f t="shared" si="189"/>
        <v>69.5195116559485</v>
      </c>
      <c r="U296" s="69">
        <v>150</v>
      </c>
      <c r="V296" s="68"/>
      <c r="W296" s="68">
        <f t="shared" si="186"/>
        <v>23123.350460209</v>
      </c>
      <c r="X296" s="70">
        <f t="shared" si="190"/>
        <v>342.372124196141</v>
      </c>
      <c r="Y296" s="70"/>
      <c r="Z296" s="70"/>
      <c r="AA296" s="70">
        <f t="shared" si="187"/>
        <v>342.372124196141</v>
      </c>
      <c r="AB296" s="80">
        <v>7.24</v>
      </c>
      <c r="AC296" s="68">
        <f t="shared" si="184"/>
        <v>2478.77417918006</v>
      </c>
      <c r="AD296" s="68">
        <f t="shared" si="183"/>
        <v>25602.1246393891</v>
      </c>
      <c r="AE296" s="68">
        <f t="shared" si="185"/>
        <v>3592.67000861093</v>
      </c>
    </row>
    <row r="297" customFormat="1" spans="1:31">
      <c r="A297" s="18"/>
      <c r="B297" s="19"/>
      <c r="C297" s="20">
        <v>240613000009</v>
      </c>
      <c r="D297" s="21">
        <v>45461</v>
      </c>
      <c r="E297" s="21" t="s">
        <v>37</v>
      </c>
      <c r="F297" s="19" t="s">
        <v>83</v>
      </c>
      <c r="G297" s="19" t="s">
        <v>285</v>
      </c>
      <c r="H297" s="19">
        <v>34.5</v>
      </c>
      <c r="I297" s="42"/>
      <c r="J297" s="46">
        <v>414387</v>
      </c>
      <c r="K297" s="40"/>
      <c r="L297" s="47">
        <f t="shared" si="191"/>
        <v>1502.0009063033</v>
      </c>
      <c r="M297" s="48">
        <v>275.88998</v>
      </c>
      <c r="N297" s="41">
        <v>7.24</v>
      </c>
      <c r="O297" s="42">
        <f t="shared" si="192"/>
        <v>1997.4434552</v>
      </c>
      <c r="P297" s="44"/>
      <c r="Q297" s="44"/>
      <c r="R297" s="68">
        <f t="shared" si="188"/>
        <v>1585.11969453376</v>
      </c>
      <c r="S297" s="68"/>
      <c r="T297" s="69">
        <f t="shared" si="189"/>
        <v>4.81128014469453</v>
      </c>
      <c r="U297" s="69">
        <f>SUM(50+40)</f>
        <v>90</v>
      </c>
      <c r="V297" s="68"/>
      <c r="W297" s="68">
        <f t="shared" si="186"/>
        <v>1679.93097467846</v>
      </c>
      <c r="X297" s="70">
        <f t="shared" si="190"/>
        <v>23.69476085209</v>
      </c>
      <c r="Y297" s="70"/>
      <c r="Z297" s="70"/>
      <c r="AA297" s="70">
        <f t="shared" si="187"/>
        <v>23.69476085209</v>
      </c>
      <c r="AB297" s="80">
        <v>7.24</v>
      </c>
      <c r="AC297" s="68">
        <f t="shared" si="184"/>
        <v>171.550068569132</v>
      </c>
      <c r="AD297" s="68">
        <f t="shared" si="183"/>
        <v>1851.48104324759</v>
      </c>
      <c r="AE297" s="68">
        <f t="shared" si="185"/>
        <v>145.962411952412</v>
      </c>
    </row>
    <row r="298" customFormat="1" spans="1:31">
      <c r="A298" s="18"/>
      <c r="B298" s="19"/>
      <c r="C298" s="20">
        <v>240613000015</v>
      </c>
      <c r="D298" s="21">
        <v>45461</v>
      </c>
      <c r="E298" s="21" t="s">
        <v>44</v>
      </c>
      <c r="F298" s="19" t="s">
        <v>45</v>
      </c>
      <c r="G298" s="19" t="s">
        <v>286</v>
      </c>
      <c r="H298" s="19">
        <v>12</v>
      </c>
      <c r="I298" s="38">
        <v>690</v>
      </c>
      <c r="J298" s="39"/>
      <c r="K298" s="40"/>
      <c r="L298" s="19"/>
      <c r="M298" s="40"/>
      <c r="N298" s="41"/>
      <c r="O298" s="42">
        <f t="shared" ref="O298:O302" si="193">SUM(I298)</f>
        <v>690</v>
      </c>
      <c r="P298" s="44"/>
      <c r="Q298" s="44"/>
      <c r="R298" s="68">
        <f t="shared" si="188"/>
        <v>551.345980707395</v>
      </c>
      <c r="S298" s="68"/>
      <c r="T298" s="69">
        <f t="shared" si="189"/>
        <v>1.67348874598071</v>
      </c>
      <c r="U298" s="68"/>
      <c r="V298" s="68"/>
      <c r="W298" s="68">
        <f t="shared" si="186"/>
        <v>553.019469453376</v>
      </c>
      <c r="X298" s="70">
        <f t="shared" si="190"/>
        <v>8.24165594855305</v>
      </c>
      <c r="Y298" s="70"/>
      <c r="Z298" s="70"/>
      <c r="AA298" s="70">
        <f t="shared" si="187"/>
        <v>8.24165594855305</v>
      </c>
      <c r="AB298" s="80">
        <v>7.24</v>
      </c>
      <c r="AC298" s="68">
        <f t="shared" si="184"/>
        <v>59.6695890675241</v>
      </c>
      <c r="AD298" s="68">
        <f t="shared" si="183"/>
        <v>612.6890585209</v>
      </c>
      <c r="AE298" s="68">
        <f t="shared" si="185"/>
        <v>77.3109414790996</v>
      </c>
    </row>
    <row r="299" customFormat="1" spans="1:31">
      <c r="A299" s="18"/>
      <c r="B299" s="19"/>
      <c r="C299" s="20">
        <v>240613000021</v>
      </c>
      <c r="D299" s="21">
        <v>45461</v>
      </c>
      <c r="E299" s="21" t="s">
        <v>44</v>
      </c>
      <c r="F299" s="19" t="s">
        <v>45</v>
      </c>
      <c r="G299" s="19" t="s">
        <v>287</v>
      </c>
      <c r="H299" s="19">
        <v>54</v>
      </c>
      <c r="I299" s="38">
        <v>2862</v>
      </c>
      <c r="J299" s="39"/>
      <c r="K299" s="40"/>
      <c r="L299" s="19"/>
      <c r="M299" s="40"/>
      <c r="N299" s="41"/>
      <c r="O299" s="42">
        <f t="shared" si="193"/>
        <v>2862</v>
      </c>
      <c r="P299" s="44"/>
      <c r="Q299" s="44"/>
      <c r="R299" s="68">
        <f t="shared" si="188"/>
        <v>2481.05691318328</v>
      </c>
      <c r="S299" s="68"/>
      <c r="T299" s="69">
        <f t="shared" si="189"/>
        <v>7.53069935691318</v>
      </c>
      <c r="U299" s="68"/>
      <c r="V299" s="68"/>
      <c r="W299" s="68">
        <f t="shared" si="186"/>
        <v>2488.58761254019</v>
      </c>
      <c r="X299" s="70">
        <f t="shared" si="190"/>
        <v>37.0874517684887</v>
      </c>
      <c r="Y299" s="70"/>
      <c r="Z299" s="70"/>
      <c r="AA299" s="70">
        <f t="shared" si="187"/>
        <v>37.0874517684887</v>
      </c>
      <c r="AB299" s="80">
        <v>7.24</v>
      </c>
      <c r="AC299" s="68">
        <f t="shared" si="184"/>
        <v>268.513150803858</v>
      </c>
      <c r="AD299" s="68">
        <f t="shared" si="183"/>
        <v>2757.10076334405</v>
      </c>
      <c r="AE299" s="68">
        <f t="shared" si="185"/>
        <v>104.899236655948</v>
      </c>
    </row>
    <row r="300" customFormat="1" spans="1:31">
      <c r="A300" s="18"/>
      <c r="B300" s="19"/>
      <c r="C300" s="20">
        <v>240613000022</v>
      </c>
      <c r="D300" s="21">
        <v>45461</v>
      </c>
      <c r="E300" s="21" t="s">
        <v>44</v>
      </c>
      <c r="F300" s="19" t="s">
        <v>45</v>
      </c>
      <c r="G300" s="19" t="s">
        <v>288</v>
      </c>
      <c r="H300" s="19">
        <v>1.5</v>
      </c>
      <c r="I300" s="38">
        <v>102</v>
      </c>
      <c r="J300" s="39"/>
      <c r="K300" s="40"/>
      <c r="L300" s="19"/>
      <c r="M300" s="40"/>
      <c r="N300" s="41"/>
      <c r="O300" s="42">
        <f t="shared" si="193"/>
        <v>102</v>
      </c>
      <c r="P300" s="44"/>
      <c r="Q300" s="44"/>
      <c r="R300" s="68">
        <f t="shared" si="188"/>
        <v>68.9182475884244</v>
      </c>
      <c r="S300" s="68"/>
      <c r="T300" s="69">
        <f t="shared" si="189"/>
        <v>0.209186093247588</v>
      </c>
      <c r="U300" s="68"/>
      <c r="V300" s="68"/>
      <c r="W300" s="68">
        <f t="shared" si="186"/>
        <v>69.127433681672</v>
      </c>
      <c r="X300" s="70">
        <f t="shared" si="190"/>
        <v>1.03020699356913</v>
      </c>
      <c r="Y300" s="70"/>
      <c r="Z300" s="70"/>
      <c r="AA300" s="70">
        <f t="shared" si="187"/>
        <v>1.03020699356913</v>
      </c>
      <c r="AB300" s="80">
        <v>7.24</v>
      </c>
      <c r="AC300" s="68">
        <f t="shared" si="184"/>
        <v>7.45869863344051</v>
      </c>
      <c r="AD300" s="68">
        <f t="shared" si="183"/>
        <v>76.5861323151126</v>
      </c>
      <c r="AE300" s="68">
        <f t="shared" si="185"/>
        <v>25.4138676848874</v>
      </c>
    </row>
    <row r="301" customFormat="1" spans="1:31">
      <c r="A301" s="18"/>
      <c r="B301" s="19"/>
      <c r="C301" s="20">
        <v>240613000026</v>
      </c>
      <c r="D301" s="21">
        <v>45461</v>
      </c>
      <c r="E301" s="21" t="s">
        <v>41</v>
      </c>
      <c r="F301" s="19" t="s">
        <v>42</v>
      </c>
      <c r="G301" s="19" t="s">
        <v>74</v>
      </c>
      <c r="H301" s="19">
        <v>2.5</v>
      </c>
      <c r="I301" s="38">
        <v>137</v>
      </c>
      <c r="J301" s="39"/>
      <c r="K301" s="40"/>
      <c r="L301" s="19"/>
      <c r="M301" s="40"/>
      <c r="N301" s="41"/>
      <c r="O301" s="42">
        <f t="shared" si="193"/>
        <v>137</v>
      </c>
      <c r="P301" s="44"/>
      <c r="Q301" s="44"/>
      <c r="R301" s="68">
        <f t="shared" si="188"/>
        <v>114.863745980707</v>
      </c>
      <c r="S301" s="68"/>
      <c r="T301" s="69">
        <f t="shared" si="189"/>
        <v>0.348643488745981</v>
      </c>
      <c r="U301" s="68"/>
      <c r="V301" s="68"/>
      <c r="W301" s="68">
        <f t="shared" si="186"/>
        <v>115.212389469453</v>
      </c>
      <c r="X301" s="70">
        <f t="shared" si="190"/>
        <v>1.71701165594855</v>
      </c>
      <c r="Y301" s="70"/>
      <c r="Z301" s="70"/>
      <c r="AA301" s="70">
        <f t="shared" si="187"/>
        <v>1.71701165594855</v>
      </c>
      <c r="AB301" s="80">
        <v>7.24</v>
      </c>
      <c r="AC301" s="68">
        <f t="shared" si="184"/>
        <v>12.4311643890675</v>
      </c>
      <c r="AD301" s="68">
        <f t="shared" si="183"/>
        <v>127.643553858521</v>
      </c>
      <c r="AE301" s="68">
        <f t="shared" si="185"/>
        <v>9.35644614147911</v>
      </c>
    </row>
    <row r="302" customFormat="1" spans="1:31">
      <c r="A302" s="18"/>
      <c r="B302" s="19"/>
      <c r="C302" s="20">
        <v>240614000004</v>
      </c>
      <c r="D302" s="21">
        <v>45461</v>
      </c>
      <c r="E302" s="21" t="s">
        <v>37</v>
      </c>
      <c r="F302" s="19" t="s">
        <v>37</v>
      </c>
      <c r="G302" s="19" t="s">
        <v>262</v>
      </c>
      <c r="H302" s="19">
        <v>163.5</v>
      </c>
      <c r="I302" s="38">
        <v>8992.5</v>
      </c>
      <c r="J302" s="39"/>
      <c r="K302" s="40"/>
      <c r="L302" s="19"/>
      <c r="M302" s="40"/>
      <c r="N302" s="41"/>
      <c r="O302" s="42">
        <f t="shared" si="193"/>
        <v>8992.5</v>
      </c>
      <c r="P302" s="44"/>
      <c r="Q302" s="44"/>
      <c r="R302" s="68">
        <f t="shared" si="188"/>
        <v>7512.08898713826</v>
      </c>
      <c r="S302" s="68"/>
      <c r="T302" s="69">
        <f t="shared" si="189"/>
        <v>22.8012841639871</v>
      </c>
      <c r="U302" s="68"/>
      <c r="V302" s="68"/>
      <c r="W302" s="68">
        <f t="shared" si="186"/>
        <v>7534.89027130225</v>
      </c>
      <c r="X302" s="70">
        <f t="shared" si="190"/>
        <v>112.292562299035</v>
      </c>
      <c r="Y302" s="70"/>
      <c r="Z302" s="70"/>
      <c r="AA302" s="70">
        <f t="shared" si="187"/>
        <v>112.292562299035</v>
      </c>
      <c r="AB302" s="80">
        <v>7.24</v>
      </c>
      <c r="AC302" s="68">
        <f t="shared" si="184"/>
        <v>812.998151045016</v>
      </c>
      <c r="AD302" s="68">
        <f t="shared" si="183"/>
        <v>8347.88842234727</v>
      </c>
      <c r="AE302" s="68">
        <f t="shared" si="185"/>
        <v>644.611577652733</v>
      </c>
    </row>
    <row r="303" customFormat="1" spans="1:31">
      <c r="A303" s="18"/>
      <c r="B303" s="19"/>
      <c r="C303" s="20">
        <v>240614000005</v>
      </c>
      <c r="D303" s="21">
        <v>45461</v>
      </c>
      <c r="E303" s="21" t="s">
        <v>136</v>
      </c>
      <c r="F303" s="19" t="s">
        <v>137</v>
      </c>
      <c r="G303" s="19" t="s">
        <v>289</v>
      </c>
      <c r="H303" s="19">
        <v>0.9</v>
      </c>
      <c r="I303" s="42"/>
      <c r="J303" s="46">
        <v>13217.6</v>
      </c>
      <c r="K303" s="40"/>
      <c r="L303" s="47">
        <f>SUM(J303/M303)</f>
        <v>1502</v>
      </c>
      <c r="M303" s="48">
        <v>8.8</v>
      </c>
      <c r="N303" s="41">
        <v>7.24</v>
      </c>
      <c r="O303" s="42">
        <f>SUM(M303*N303)</f>
        <v>63.712</v>
      </c>
      <c r="P303" s="44"/>
      <c r="Q303" s="44"/>
      <c r="R303" s="68">
        <f t="shared" si="188"/>
        <v>41.3509485530547</v>
      </c>
      <c r="S303" s="68"/>
      <c r="T303" s="69">
        <f t="shared" si="189"/>
        <v>0.125511655948553</v>
      </c>
      <c r="U303" s="68"/>
      <c r="V303" s="68"/>
      <c r="W303" s="68">
        <f t="shared" si="186"/>
        <v>41.4764602090032</v>
      </c>
      <c r="X303" s="70">
        <f t="shared" si="190"/>
        <v>0.618124196141479</v>
      </c>
      <c r="Y303" s="70"/>
      <c r="Z303" s="70"/>
      <c r="AA303" s="70">
        <f t="shared" si="187"/>
        <v>0.618124196141479</v>
      </c>
      <c r="AB303" s="80">
        <v>7.24</v>
      </c>
      <c r="AC303" s="68">
        <f t="shared" si="184"/>
        <v>4.47521918006431</v>
      </c>
      <c r="AD303" s="68">
        <f t="shared" si="183"/>
        <v>45.9516793890675</v>
      </c>
      <c r="AE303" s="68">
        <f t="shared" si="185"/>
        <v>17.7603206109325</v>
      </c>
    </row>
    <row r="304" customFormat="1" spans="1:31">
      <c r="A304" s="18"/>
      <c r="B304" s="19"/>
      <c r="C304" s="81">
        <v>240614000007</v>
      </c>
      <c r="D304" s="82">
        <v>45461</v>
      </c>
      <c r="E304" s="21" t="s">
        <v>51</v>
      </c>
      <c r="F304" s="83" t="s">
        <v>52</v>
      </c>
      <c r="G304" s="83" t="s">
        <v>115</v>
      </c>
      <c r="H304" s="83">
        <v>8</v>
      </c>
      <c r="I304" s="45"/>
      <c r="J304" s="46">
        <v>91080</v>
      </c>
      <c r="K304" s="40"/>
      <c r="L304" s="47">
        <f>SUM(J304/M304)</f>
        <v>1498.76583840711</v>
      </c>
      <c r="M304" s="48">
        <v>60.77</v>
      </c>
      <c r="N304" s="41">
        <v>7.24</v>
      </c>
      <c r="O304" s="42">
        <f>SUM(M304*N304)</f>
        <v>439.9748</v>
      </c>
      <c r="P304" s="44"/>
      <c r="Q304" s="44"/>
      <c r="R304" s="68">
        <f t="shared" si="188"/>
        <v>367.563987138264</v>
      </c>
      <c r="S304" s="68"/>
      <c r="T304" s="69">
        <f t="shared" si="189"/>
        <v>1.11565916398714</v>
      </c>
      <c r="U304" s="68"/>
      <c r="V304" s="68"/>
      <c r="W304" s="68">
        <f t="shared" si="186"/>
        <v>368.679646302251</v>
      </c>
      <c r="X304" s="70">
        <f t="shared" si="190"/>
        <v>5.49443729903537</v>
      </c>
      <c r="Y304" s="70"/>
      <c r="Z304" s="70"/>
      <c r="AA304" s="70">
        <f t="shared" si="187"/>
        <v>5.49443729903537</v>
      </c>
      <c r="AB304" s="80">
        <v>7.24</v>
      </c>
      <c r="AC304" s="68">
        <f t="shared" si="184"/>
        <v>39.7797260450161</v>
      </c>
      <c r="AD304" s="68">
        <f t="shared" si="183"/>
        <v>408.459372347267</v>
      </c>
      <c r="AE304" s="68">
        <f t="shared" si="185"/>
        <v>31.5154276527332</v>
      </c>
    </row>
    <row r="305" customFormat="1" spans="1:31">
      <c r="A305" s="18"/>
      <c r="B305" s="19"/>
      <c r="C305" s="20">
        <v>240614000009</v>
      </c>
      <c r="D305" s="21">
        <v>45461</v>
      </c>
      <c r="E305" s="21" t="s">
        <v>37</v>
      </c>
      <c r="F305" s="19" t="s">
        <v>37</v>
      </c>
      <c r="G305" s="19" t="s">
        <v>290</v>
      </c>
      <c r="H305" s="19">
        <v>269</v>
      </c>
      <c r="I305" s="38">
        <v>15864</v>
      </c>
      <c r="J305" s="39"/>
      <c r="K305" s="40"/>
      <c r="L305" s="19"/>
      <c r="M305" s="40"/>
      <c r="N305" s="41"/>
      <c r="O305" s="42">
        <f t="shared" ref="O305:O310" si="194">SUM(I305)</f>
        <v>15864</v>
      </c>
      <c r="P305" s="44"/>
      <c r="Q305" s="44"/>
      <c r="R305" s="68">
        <f t="shared" si="188"/>
        <v>12359.3390675241</v>
      </c>
      <c r="S305" s="68"/>
      <c r="T305" s="69">
        <f t="shared" si="189"/>
        <v>37.5140393890675</v>
      </c>
      <c r="U305" s="68">
        <v>40</v>
      </c>
      <c r="V305" s="68"/>
      <c r="W305" s="68">
        <f t="shared" si="186"/>
        <v>12436.8531069132</v>
      </c>
      <c r="X305" s="70">
        <f t="shared" si="190"/>
        <v>184.750454180064</v>
      </c>
      <c r="Y305" s="70"/>
      <c r="Z305" s="70"/>
      <c r="AA305" s="70">
        <f t="shared" si="187"/>
        <v>184.750454180064</v>
      </c>
      <c r="AB305" s="80">
        <v>7.24</v>
      </c>
      <c r="AC305" s="68">
        <f t="shared" si="184"/>
        <v>1337.59328826367</v>
      </c>
      <c r="AD305" s="68">
        <f t="shared" si="183"/>
        <v>13774.4463951768</v>
      </c>
      <c r="AE305" s="68">
        <f t="shared" si="185"/>
        <v>2089.55360482315</v>
      </c>
    </row>
    <row r="306" customFormat="1" spans="1:31">
      <c r="A306" s="18"/>
      <c r="B306" s="19"/>
      <c r="C306" s="20">
        <v>240614000016</v>
      </c>
      <c r="D306" s="21">
        <v>45461</v>
      </c>
      <c r="E306" s="21" t="s">
        <v>51</v>
      </c>
      <c r="F306" s="19" t="s">
        <v>52</v>
      </c>
      <c r="G306" s="19" t="s">
        <v>291</v>
      </c>
      <c r="H306" s="19">
        <v>61</v>
      </c>
      <c r="I306" s="38">
        <v>3599</v>
      </c>
      <c r="J306" s="39"/>
      <c r="K306" s="40"/>
      <c r="L306" s="19"/>
      <c r="M306" s="40"/>
      <c r="N306" s="41"/>
      <c r="O306" s="42">
        <f t="shared" si="194"/>
        <v>3599</v>
      </c>
      <c r="P306" s="44"/>
      <c r="Q306" s="44"/>
      <c r="R306" s="68">
        <f t="shared" si="188"/>
        <v>2802.67540192926</v>
      </c>
      <c r="S306" s="68"/>
      <c r="T306" s="69">
        <f t="shared" si="189"/>
        <v>8.50690112540193</v>
      </c>
      <c r="U306" s="95"/>
      <c r="V306" s="68"/>
      <c r="W306" s="68">
        <f t="shared" si="186"/>
        <v>2811.18230305466</v>
      </c>
      <c r="X306" s="70">
        <f t="shared" si="190"/>
        <v>41.8950844051447</v>
      </c>
      <c r="Y306" s="70"/>
      <c r="Z306" s="70"/>
      <c r="AA306" s="70">
        <f t="shared" si="187"/>
        <v>41.8950844051447</v>
      </c>
      <c r="AB306" s="80">
        <v>7.24</v>
      </c>
      <c r="AC306" s="68">
        <f t="shared" si="184"/>
        <v>303.320411093248</v>
      </c>
      <c r="AD306" s="68">
        <f t="shared" si="183"/>
        <v>3114.50271414791</v>
      </c>
      <c r="AE306" s="68">
        <f t="shared" si="185"/>
        <v>484.49728585209</v>
      </c>
    </row>
    <row r="307" customFormat="1" spans="1:31">
      <c r="A307" s="18"/>
      <c r="B307" s="19"/>
      <c r="C307" s="20">
        <v>240614000025</v>
      </c>
      <c r="D307" s="21">
        <v>45461</v>
      </c>
      <c r="E307" s="21" t="s">
        <v>44</v>
      </c>
      <c r="F307" s="19" t="s">
        <v>45</v>
      </c>
      <c r="G307" s="19" t="s">
        <v>82</v>
      </c>
      <c r="H307" s="19">
        <v>2</v>
      </c>
      <c r="I307" s="38">
        <v>135</v>
      </c>
      <c r="J307" s="39"/>
      <c r="K307" s="40"/>
      <c r="L307" s="19"/>
      <c r="M307" s="40"/>
      <c r="N307" s="41"/>
      <c r="O307" s="42">
        <f t="shared" si="194"/>
        <v>135</v>
      </c>
      <c r="P307" s="44"/>
      <c r="Q307" s="44"/>
      <c r="R307" s="68">
        <f t="shared" si="188"/>
        <v>91.8909967845659</v>
      </c>
      <c r="S307" s="68"/>
      <c r="T307" s="69">
        <f t="shared" si="189"/>
        <v>0.278914790996785</v>
      </c>
      <c r="U307" s="95"/>
      <c r="V307" s="68"/>
      <c r="W307" s="68">
        <f t="shared" si="186"/>
        <v>92.1699115755627</v>
      </c>
      <c r="X307" s="70">
        <f t="shared" si="190"/>
        <v>1.37360932475884</v>
      </c>
      <c r="Y307" s="70"/>
      <c r="Z307" s="70"/>
      <c r="AA307" s="70">
        <f t="shared" si="187"/>
        <v>1.37360932475884</v>
      </c>
      <c r="AB307" s="80">
        <v>7.24</v>
      </c>
      <c r="AC307" s="68">
        <f t="shared" si="184"/>
        <v>9.94493151125402</v>
      </c>
      <c r="AD307" s="68">
        <f t="shared" si="183"/>
        <v>102.114843086817</v>
      </c>
      <c r="AE307" s="68">
        <f t="shared" si="185"/>
        <v>32.8851569131833</v>
      </c>
    </row>
    <row r="308" customFormat="1" spans="1:31">
      <c r="A308" s="18"/>
      <c r="B308" s="19"/>
      <c r="C308" s="20">
        <v>240614000030</v>
      </c>
      <c r="D308" s="21">
        <v>45461</v>
      </c>
      <c r="E308" s="21" t="s">
        <v>48</v>
      </c>
      <c r="F308" s="19" t="s">
        <v>49</v>
      </c>
      <c r="G308" s="19" t="s">
        <v>267</v>
      </c>
      <c r="H308" s="19">
        <v>20.5</v>
      </c>
      <c r="I308" s="38">
        <v>1107</v>
      </c>
      <c r="J308" s="39"/>
      <c r="K308" s="40"/>
      <c r="L308" s="19"/>
      <c r="M308" s="40"/>
      <c r="N308" s="41"/>
      <c r="O308" s="42">
        <f t="shared" si="194"/>
        <v>1107</v>
      </c>
      <c r="P308" s="44"/>
      <c r="Q308" s="44"/>
      <c r="R308" s="68">
        <f t="shared" si="188"/>
        <v>941.882717041801</v>
      </c>
      <c r="S308" s="68"/>
      <c r="T308" s="69">
        <f t="shared" si="189"/>
        <v>2.85887660771704</v>
      </c>
      <c r="U308" s="95"/>
      <c r="V308" s="68"/>
      <c r="W308" s="68">
        <f t="shared" si="186"/>
        <v>944.741593649518</v>
      </c>
      <c r="X308" s="70">
        <f t="shared" si="190"/>
        <v>14.0794955787781</v>
      </c>
      <c r="Y308" s="70"/>
      <c r="Z308" s="70"/>
      <c r="AA308" s="70">
        <f t="shared" si="187"/>
        <v>14.0794955787781</v>
      </c>
      <c r="AB308" s="80">
        <v>7.24</v>
      </c>
      <c r="AC308" s="68">
        <f t="shared" si="184"/>
        <v>101.935547990354</v>
      </c>
      <c r="AD308" s="68">
        <f t="shared" si="183"/>
        <v>1046.67714163987</v>
      </c>
      <c r="AE308" s="68">
        <f t="shared" si="185"/>
        <v>60.3228583601287</v>
      </c>
    </row>
    <row r="309" customFormat="1" spans="1:31">
      <c r="A309" s="18"/>
      <c r="B309" s="19"/>
      <c r="C309" s="20">
        <v>240614000033</v>
      </c>
      <c r="D309" s="21">
        <v>45461</v>
      </c>
      <c r="E309" s="21" t="s">
        <v>48</v>
      </c>
      <c r="F309" s="19" t="s">
        <v>49</v>
      </c>
      <c r="G309" s="19" t="s">
        <v>292</v>
      </c>
      <c r="H309" s="19">
        <v>180</v>
      </c>
      <c r="I309" s="38">
        <v>10960</v>
      </c>
      <c r="J309" s="39"/>
      <c r="K309" s="40"/>
      <c r="L309" s="19"/>
      <c r="M309" s="40"/>
      <c r="N309" s="41"/>
      <c r="O309" s="42">
        <f t="shared" si="194"/>
        <v>10960</v>
      </c>
      <c r="P309" s="44"/>
      <c r="Q309" s="44"/>
      <c r="R309" s="68">
        <f t="shared" si="188"/>
        <v>8270.18971061093</v>
      </c>
      <c r="S309" s="68"/>
      <c r="T309" s="69">
        <f t="shared" si="189"/>
        <v>25.1023311897106</v>
      </c>
      <c r="U309" s="69">
        <v>160</v>
      </c>
      <c r="V309" s="68"/>
      <c r="W309" s="68">
        <f t="shared" si="186"/>
        <v>8455.29204180064</v>
      </c>
      <c r="X309" s="70">
        <f t="shared" si="190"/>
        <v>123.624839228296</v>
      </c>
      <c r="Y309" s="70"/>
      <c r="Z309" s="70"/>
      <c r="AA309" s="70">
        <f t="shared" si="187"/>
        <v>123.624839228296</v>
      </c>
      <c r="AB309" s="80">
        <v>7.24</v>
      </c>
      <c r="AC309" s="68">
        <f t="shared" si="184"/>
        <v>895.043836012862</v>
      </c>
      <c r="AD309" s="68">
        <f t="shared" si="183"/>
        <v>9350.3358778135</v>
      </c>
      <c r="AE309" s="68">
        <f t="shared" si="185"/>
        <v>1609.6641221865</v>
      </c>
    </row>
    <row r="310" customFormat="1" spans="1:31">
      <c r="A310" s="18"/>
      <c r="B310" s="19"/>
      <c r="C310" s="20">
        <v>240614000042</v>
      </c>
      <c r="D310" s="21">
        <v>45461</v>
      </c>
      <c r="E310" s="21" t="s">
        <v>48</v>
      </c>
      <c r="F310" s="19" t="s">
        <v>49</v>
      </c>
      <c r="G310" s="19" t="s">
        <v>63</v>
      </c>
      <c r="H310" s="19">
        <v>4.5</v>
      </c>
      <c r="I310" s="38">
        <v>265.5</v>
      </c>
      <c r="J310" s="39"/>
      <c r="K310" s="40"/>
      <c r="L310" s="19"/>
      <c r="M310" s="40"/>
      <c r="N310" s="41"/>
      <c r="O310" s="42">
        <f t="shared" si="194"/>
        <v>265.5</v>
      </c>
      <c r="P310" s="44"/>
      <c r="Q310" s="44"/>
      <c r="R310" s="68">
        <f t="shared" si="188"/>
        <v>206.754742765273</v>
      </c>
      <c r="S310" s="68"/>
      <c r="T310" s="69">
        <f t="shared" si="189"/>
        <v>0.627558279742765</v>
      </c>
      <c r="U310" s="68"/>
      <c r="V310" s="68"/>
      <c r="W310" s="68">
        <f t="shared" si="186"/>
        <v>207.382301045016</v>
      </c>
      <c r="X310" s="70">
        <f t="shared" si="190"/>
        <v>3.0906209807074</v>
      </c>
      <c r="Y310" s="70"/>
      <c r="Z310" s="70"/>
      <c r="AA310" s="70">
        <f t="shared" si="187"/>
        <v>3.0906209807074</v>
      </c>
      <c r="AB310" s="80">
        <v>7.24</v>
      </c>
      <c r="AC310" s="68">
        <f t="shared" si="184"/>
        <v>22.3760959003215</v>
      </c>
      <c r="AD310" s="68">
        <f t="shared" si="183"/>
        <v>229.758396945338</v>
      </c>
      <c r="AE310" s="68">
        <f t="shared" si="185"/>
        <v>35.7416030546624</v>
      </c>
    </row>
    <row r="311" customFormat="1" spans="1:31">
      <c r="A311" s="18"/>
      <c r="B311" s="19"/>
      <c r="C311" s="20">
        <v>240614000043</v>
      </c>
      <c r="D311" s="21">
        <v>45461</v>
      </c>
      <c r="E311" s="21" t="s">
        <v>37</v>
      </c>
      <c r="F311" s="19" t="s">
        <v>37</v>
      </c>
      <c r="G311" s="19" t="s">
        <v>293</v>
      </c>
      <c r="H311" s="19">
        <v>148.5</v>
      </c>
      <c r="I311" s="42"/>
      <c r="J311" s="46">
        <v>1650548.2</v>
      </c>
      <c r="K311" s="40"/>
      <c r="L311" s="47">
        <f>SUM(J311/M311)</f>
        <v>1409.46005721361</v>
      </c>
      <c r="M311" s="48">
        <v>1171.05</v>
      </c>
      <c r="N311" s="41">
        <v>7.24</v>
      </c>
      <c r="O311" s="42">
        <f>SUM(M311*N311)</f>
        <v>8478.402</v>
      </c>
      <c r="P311" s="44"/>
      <c r="Q311" s="44"/>
      <c r="R311" s="68">
        <f t="shared" si="188"/>
        <v>6822.90651125402</v>
      </c>
      <c r="S311" s="68"/>
      <c r="T311" s="69">
        <f t="shared" si="189"/>
        <v>20.7094232315113</v>
      </c>
      <c r="U311" s="68"/>
      <c r="V311" s="68"/>
      <c r="W311" s="68">
        <f t="shared" si="186"/>
        <v>6843.61593448553</v>
      </c>
      <c r="X311" s="70">
        <f t="shared" si="190"/>
        <v>101.990492363344</v>
      </c>
      <c r="Y311" s="70"/>
      <c r="Z311" s="70"/>
      <c r="AA311" s="70">
        <f t="shared" si="187"/>
        <v>101.990492363344</v>
      </c>
      <c r="AB311" s="80">
        <v>7.24</v>
      </c>
      <c r="AC311" s="68">
        <f t="shared" si="184"/>
        <v>738.411164710611</v>
      </c>
      <c r="AD311" s="68">
        <f t="shared" si="183"/>
        <v>7582.02709919614</v>
      </c>
      <c r="AE311" s="68">
        <f t="shared" si="185"/>
        <v>896.374900803859</v>
      </c>
    </row>
    <row r="312" customFormat="1" spans="1:31">
      <c r="A312" s="18"/>
      <c r="B312" s="19"/>
      <c r="C312" s="20">
        <v>240614000044</v>
      </c>
      <c r="D312" s="21">
        <v>45461</v>
      </c>
      <c r="E312" s="21" t="s">
        <v>48</v>
      </c>
      <c r="F312" s="19" t="s">
        <v>49</v>
      </c>
      <c r="G312" s="19" t="s">
        <v>183</v>
      </c>
      <c r="H312" s="19">
        <v>75</v>
      </c>
      <c r="I312" s="38">
        <v>4425</v>
      </c>
      <c r="J312" s="39"/>
      <c r="K312" s="40"/>
      <c r="L312" s="19"/>
      <c r="M312" s="40"/>
      <c r="N312" s="41"/>
      <c r="O312" s="42">
        <f t="shared" ref="O312:O315" si="195">SUM(I312)</f>
        <v>4425</v>
      </c>
      <c r="P312" s="44"/>
      <c r="Q312" s="44"/>
      <c r="R312" s="68">
        <f t="shared" si="188"/>
        <v>3445.91237942122</v>
      </c>
      <c r="S312" s="68"/>
      <c r="T312" s="69">
        <f t="shared" si="189"/>
        <v>10.4593046623794</v>
      </c>
      <c r="U312" s="68"/>
      <c r="V312" s="68"/>
      <c r="W312" s="68">
        <f t="shared" si="186"/>
        <v>3456.3716840836</v>
      </c>
      <c r="X312" s="70">
        <f t="shared" si="190"/>
        <v>51.5103496784566</v>
      </c>
      <c r="Y312" s="70">
        <v>40.33</v>
      </c>
      <c r="Z312" s="70"/>
      <c r="AA312" s="70">
        <f t="shared" si="187"/>
        <v>91.8403496784566</v>
      </c>
      <c r="AB312" s="80">
        <v>7.24</v>
      </c>
      <c r="AC312" s="68">
        <f t="shared" si="184"/>
        <v>664.924131672026</v>
      </c>
      <c r="AD312" s="68">
        <f t="shared" si="183"/>
        <v>4121.29581575563</v>
      </c>
      <c r="AE312" s="68">
        <f t="shared" si="185"/>
        <v>303.704184244373</v>
      </c>
    </row>
    <row r="313" customFormat="1" spans="1:31">
      <c r="A313" s="18"/>
      <c r="B313" s="19"/>
      <c r="C313" s="20">
        <v>240614000045</v>
      </c>
      <c r="D313" s="21">
        <v>45461</v>
      </c>
      <c r="E313" s="21" t="s">
        <v>37</v>
      </c>
      <c r="F313" s="19" t="s">
        <v>37</v>
      </c>
      <c r="G313" s="19" t="s">
        <v>245</v>
      </c>
      <c r="H313" s="19">
        <v>119</v>
      </c>
      <c r="I313" s="38">
        <v>8085</v>
      </c>
      <c r="J313" s="39"/>
      <c r="K313" s="40"/>
      <c r="L313" s="19"/>
      <c r="M313" s="40"/>
      <c r="N313" s="41"/>
      <c r="O313" s="42">
        <f t="shared" si="195"/>
        <v>8085</v>
      </c>
      <c r="P313" s="44"/>
      <c r="Q313" s="44"/>
      <c r="R313" s="68">
        <f t="shared" si="188"/>
        <v>5467.51430868167</v>
      </c>
      <c r="S313" s="68"/>
      <c r="T313" s="69">
        <f t="shared" si="189"/>
        <v>16.5954300643087</v>
      </c>
      <c r="U313" s="68"/>
      <c r="V313" s="68"/>
      <c r="W313" s="68">
        <f t="shared" si="186"/>
        <v>5484.10973874598</v>
      </c>
      <c r="X313" s="70">
        <f t="shared" si="190"/>
        <v>81.7297548231511</v>
      </c>
      <c r="Y313" s="70"/>
      <c r="Z313" s="70"/>
      <c r="AA313" s="70">
        <f t="shared" si="187"/>
        <v>81.7297548231511</v>
      </c>
      <c r="AB313" s="80">
        <v>7.24</v>
      </c>
      <c r="AC313" s="68">
        <f t="shared" si="184"/>
        <v>591.723424919614</v>
      </c>
      <c r="AD313" s="68">
        <f t="shared" si="183"/>
        <v>6075.83316366559</v>
      </c>
      <c r="AE313" s="68">
        <f t="shared" si="185"/>
        <v>2009.16683633441</v>
      </c>
    </row>
    <row r="314" customFormat="1" spans="1:31">
      <c r="A314" s="18"/>
      <c r="B314" s="19"/>
      <c r="C314" s="20">
        <v>240614000046</v>
      </c>
      <c r="D314" s="21">
        <v>45461</v>
      </c>
      <c r="E314" s="21" t="s">
        <v>37</v>
      </c>
      <c r="F314" s="19" t="s">
        <v>37</v>
      </c>
      <c r="G314" s="19" t="s">
        <v>245</v>
      </c>
      <c r="H314" s="19">
        <v>124.5</v>
      </c>
      <c r="I314" s="38">
        <v>6972</v>
      </c>
      <c r="J314" s="39"/>
      <c r="K314" s="40"/>
      <c r="L314" s="19"/>
      <c r="M314" s="40"/>
      <c r="N314" s="41"/>
      <c r="O314" s="42">
        <f t="shared" si="195"/>
        <v>6972</v>
      </c>
      <c r="P314" s="44"/>
      <c r="Q314" s="44"/>
      <c r="R314" s="68">
        <f t="shared" si="188"/>
        <v>5720.21454983923</v>
      </c>
      <c r="S314" s="68"/>
      <c r="T314" s="69">
        <f t="shared" si="189"/>
        <v>17.3624457395498</v>
      </c>
      <c r="U314" s="68"/>
      <c r="V314" s="68"/>
      <c r="W314" s="68">
        <f t="shared" si="186"/>
        <v>5737.57699557878</v>
      </c>
      <c r="X314" s="70">
        <f t="shared" si="190"/>
        <v>85.5071804662379</v>
      </c>
      <c r="Y314" s="70"/>
      <c r="Z314" s="70"/>
      <c r="AA314" s="70">
        <f t="shared" si="187"/>
        <v>85.5071804662379</v>
      </c>
      <c r="AB314" s="80">
        <v>7.24</v>
      </c>
      <c r="AC314" s="68">
        <f t="shared" si="184"/>
        <v>619.071986575563</v>
      </c>
      <c r="AD314" s="68">
        <f t="shared" si="183"/>
        <v>6356.64898215434</v>
      </c>
      <c r="AE314" s="68">
        <f t="shared" ref="AE314:AE329" si="196">SUM(O314-AD314)</f>
        <v>615.351017845659</v>
      </c>
    </row>
    <row r="315" customFormat="1" spans="1:31">
      <c r="A315" s="18"/>
      <c r="B315" s="19"/>
      <c r="C315" s="20">
        <v>240614000054</v>
      </c>
      <c r="D315" s="21">
        <v>45461</v>
      </c>
      <c r="E315" s="21" t="s">
        <v>48</v>
      </c>
      <c r="F315" s="19" t="s">
        <v>49</v>
      </c>
      <c r="G315" s="19" t="s">
        <v>294</v>
      </c>
      <c r="H315" s="19">
        <v>10</v>
      </c>
      <c r="I315" s="38">
        <v>600</v>
      </c>
      <c r="J315" s="39"/>
      <c r="K315" s="40"/>
      <c r="L315" s="19"/>
      <c r="M315" s="40"/>
      <c r="N315" s="41"/>
      <c r="O315" s="42">
        <f t="shared" si="195"/>
        <v>600</v>
      </c>
      <c r="P315" s="49"/>
      <c r="Q315" s="49"/>
      <c r="R315" s="68">
        <f t="shared" si="188"/>
        <v>459.45498392283</v>
      </c>
      <c r="S315" s="68"/>
      <c r="T315" s="69">
        <f t="shared" si="189"/>
        <v>1.39457395498392</v>
      </c>
      <c r="U315" s="68"/>
      <c r="V315" s="68"/>
      <c r="W315" s="68">
        <f t="shared" ref="W315:W329" si="197">SUM(R315:V315)</f>
        <v>460.849557877813</v>
      </c>
      <c r="X315" s="70">
        <f t="shared" si="190"/>
        <v>6.86804662379421</v>
      </c>
      <c r="Y315" s="70"/>
      <c r="Z315" s="70"/>
      <c r="AA315" s="70">
        <f t="shared" ref="AA315:AA329" si="198">SUM(X315:Z315)</f>
        <v>6.86804662379421</v>
      </c>
      <c r="AB315" s="80">
        <v>7.24</v>
      </c>
      <c r="AC315" s="68">
        <f t="shared" ref="AC315:AC329" si="199">SUM(AA315*AB315)</f>
        <v>49.7246575562701</v>
      </c>
      <c r="AD315" s="68">
        <f t="shared" ref="AD315:AD329" si="200">SUM(W315+AC315)</f>
        <v>510.574215434084</v>
      </c>
      <c r="AE315" s="68">
        <f t="shared" si="196"/>
        <v>89.4257845659164</v>
      </c>
    </row>
    <row r="316" customFormat="1" spans="1:31">
      <c r="A316" s="18" t="s">
        <v>295</v>
      </c>
      <c r="B316" s="19" t="s">
        <v>296</v>
      </c>
      <c r="C316" s="20">
        <v>240605000046</v>
      </c>
      <c r="D316" s="21">
        <v>45460</v>
      </c>
      <c r="E316" s="21" t="s">
        <v>66</v>
      </c>
      <c r="F316" s="19" t="s">
        <v>256</v>
      </c>
      <c r="G316" s="19" t="s">
        <v>297</v>
      </c>
      <c r="H316" s="19">
        <v>0.23</v>
      </c>
      <c r="I316" s="42"/>
      <c r="J316" s="39"/>
      <c r="K316" s="48">
        <v>15.97</v>
      </c>
      <c r="L316" s="19"/>
      <c r="M316" s="48">
        <v>15.97</v>
      </c>
      <c r="N316" s="41">
        <v>7.24</v>
      </c>
      <c r="O316" s="42">
        <f t="shared" ref="O316:O321" si="201">SUM(M316*N316)</f>
        <v>115.6228</v>
      </c>
      <c r="P316" s="43">
        <f>SUM(O316:O329)</f>
        <v>10987.3252</v>
      </c>
      <c r="Q316" s="43" t="s">
        <v>40</v>
      </c>
      <c r="R316" s="68">
        <f>SUM(6300/84)*H316</f>
        <v>17.25</v>
      </c>
      <c r="S316" s="68"/>
      <c r="T316" s="69">
        <f>SUM(101.34/84)*H316</f>
        <v>0.277478571428571</v>
      </c>
      <c r="U316" s="68"/>
      <c r="V316" s="68"/>
      <c r="W316" s="68">
        <f t="shared" si="197"/>
        <v>17.5274785714286</v>
      </c>
      <c r="X316" s="70">
        <f>SUM(245.67/84)*H316</f>
        <v>0.672667857142857</v>
      </c>
      <c r="Y316" s="70"/>
      <c r="Z316" s="70"/>
      <c r="AA316" s="70">
        <f t="shared" si="198"/>
        <v>0.672667857142857</v>
      </c>
      <c r="AB316" s="80">
        <v>7.24</v>
      </c>
      <c r="AC316" s="68">
        <f t="shared" si="199"/>
        <v>4.87011528571429</v>
      </c>
      <c r="AD316" s="68">
        <f t="shared" si="200"/>
        <v>22.3975938571429</v>
      </c>
      <c r="AE316" s="68">
        <f t="shared" si="196"/>
        <v>93.2252061428571</v>
      </c>
    </row>
    <row r="317" customFormat="1" spans="1:31">
      <c r="A317" s="18"/>
      <c r="B317" s="19"/>
      <c r="C317" s="20">
        <v>240611000043</v>
      </c>
      <c r="D317" s="21">
        <v>45460</v>
      </c>
      <c r="E317" s="21" t="s">
        <v>41</v>
      </c>
      <c r="F317" s="19" t="s">
        <v>42</v>
      </c>
      <c r="G317" s="19" t="s">
        <v>298</v>
      </c>
      <c r="H317" s="19">
        <v>4</v>
      </c>
      <c r="I317" s="38">
        <v>480</v>
      </c>
      <c r="J317" s="39"/>
      <c r="K317" s="40"/>
      <c r="L317" s="19"/>
      <c r="M317" s="40"/>
      <c r="N317" s="41"/>
      <c r="O317" s="42">
        <f t="shared" ref="O317:O320" si="202">SUM(I317)</f>
        <v>480</v>
      </c>
      <c r="P317" s="44"/>
      <c r="Q317" s="44"/>
      <c r="R317" s="68">
        <f t="shared" ref="R317:R329" si="203">SUM(6300/84)*H317</f>
        <v>300</v>
      </c>
      <c r="S317" s="68"/>
      <c r="T317" s="69">
        <f t="shared" ref="T317:T329" si="204">SUM(101.34/84)*H317</f>
        <v>4.82571428571429</v>
      </c>
      <c r="U317" s="68"/>
      <c r="V317" s="68"/>
      <c r="W317" s="68">
        <f t="shared" si="197"/>
        <v>304.825714285714</v>
      </c>
      <c r="X317" s="70">
        <f t="shared" ref="X317:X329" si="205">SUM(245.67/84)*H317</f>
        <v>11.6985714285714</v>
      </c>
      <c r="Y317" s="70"/>
      <c r="Z317" s="70"/>
      <c r="AA317" s="70">
        <f t="shared" si="198"/>
        <v>11.6985714285714</v>
      </c>
      <c r="AB317" s="80">
        <v>7.24</v>
      </c>
      <c r="AC317" s="68">
        <f t="shared" si="199"/>
        <v>84.6976571428571</v>
      </c>
      <c r="AD317" s="68">
        <f t="shared" si="200"/>
        <v>389.523371428571</v>
      </c>
      <c r="AE317" s="68">
        <f t="shared" si="196"/>
        <v>90.4766285714286</v>
      </c>
    </row>
    <row r="318" customFormat="1" spans="1:31">
      <c r="A318" s="18"/>
      <c r="B318" s="19"/>
      <c r="C318" s="20">
        <v>240612000008</v>
      </c>
      <c r="D318" s="21">
        <v>45460</v>
      </c>
      <c r="E318" s="21" t="s">
        <v>51</v>
      </c>
      <c r="F318" s="19" t="s">
        <v>52</v>
      </c>
      <c r="G318" s="19" t="s">
        <v>54</v>
      </c>
      <c r="H318" s="19">
        <v>15.5</v>
      </c>
      <c r="I318" s="45"/>
      <c r="J318" s="46">
        <v>368977.5</v>
      </c>
      <c r="K318" s="40"/>
      <c r="L318" s="47">
        <f>SUM(J318/M318)</f>
        <v>1498.69008935825</v>
      </c>
      <c r="M318" s="48">
        <v>246.2</v>
      </c>
      <c r="N318" s="41">
        <v>7.24</v>
      </c>
      <c r="O318" s="42">
        <f t="shared" si="201"/>
        <v>1782.488</v>
      </c>
      <c r="P318" s="44"/>
      <c r="Q318" s="44"/>
      <c r="R318" s="68">
        <f t="shared" si="203"/>
        <v>1162.5</v>
      </c>
      <c r="S318" s="68"/>
      <c r="T318" s="69">
        <f t="shared" si="204"/>
        <v>18.6996428571429</v>
      </c>
      <c r="U318" s="68"/>
      <c r="V318" s="68"/>
      <c r="W318" s="68">
        <f t="shared" si="197"/>
        <v>1181.19964285714</v>
      </c>
      <c r="X318" s="70">
        <f t="shared" si="205"/>
        <v>45.3319642857143</v>
      </c>
      <c r="Y318" s="70"/>
      <c r="Z318" s="70"/>
      <c r="AA318" s="70">
        <f t="shared" si="198"/>
        <v>45.3319642857143</v>
      </c>
      <c r="AB318" s="80">
        <v>7.24</v>
      </c>
      <c r="AC318" s="68">
        <f t="shared" si="199"/>
        <v>328.203421428571</v>
      </c>
      <c r="AD318" s="68">
        <f t="shared" si="200"/>
        <v>1509.40306428571</v>
      </c>
      <c r="AE318" s="68">
        <f t="shared" si="196"/>
        <v>273.084935714286</v>
      </c>
    </row>
    <row r="319" customFormat="1" spans="1:31">
      <c r="A319" s="18"/>
      <c r="B319" s="19"/>
      <c r="C319" s="20">
        <v>240612000020</v>
      </c>
      <c r="D319" s="21">
        <v>45460</v>
      </c>
      <c r="E319" s="21" t="s">
        <v>44</v>
      </c>
      <c r="F319" s="19" t="s">
        <v>45</v>
      </c>
      <c r="G319" s="19" t="s">
        <v>46</v>
      </c>
      <c r="H319" s="19">
        <v>0.71</v>
      </c>
      <c r="I319" s="38">
        <v>115</v>
      </c>
      <c r="J319" s="39"/>
      <c r="K319" s="40"/>
      <c r="L319" s="19"/>
      <c r="M319" s="40"/>
      <c r="N319" s="41"/>
      <c r="O319" s="42">
        <f t="shared" si="202"/>
        <v>115</v>
      </c>
      <c r="P319" s="44"/>
      <c r="Q319" s="44"/>
      <c r="R319" s="68">
        <f t="shared" si="203"/>
        <v>53.25</v>
      </c>
      <c r="S319" s="68"/>
      <c r="T319" s="69">
        <f t="shared" si="204"/>
        <v>0.856564285714286</v>
      </c>
      <c r="U319" s="68"/>
      <c r="V319" s="68"/>
      <c r="W319" s="68">
        <f t="shared" si="197"/>
        <v>54.1065642857143</v>
      </c>
      <c r="X319" s="70">
        <f t="shared" si="205"/>
        <v>2.07649642857143</v>
      </c>
      <c r="Y319" s="70"/>
      <c r="Z319" s="70"/>
      <c r="AA319" s="70">
        <f t="shared" si="198"/>
        <v>2.07649642857143</v>
      </c>
      <c r="AB319" s="80">
        <v>7.24</v>
      </c>
      <c r="AC319" s="68">
        <f t="shared" si="199"/>
        <v>15.0338341428571</v>
      </c>
      <c r="AD319" s="68">
        <f t="shared" si="200"/>
        <v>69.1403984285714</v>
      </c>
      <c r="AE319" s="68">
        <f t="shared" si="196"/>
        <v>45.8596015714286</v>
      </c>
    </row>
    <row r="320" customFormat="1" spans="1:31">
      <c r="A320" s="18"/>
      <c r="B320" s="19"/>
      <c r="C320" s="20">
        <v>240612000028</v>
      </c>
      <c r="D320" s="21">
        <v>45460</v>
      </c>
      <c r="E320" s="21" t="s">
        <v>37</v>
      </c>
      <c r="F320" s="19" t="s">
        <v>37</v>
      </c>
      <c r="G320" s="19" t="s">
        <v>299</v>
      </c>
      <c r="H320" s="19">
        <v>4.5</v>
      </c>
      <c r="I320" s="38">
        <v>517.5</v>
      </c>
      <c r="J320" s="39"/>
      <c r="K320" s="40"/>
      <c r="L320" s="19"/>
      <c r="M320" s="40"/>
      <c r="N320" s="41"/>
      <c r="O320" s="42">
        <f t="shared" si="202"/>
        <v>517.5</v>
      </c>
      <c r="P320" s="44"/>
      <c r="Q320" s="44"/>
      <c r="R320" s="68">
        <f t="shared" si="203"/>
        <v>337.5</v>
      </c>
      <c r="S320" s="68"/>
      <c r="T320" s="69">
        <f t="shared" si="204"/>
        <v>5.42892857142857</v>
      </c>
      <c r="U320" s="68"/>
      <c r="V320" s="68"/>
      <c r="W320" s="68">
        <f t="shared" si="197"/>
        <v>342.928928571429</v>
      </c>
      <c r="X320" s="70">
        <f t="shared" si="205"/>
        <v>13.1608928571429</v>
      </c>
      <c r="Y320" s="70"/>
      <c r="Z320" s="70"/>
      <c r="AA320" s="70">
        <f t="shared" si="198"/>
        <v>13.1608928571429</v>
      </c>
      <c r="AB320" s="80">
        <v>7.24</v>
      </c>
      <c r="AC320" s="68">
        <f t="shared" si="199"/>
        <v>95.2848642857143</v>
      </c>
      <c r="AD320" s="68">
        <f t="shared" si="200"/>
        <v>438.213792857143</v>
      </c>
      <c r="AE320" s="68">
        <f t="shared" si="196"/>
        <v>79.2862071428572</v>
      </c>
    </row>
    <row r="321" customFormat="1" spans="1:31">
      <c r="A321" s="18"/>
      <c r="B321" s="19"/>
      <c r="C321" s="20">
        <v>240612000037</v>
      </c>
      <c r="D321" s="21">
        <v>45460</v>
      </c>
      <c r="E321" s="21" t="s">
        <v>48</v>
      </c>
      <c r="F321" s="19" t="s">
        <v>49</v>
      </c>
      <c r="G321" s="19" t="s">
        <v>61</v>
      </c>
      <c r="H321" s="19">
        <v>1.5</v>
      </c>
      <c r="I321" s="45"/>
      <c r="J321" s="46">
        <v>35621</v>
      </c>
      <c r="K321" s="40"/>
      <c r="L321" s="47">
        <f t="shared" ref="L321:L326" si="206">SUM(J321/M321)</f>
        <v>1495.42401343409</v>
      </c>
      <c r="M321" s="48">
        <v>23.82</v>
      </c>
      <c r="N321" s="41">
        <v>7.24</v>
      </c>
      <c r="O321" s="42">
        <f t="shared" si="201"/>
        <v>172.4568</v>
      </c>
      <c r="P321" s="44"/>
      <c r="Q321" s="44"/>
      <c r="R321" s="68">
        <f t="shared" si="203"/>
        <v>112.5</v>
      </c>
      <c r="S321" s="68"/>
      <c r="T321" s="69">
        <f t="shared" si="204"/>
        <v>1.80964285714286</v>
      </c>
      <c r="U321" s="68"/>
      <c r="V321" s="68"/>
      <c r="W321" s="68">
        <f t="shared" si="197"/>
        <v>114.309642857143</v>
      </c>
      <c r="X321" s="70">
        <f t="shared" si="205"/>
        <v>4.38696428571429</v>
      </c>
      <c r="Y321" s="70"/>
      <c r="Z321" s="70"/>
      <c r="AA321" s="70">
        <f t="shared" si="198"/>
        <v>4.38696428571429</v>
      </c>
      <c r="AB321" s="80">
        <v>7.24</v>
      </c>
      <c r="AC321" s="68">
        <f t="shared" si="199"/>
        <v>31.7616214285714</v>
      </c>
      <c r="AD321" s="68">
        <f t="shared" si="200"/>
        <v>146.071264285714</v>
      </c>
      <c r="AE321" s="68">
        <f t="shared" si="196"/>
        <v>26.3855357142857</v>
      </c>
    </row>
    <row r="322" customFormat="1" spans="1:31">
      <c r="A322" s="18"/>
      <c r="B322" s="19"/>
      <c r="C322" s="20">
        <v>240612000042</v>
      </c>
      <c r="D322" s="21">
        <v>45460</v>
      </c>
      <c r="E322" s="21" t="s">
        <v>48</v>
      </c>
      <c r="F322" s="19" t="s">
        <v>49</v>
      </c>
      <c r="G322" s="19" t="s">
        <v>153</v>
      </c>
      <c r="H322" s="19">
        <v>29.5</v>
      </c>
      <c r="I322" s="38">
        <v>3392.5</v>
      </c>
      <c r="J322" s="39"/>
      <c r="K322" s="40"/>
      <c r="L322" s="19"/>
      <c r="M322" s="40"/>
      <c r="N322" s="41"/>
      <c r="O322" s="42">
        <f t="shared" ref="O322:O325" si="207">SUM(I322)</f>
        <v>3392.5</v>
      </c>
      <c r="P322" s="44"/>
      <c r="Q322" s="44"/>
      <c r="R322" s="68">
        <f t="shared" si="203"/>
        <v>2212.5</v>
      </c>
      <c r="S322" s="68"/>
      <c r="T322" s="69">
        <f t="shared" si="204"/>
        <v>35.5896428571429</v>
      </c>
      <c r="U322" s="68"/>
      <c r="V322" s="68"/>
      <c r="W322" s="68">
        <f t="shared" si="197"/>
        <v>2248.08964285714</v>
      </c>
      <c r="X322" s="70">
        <f t="shared" si="205"/>
        <v>86.2769642857143</v>
      </c>
      <c r="Y322" s="70"/>
      <c r="Z322" s="70"/>
      <c r="AA322" s="70">
        <f t="shared" si="198"/>
        <v>86.2769642857143</v>
      </c>
      <c r="AB322" s="80">
        <v>7.24</v>
      </c>
      <c r="AC322" s="68">
        <f t="shared" si="199"/>
        <v>624.645221428571</v>
      </c>
      <c r="AD322" s="68">
        <f t="shared" si="200"/>
        <v>2872.73486428571</v>
      </c>
      <c r="AE322" s="68">
        <f t="shared" si="196"/>
        <v>519.765135714286</v>
      </c>
    </row>
    <row r="323" customFormat="1" spans="1:31">
      <c r="A323" s="18"/>
      <c r="B323" s="19"/>
      <c r="C323" s="20">
        <v>240613000012</v>
      </c>
      <c r="D323" s="21">
        <v>45460</v>
      </c>
      <c r="E323" s="21" t="s">
        <v>44</v>
      </c>
      <c r="F323" s="19" t="s">
        <v>45</v>
      </c>
      <c r="G323" s="19" t="s">
        <v>300</v>
      </c>
      <c r="H323" s="19">
        <v>19.5</v>
      </c>
      <c r="I323" s="38">
        <v>2340</v>
      </c>
      <c r="J323" s="39"/>
      <c r="K323" s="40"/>
      <c r="L323" s="19"/>
      <c r="M323" s="40"/>
      <c r="N323" s="41"/>
      <c r="O323" s="42">
        <f t="shared" si="207"/>
        <v>2340</v>
      </c>
      <c r="P323" s="44"/>
      <c r="Q323" s="44"/>
      <c r="R323" s="68">
        <f t="shared" si="203"/>
        <v>1462.5</v>
      </c>
      <c r="S323" s="68"/>
      <c r="T323" s="69">
        <f t="shared" si="204"/>
        <v>23.5253571428571</v>
      </c>
      <c r="U323" s="68"/>
      <c r="V323" s="68"/>
      <c r="W323" s="68">
        <f t="shared" si="197"/>
        <v>1486.02535714286</v>
      </c>
      <c r="X323" s="70">
        <f t="shared" si="205"/>
        <v>57.0305357142857</v>
      </c>
      <c r="Y323" s="70"/>
      <c r="Z323" s="70"/>
      <c r="AA323" s="70">
        <f t="shared" si="198"/>
        <v>57.0305357142857</v>
      </c>
      <c r="AB323" s="80">
        <v>7.24</v>
      </c>
      <c r="AC323" s="68">
        <f t="shared" si="199"/>
        <v>412.901078571429</v>
      </c>
      <c r="AD323" s="68">
        <f t="shared" si="200"/>
        <v>1898.92643571429</v>
      </c>
      <c r="AE323" s="68">
        <f t="shared" si="196"/>
        <v>441.073564285714</v>
      </c>
    </row>
    <row r="324" customFormat="1" spans="1:31">
      <c r="A324" s="18"/>
      <c r="B324" s="19"/>
      <c r="C324" s="20">
        <v>240613000013</v>
      </c>
      <c r="D324" s="21">
        <v>45460</v>
      </c>
      <c r="E324" s="21" t="s">
        <v>51</v>
      </c>
      <c r="F324" s="19" t="s">
        <v>52</v>
      </c>
      <c r="G324" s="19" t="s">
        <v>54</v>
      </c>
      <c r="H324" s="19">
        <v>0.26</v>
      </c>
      <c r="I324" s="45"/>
      <c r="J324" s="46">
        <v>23805</v>
      </c>
      <c r="K324" s="40"/>
      <c r="L324" s="47">
        <f t="shared" si="206"/>
        <v>1499.05541561713</v>
      </c>
      <c r="M324" s="48">
        <v>15.88</v>
      </c>
      <c r="N324" s="41">
        <v>7.24</v>
      </c>
      <c r="O324" s="42">
        <f t="shared" ref="O324:O330" si="208">SUM(M324*N324)</f>
        <v>114.9712</v>
      </c>
      <c r="P324" s="44"/>
      <c r="Q324" s="44"/>
      <c r="R324" s="68">
        <f t="shared" si="203"/>
        <v>19.5</v>
      </c>
      <c r="S324" s="68"/>
      <c r="T324" s="69">
        <f t="shared" si="204"/>
        <v>0.313671428571429</v>
      </c>
      <c r="U324" s="68"/>
      <c r="V324" s="68"/>
      <c r="W324" s="68">
        <f t="shared" si="197"/>
        <v>19.8136714285714</v>
      </c>
      <c r="X324" s="70">
        <f t="shared" si="205"/>
        <v>0.760407142857143</v>
      </c>
      <c r="Y324" s="70"/>
      <c r="Z324" s="70"/>
      <c r="AA324" s="70">
        <f t="shared" si="198"/>
        <v>0.760407142857143</v>
      </c>
      <c r="AB324" s="80">
        <v>7.24</v>
      </c>
      <c r="AC324" s="68">
        <f t="shared" si="199"/>
        <v>5.50534771428571</v>
      </c>
      <c r="AD324" s="68">
        <f t="shared" si="200"/>
        <v>25.3190191428571</v>
      </c>
      <c r="AE324" s="68">
        <f t="shared" si="196"/>
        <v>89.6521808571429</v>
      </c>
    </row>
    <row r="325" customFormat="1" spans="1:31">
      <c r="A325" s="18"/>
      <c r="B325" s="19"/>
      <c r="C325" s="20">
        <v>240613000014</v>
      </c>
      <c r="D325" s="21">
        <v>45460</v>
      </c>
      <c r="E325" s="21" t="s">
        <v>85</v>
      </c>
      <c r="F325" s="19" t="s">
        <v>86</v>
      </c>
      <c r="G325" s="19" t="s">
        <v>87</v>
      </c>
      <c r="H325" s="19">
        <v>6</v>
      </c>
      <c r="I325" s="38">
        <v>744</v>
      </c>
      <c r="J325" s="39"/>
      <c r="K325" s="40"/>
      <c r="L325" s="19"/>
      <c r="M325" s="40"/>
      <c r="N325" s="41"/>
      <c r="O325" s="42">
        <f t="shared" si="207"/>
        <v>744</v>
      </c>
      <c r="P325" s="44"/>
      <c r="Q325" s="44"/>
      <c r="R325" s="68">
        <f t="shared" si="203"/>
        <v>450</v>
      </c>
      <c r="S325" s="68"/>
      <c r="T325" s="69">
        <f t="shared" si="204"/>
        <v>7.23857142857143</v>
      </c>
      <c r="U325" s="68"/>
      <c r="V325" s="69">
        <v>54</v>
      </c>
      <c r="W325" s="68">
        <f t="shared" si="197"/>
        <v>511.238571428571</v>
      </c>
      <c r="X325" s="70">
        <f t="shared" si="205"/>
        <v>17.5478571428571</v>
      </c>
      <c r="Y325" s="70"/>
      <c r="Z325" s="70"/>
      <c r="AA325" s="70">
        <f t="shared" si="198"/>
        <v>17.5478571428571</v>
      </c>
      <c r="AB325" s="80">
        <v>7.24</v>
      </c>
      <c r="AC325" s="68">
        <f t="shared" si="199"/>
        <v>127.046485714286</v>
      </c>
      <c r="AD325" s="68">
        <f t="shared" si="200"/>
        <v>638.285057142857</v>
      </c>
      <c r="AE325" s="68">
        <f t="shared" si="196"/>
        <v>105.714942857143</v>
      </c>
    </row>
    <row r="326" customFormat="1" spans="1:31">
      <c r="A326" s="18"/>
      <c r="B326" s="19"/>
      <c r="C326" s="20">
        <v>240613000017</v>
      </c>
      <c r="D326" s="21">
        <v>45460</v>
      </c>
      <c r="E326" s="21" t="s">
        <v>44</v>
      </c>
      <c r="F326" s="19" t="s">
        <v>45</v>
      </c>
      <c r="G326" s="19" t="s">
        <v>301</v>
      </c>
      <c r="H326" s="19">
        <v>0.32</v>
      </c>
      <c r="I326" s="42"/>
      <c r="J326" s="46">
        <v>30250</v>
      </c>
      <c r="K326" s="40"/>
      <c r="L326" s="47">
        <f t="shared" si="206"/>
        <v>1501.98609731877</v>
      </c>
      <c r="M326" s="48">
        <v>20.14</v>
      </c>
      <c r="N326" s="41">
        <v>7.24</v>
      </c>
      <c r="O326" s="42">
        <f t="shared" si="208"/>
        <v>145.8136</v>
      </c>
      <c r="P326" s="44"/>
      <c r="Q326" s="44"/>
      <c r="R326" s="68">
        <f t="shared" si="203"/>
        <v>24</v>
      </c>
      <c r="S326" s="68"/>
      <c r="T326" s="69">
        <f t="shared" si="204"/>
        <v>0.386057142857143</v>
      </c>
      <c r="U326" s="68"/>
      <c r="V326" s="68"/>
      <c r="W326" s="68">
        <f t="shared" si="197"/>
        <v>24.3860571428571</v>
      </c>
      <c r="X326" s="70">
        <f t="shared" si="205"/>
        <v>0.935885714285714</v>
      </c>
      <c r="Y326" s="70"/>
      <c r="Z326" s="70"/>
      <c r="AA326" s="70">
        <f t="shared" si="198"/>
        <v>0.935885714285714</v>
      </c>
      <c r="AB326" s="80">
        <v>7.24</v>
      </c>
      <c r="AC326" s="68">
        <f t="shared" si="199"/>
        <v>6.77581257142857</v>
      </c>
      <c r="AD326" s="68">
        <f t="shared" si="200"/>
        <v>31.1618697142857</v>
      </c>
      <c r="AE326" s="68">
        <f t="shared" si="196"/>
        <v>114.651730285714</v>
      </c>
    </row>
    <row r="327" customFormat="1" spans="1:31">
      <c r="A327" s="18"/>
      <c r="B327" s="19"/>
      <c r="C327" s="20">
        <v>240613000024</v>
      </c>
      <c r="D327" s="21">
        <v>45460</v>
      </c>
      <c r="E327" s="21" t="s">
        <v>41</v>
      </c>
      <c r="F327" s="19" t="s">
        <v>42</v>
      </c>
      <c r="G327" s="19" t="s">
        <v>196</v>
      </c>
      <c r="H327" s="19">
        <v>2.5</v>
      </c>
      <c r="I327" s="38">
        <v>287</v>
      </c>
      <c r="J327" s="39"/>
      <c r="K327" s="40"/>
      <c r="L327" s="19"/>
      <c r="M327" s="40"/>
      <c r="N327" s="41"/>
      <c r="O327" s="42">
        <f t="shared" ref="O327:O331" si="209">SUM(I327)</f>
        <v>287</v>
      </c>
      <c r="P327" s="44"/>
      <c r="Q327" s="44"/>
      <c r="R327" s="68">
        <f t="shared" si="203"/>
        <v>187.5</v>
      </c>
      <c r="S327" s="68"/>
      <c r="T327" s="69">
        <f t="shared" si="204"/>
        <v>3.01607142857143</v>
      </c>
      <c r="U327" s="68"/>
      <c r="V327" s="68"/>
      <c r="W327" s="68">
        <f t="shared" si="197"/>
        <v>190.516071428571</v>
      </c>
      <c r="X327" s="70">
        <f t="shared" ref="X327:X337" si="210">SUM(245.67/84)*H327</f>
        <v>7.31160714285714</v>
      </c>
      <c r="Y327" s="70"/>
      <c r="Z327" s="70"/>
      <c r="AA327" s="70">
        <f t="shared" si="198"/>
        <v>7.31160714285714</v>
      </c>
      <c r="AB327" s="80">
        <v>7.24</v>
      </c>
      <c r="AC327" s="68">
        <f t="shared" si="199"/>
        <v>52.9360357142857</v>
      </c>
      <c r="AD327" s="68">
        <f t="shared" si="200"/>
        <v>243.452107142857</v>
      </c>
      <c r="AE327" s="68">
        <f t="shared" ref="AE327:AE338" si="211">SUM(O327-AD327)</f>
        <v>43.5478928571429</v>
      </c>
    </row>
    <row r="328" customFormat="1" spans="1:31">
      <c r="A328" s="18"/>
      <c r="B328" s="19"/>
      <c r="C328" s="20">
        <v>240614000010</v>
      </c>
      <c r="D328" s="21">
        <v>45460</v>
      </c>
      <c r="E328" s="21" t="s">
        <v>41</v>
      </c>
      <c r="F328" s="19" t="s">
        <v>42</v>
      </c>
      <c r="G328" s="19" t="s">
        <v>173</v>
      </c>
      <c r="H328" s="19">
        <v>3.5</v>
      </c>
      <c r="I328" s="38">
        <v>420</v>
      </c>
      <c r="J328" s="39"/>
      <c r="K328" s="40"/>
      <c r="L328" s="19"/>
      <c r="M328" s="40"/>
      <c r="N328" s="41"/>
      <c r="O328" s="42">
        <f t="shared" si="209"/>
        <v>420</v>
      </c>
      <c r="P328" s="44"/>
      <c r="Q328" s="44"/>
      <c r="R328" s="68">
        <f t="shared" si="203"/>
        <v>262.5</v>
      </c>
      <c r="S328" s="68"/>
      <c r="T328" s="69">
        <f t="shared" si="204"/>
        <v>4.2225</v>
      </c>
      <c r="U328" s="68"/>
      <c r="V328" s="68"/>
      <c r="W328" s="68">
        <f t="shared" ref="W328:W338" si="212">SUM(R328:V328)</f>
        <v>266.7225</v>
      </c>
      <c r="X328" s="70">
        <f t="shared" si="210"/>
        <v>10.23625</v>
      </c>
      <c r="Y328" s="70"/>
      <c r="Z328" s="70"/>
      <c r="AA328" s="70">
        <f t="shared" ref="AA328:AA337" si="213">SUM(X328:Z328)</f>
        <v>10.23625</v>
      </c>
      <c r="AB328" s="80">
        <v>7.24</v>
      </c>
      <c r="AC328" s="68">
        <f t="shared" ref="AC328:AC338" si="214">SUM(AA328*AB328)</f>
        <v>74.11045</v>
      </c>
      <c r="AD328" s="68">
        <f t="shared" ref="AD328:AD338" si="215">SUM(W328+AC328)</f>
        <v>340.83295</v>
      </c>
      <c r="AE328" s="68">
        <f t="shared" si="211"/>
        <v>79.16705</v>
      </c>
    </row>
    <row r="329" customFormat="1" spans="1:31">
      <c r="A329" s="18"/>
      <c r="B329" s="19"/>
      <c r="C329" s="20">
        <v>240614000019</v>
      </c>
      <c r="D329" s="21">
        <v>45460</v>
      </c>
      <c r="E329" s="21" t="s">
        <v>37</v>
      </c>
      <c r="F329" s="19" t="s">
        <v>37</v>
      </c>
      <c r="G329" s="19" t="s">
        <v>302</v>
      </c>
      <c r="H329" s="19">
        <v>3</v>
      </c>
      <c r="I329" s="45"/>
      <c r="J329" s="46">
        <v>74160</v>
      </c>
      <c r="K329" s="40"/>
      <c r="L329" s="47">
        <f t="shared" ref="L329:L332" si="216">SUM(J329/M329)</f>
        <v>1491.55269509252</v>
      </c>
      <c r="M329" s="48">
        <v>49.72</v>
      </c>
      <c r="N329" s="41">
        <v>7.24</v>
      </c>
      <c r="O329" s="42">
        <f t="shared" si="208"/>
        <v>359.9728</v>
      </c>
      <c r="P329" s="49"/>
      <c r="Q329" s="49"/>
      <c r="R329" s="68">
        <f t="shared" si="203"/>
        <v>225</v>
      </c>
      <c r="S329" s="68"/>
      <c r="T329" s="69">
        <f t="shared" si="204"/>
        <v>3.61928571428571</v>
      </c>
      <c r="U329" s="68"/>
      <c r="V329" s="68"/>
      <c r="W329" s="68">
        <f t="shared" si="212"/>
        <v>228.619285714286</v>
      </c>
      <c r="X329" s="70">
        <f t="shared" si="210"/>
        <v>8.77392857142857</v>
      </c>
      <c r="Y329" s="70"/>
      <c r="Z329" s="70"/>
      <c r="AA329" s="70">
        <f t="shared" si="213"/>
        <v>8.77392857142857</v>
      </c>
      <c r="AB329" s="80">
        <v>7.24</v>
      </c>
      <c r="AC329" s="68">
        <f t="shared" si="214"/>
        <v>63.5232428571429</v>
      </c>
      <c r="AD329" s="68">
        <f t="shared" si="215"/>
        <v>292.142528571429</v>
      </c>
      <c r="AE329" s="68">
        <f t="shared" si="211"/>
        <v>67.8302714285715</v>
      </c>
    </row>
    <row r="330" customFormat="1" spans="1:31">
      <c r="A330" s="18" t="s">
        <v>295</v>
      </c>
      <c r="B330" s="19" t="s">
        <v>303</v>
      </c>
      <c r="C330" s="20">
        <v>240607000058</v>
      </c>
      <c r="D330" s="21">
        <v>45460</v>
      </c>
      <c r="E330" s="21" t="s">
        <v>66</v>
      </c>
      <c r="F330" s="19"/>
      <c r="G330" s="19" t="s">
        <v>304</v>
      </c>
      <c r="H330" s="19">
        <v>2</v>
      </c>
      <c r="I330" s="42"/>
      <c r="J330" s="46">
        <v>47973.88</v>
      </c>
      <c r="K330" s="40"/>
      <c r="L330" s="47">
        <f t="shared" si="216"/>
        <v>1502</v>
      </c>
      <c r="M330" s="48">
        <v>31.94</v>
      </c>
      <c r="N330" s="41">
        <v>7.24</v>
      </c>
      <c r="O330" s="42">
        <f t="shared" si="208"/>
        <v>231.2456</v>
      </c>
      <c r="P330" s="43">
        <f>SUM(O330:O337)</f>
        <v>8941.8684</v>
      </c>
      <c r="Q330" s="43" t="s">
        <v>40</v>
      </c>
      <c r="R330" s="68">
        <f>SUM(4200/56)*H330</f>
        <v>150</v>
      </c>
      <c r="S330" s="68"/>
      <c r="T330" s="69">
        <f>SUM(54.77/56)*H330</f>
        <v>1.95607142857143</v>
      </c>
      <c r="U330" s="68"/>
      <c r="V330" s="68"/>
      <c r="W330" s="68">
        <f t="shared" si="212"/>
        <v>151.956071428571</v>
      </c>
      <c r="X330" s="70">
        <f t="shared" si="210"/>
        <v>5.84928571428571</v>
      </c>
      <c r="Y330" s="70"/>
      <c r="Z330" s="70"/>
      <c r="AA330" s="70">
        <f t="shared" si="213"/>
        <v>5.84928571428571</v>
      </c>
      <c r="AB330" s="80">
        <v>7.24</v>
      </c>
      <c r="AC330" s="68">
        <f t="shared" si="214"/>
        <v>42.3488285714286</v>
      </c>
      <c r="AD330" s="68">
        <f t="shared" si="215"/>
        <v>194.3049</v>
      </c>
      <c r="AE330" s="68">
        <f t="shared" si="211"/>
        <v>36.9407</v>
      </c>
    </row>
    <row r="331" customFormat="1" spans="1:31">
      <c r="A331" s="18"/>
      <c r="B331" s="19"/>
      <c r="C331" s="20">
        <v>240610000007</v>
      </c>
      <c r="D331" s="21">
        <v>45460</v>
      </c>
      <c r="E331" s="21" t="s">
        <v>51</v>
      </c>
      <c r="F331" s="19" t="s">
        <v>52</v>
      </c>
      <c r="G331" s="19" t="s">
        <v>54</v>
      </c>
      <c r="H331" s="19">
        <v>2</v>
      </c>
      <c r="I331" s="38">
        <v>495</v>
      </c>
      <c r="J331" s="39"/>
      <c r="K331" s="40"/>
      <c r="L331" s="19"/>
      <c r="M331" s="40"/>
      <c r="N331" s="41"/>
      <c r="O331" s="42">
        <f t="shared" si="209"/>
        <v>495</v>
      </c>
      <c r="P331" s="44"/>
      <c r="Q331" s="44"/>
      <c r="R331" s="68">
        <f t="shared" ref="R331:R337" si="217">SUM(4200/56)*H331</f>
        <v>150</v>
      </c>
      <c r="S331" s="68"/>
      <c r="T331" s="69">
        <f t="shared" ref="T331:T337" si="218">SUM(54.77/56)*H331</f>
        <v>1.95607142857143</v>
      </c>
      <c r="U331" s="68"/>
      <c r="V331" s="68"/>
      <c r="W331" s="68">
        <f t="shared" si="212"/>
        <v>151.956071428571</v>
      </c>
      <c r="X331" s="70">
        <f t="shared" si="210"/>
        <v>5.84928571428571</v>
      </c>
      <c r="Y331" s="70"/>
      <c r="Z331" s="70"/>
      <c r="AA331" s="70">
        <f t="shared" si="213"/>
        <v>5.84928571428571</v>
      </c>
      <c r="AB331" s="80">
        <v>7.24</v>
      </c>
      <c r="AC331" s="68">
        <f t="shared" si="214"/>
        <v>42.3488285714286</v>
      </c>
      <c r="AD331" s="68">
        <f t="shared" si="215"/>
        <v>194.3049</v>
      </c>
      <c r="AE331" s="68">
        <f t="shared" si="211"/>
        <v>300.6951</v>
      </c>
    </row>
    <row r="332" customFormat="1" spans="1:31">
      <c r="A332" s="18"/>
      <c r="B332" s="19"/>
      <c r="C332" s="20">
        <v>240610000010</v>
      </c>
      <c r="D332" s="21">
        <v>45460</v>
      </c>
      <c r="E332" s="21" t="s">
        <v>66</v>
      </c>
      <c r="F332" s="19"/>
      <c r="G332" s="19" t="s">
        <v>304</v>
      </c>
      <c r="H332" s="19">
        <v>0.49833333</v>
      </c>
      <c r="I332" s="42"/>
      <c r="J332" s="46">
        <v>23086.04</v>
      </c>
      <c r="K332" s="40"/>
      <c r="L332" s="47">
        <f t="shared" si="216"/>
        <v>1445.58797745773</v>
      </c>
      <c r="M332" s="48">
        <v>15.97</v>
      </c>
      <c r="N332" s="41">
        <v>7.24</v>
      </c>
      <c r="O332" s="42">
        <f>SUM(M332*N332)</f>
        <v>115.6228</v>
      </c>
      <c r="P332" s="44"/>
      <c r="Q332" s="44"/>
      <c r="R332" s="68">
        <f t="shared" si="217"/>
        <v>37.37499975</v>
      </c>
      <c r="S332" s="68"/>
      <c r="T332" s="69">
        <f t="shared" si="218"/>
        <v>0.487387794358929</v>
      </c>
      <c r="U332" s="68"/>
      <c r="V332" s="68"/>
      <c r="W332" s="68">
        <f t="shared" si="212"/>
        <v>37.8623875443589</v>
      </c>
      <c r="X332" s="70">
        <f t="shared" si="210"/>
        <v>1.45744701406071</v>
      </c>
      <c r="Y332" s="70"/>
      <c r="Z332" s="70"/>
      <c r="AA332" s="70">
        <f t="shared" si="213"/>
        <v>1.45744701406071</v>
      </c>
      <c r="AB332" s="80">
        <v>7.24</v>
      </c>
      <c r="AC332" s="68">
        <f t="shared" si="214"/>
        <v>10.5519163817996</v>
      </c>
      <c r="AD332" s="68">
        <f t="shared" si="215"/>
        <v>48.4143039261585</v>
      </c>
      <c r="AE332" s="68">
        <f t="shared" si="211"/>
        <v>67.2084960738415</v>
      </c>
    </row>
    <row r="333" customFormat="1" spans="1:31">
      <c r="A333" s="18"/>
      <c r="B333" s="19"/>
      <c r="C333" s="20">
        <v>240611000014</v>
      </c>
      <c r="D333" s="21">
        <v>45460</v>
      </c>
      <c r="E333" s="21" t="s">
        <v>51</v>
      </c>
      <c r="F333" s="19" t="s">
        <v>52</v>
      </c>
      <c r="G333" s="19" t="s">
        <v>305</v>
      </c>
      <c r="H333" s="19">
        <v>3.5</v>
      </c>
      <c r="I333" s="38">
        <v>402.5</v>
      </c>
      <c r="J333" s="39"/>
      <c r="K333" s="40"/>
      <c r="L333" s="19"/>
      <c r="M333" s="40"/>
      <c r="N333" s="41"/>
      <c r="O333" s="42">
        <f t="shared" ref="O333:O342" si="219">SUM(I333)</f>
        <v>402.5</v>
      </c>
      <c r="P333" s="44"/>
      <c r="Q333" s="44"/>
      <c r="R333" s="68">
        <f t="shared" si="217"/>
        <v>262.5</v>
      </c>
      <c r="S333" s="68"/>
      <c r="T333" s="69">
        <f t="shared" si="218"/>
        <v>3.423125</v>
      </c>
      <c r="U333" s="68"/>
      <c r="V333" s="68"/>
      <c r="W333" s="68">
        <f t="shared" si="212"/>
        <v>265.923125</v>
      </c>
      <c r="X333" s="70">
        <f t="shared" si="210"/>
        <v>10.23625</v>
      </c>
      <c r="Y333" s="70"/>
      <c r="Z333" s="70"/>
      <c r="AA333" s="70">
        <f t="shared" si="213"/>
        <v>10.23625</v>
      </c>
      <c r="AB333" s="80">
        <v>7.24</v>
      </c>
      <c r="AC333" s="68">
        <f t="shared" si="214"/>
        <v>74.11045</v>
      </c>
      <c r="AD333" s="68">
        <f t="shared" si="215"/>
        <v>340.033575</v>
      </c>
      <c r="AE333" s="68">
        <f t="shared" si="211"/>
        <v>62.466425</v>
      </c>
    </row>
    <row r="334" customFormat="1" spans="1:31">
      <c r="A334" s="18"/>
      <c r="B334" s="19"/>
      <c r="C334" s="20">
        <v>240611000029</v>
      </c>
      <c r="D334" s="21">
        <v>45460</v>
      </c>
      <c r="E334" s="21" t="s">
        <v>44</v>
      </c>
      <c r="F334" s="19" t="s">
        <v>45</v>
      </c>
      <c r="G334" s="19" t="s">
        <v>306</v>
      </c>
      <c r="H334" s="19">
        <v>13.5</v>
      </c>
      <c r="I334" s="38">
        <v>1620</v>
      </c>
      <c r="J334" s="39"/>
      <c r="K334" s="40"/>
      <c r="L334" s="19"/>
      <c r="M334" s="40"/>
      <c r="N334" s="41"/>
      <c r="O334" s="42">
        <f t="shared" si="219"/>
        <v>1620</v>
      </c>
      <c r="P334" s="44"/>
      <c r="Q334" s="44"/>
      <c r="R334" s="68">
        <f t="shared" si="217"/>
        <v>1012.5</v>
      </c>
      <c r="S334" s="68"/>
      <c r="T334" s="69">
        <f t="shared" si="218"/>
        <v>13.2034821428571</v>
      </c>
      <c r="U334" s="68"/>
      <c r="V334" s="68"/>
      <c r="W334" s="68">
        <f t="shared" si="212"/>
        <v>1025.70348214286</v>
      </c>
      <c r="X334" s="70">
        <f t="shared" si="210"/>
        <v>39.4826785714286</v>
      </c>
      <c r="Y334" s="70"/>
      <c r="Z334" s="70"/>
      <c r="AA334" s="70">
        <f t="shared" si="213"/>
        <v>39.4826785714286</v>
      </c>
      <c r="AB334" s="80">
        <v>7.24</v>
      </c>
      <c r="AC334" s="68">
        <f t="shared" si="214"/>
        <v>285.854592857143</v>
      </c>
      <c r="AD334" s="68">
        <f t="shared" si="215"/>
        <v>1311.558075</v>
      </c>
      <c r="AE334" s="68">
        <f t="shared" ref="AE334:AE350" si="220">SUM(O334-AD334)</f>
        <v>308.441925</v>
      </c>
    </row>
    <row r="335" customFormat="1" spans="1:31">
      <c r="A335" s="18"/>
      <c r="B335" s="19"/>
      <c r="C335" s="20">
        <v>240611000039</v>
      </c>
      <c r="D335" s="21">
        <v>45460</v>
      </c>
      <c r="E335" s="21" t="s">
        <v>44</v>
      </c>
      <c r="F335" s="19" t="s">
        <v>45</v>
      </c>
      <c r="G335" s="19" t="s">
        <v>307</v>
      </c>
      <c r="H335" s="19">
        <v>0.78</v>
      </c>
      <c r="I335" s="38">
        <v>115</v>
      </c>
      <c r="J335" s="39"/>
      <c r="K335" s="40"/>
      <c r="L335" s="19"/>
      <c r="M335" s="40"/>
      <c r="N335" s="41"/>
      <c r="O335" s="42">
        <f t="shared" si="219"/>
        <v>115</v>
      </c>
      <c r="P335" s="44"/>
      <c r="Q335" s="44"/>
      <c r="R335" s="68">
        <f t="shared" si="217"/>
        <v>58.5</v>
      </c>
      <c r="S335" s="68"/>
      <c r="T335" s="69">
        <f t="shared" si="218"/>
        <v>0.762867857142857</v>
      </c>
      <c r="U335" s="68"/>
      <c r="V335" s="68"/>
      <c r="W335" s="68">
        <f t="shared" si="212"/>
        <v>59.2628678571429</v>
      </c>
      <c r="X335" s="70">
        <f t="shared" si="210"/>
        <v>2.28122142857143</v>
      </c>
      <c r="Y335" s="70"/>
      <c r="Z335" s="70"/>
      <c r="AA335" s="70">
        <f t="shared" si="213"/>
        <v>2.28122142857143</v>
      </c>
      <c r="AB335" s="80">
        <v>7.24</v>
      </c>
      <c r="AC335" s="68">
        <f t="shared" si="214"/>
        <v>16.5160431428571</v>
      </c>
      <c r="AD335" s="68">
        <f t="shared" ref="AD335:AD351" si="221">SUM(W335+AC335)</f>
        <v>75.778911</v>
      </c>
      <c r="AE335" s="68">
        <f t="shared" si="220"/>
        <v>39.221089</v>
      </c>
    </row>
    <row r="336" customFormat="1" spans="1:31">
      <c r="A336" s="18"/>
      <c r="B336" s="19"/>
      <c r="C336" s="20">
        <v>240612000016</v>
      </c>
      <c r="D336" s="21">
        <v>45460</v>
      </c>
      <c r="E336" s="21" t="s">
        <v>48</v>
      </c>
      <c r="F336" s="19" t="s">
        <v>49</v>
      </c>
      <c r="G336" s="19" t="s">
        <v>308</v>
      </c>
      <c r="H336" s="19">
        <v>41.5</v>
      </c>
      <c r="I336" s="38">
        <v>5602.5</v>
      </c>
      <c r="J336" s="39"/>
      <c r="K336" s="40"/>
      <c r="L336" s="19"/>
      <c r="M336" s="40"/>
      <c r="N336" s="41"/>
      <c r="O336" s="42">
        <f t="shared" si="219"/>
        <v>5602.5</v>
      </c>
      <c r="P336" s="44"/>
      <c r="Q336" s="44"/>
      <c r="R336" s="68">
        <f t="shared" si="217"/>
        <v>3112.5</v>
      </c>
      <c r="S336" s="68"/>
      <c r="T336" s="69">
        <f t="shared" si="218"/>
        <v>40.5884821428571</v>
      </c>
      <c r="U336" s="68"/>
      <c r="V336" s="68"/>
      <c r="W336" s="68">
        <f t="shared" si="212"/>
        <v>3153.08848214286</v>
      </c>
      <c r="X336" s="70">
        <f t="shared" si="210"/>
        <v>121.372678571429</v>
      </c>
      <c r="Y336" s="70"/>
      <c r="Z336" s="70"/>
      <c r="AA336" s="70">
        <f t="shared" si="213"/>
        <v>121.372678571429</v>
      </c>
      <c r="AB336" s="80">
        <v>7.24</v>
      </c>
      <c r="AC336" s="68">
        <f t="shared" ref="AC336:AC351" si="222">SUM(AA336*AB336)</f>
        <v>878.738192857146</v>
      </c>
      <c r="AD336" s="68">
        <f t="shared" si="221"/>
        <v>4031.82667500001</v>
      </c>
      <c r="AE336" s="68">
        <f t="shared" si="220"/>
        <v>1570.67332499999</v>
      </c>
    </row>
    <row r="337" customFormat="1" spans="1:31">
      <c r="A337" s="18"/>
      <c r="B337" s="19"/>
      <c r="C337" s="20">
        <v>240613000016</v>
      </c>
      <c r="D337" s="21">
        <v>45460</v>
      </c>
      <c r="E337" s="21" t="s">
        <v>41</v>
      </c>
      <c r="F337" s="19" t="s">
        <v>42</v>
      </c>
      <c r="G337" s="19" t="s">
        <v>173</v>
      </c>
      <c r="H337" s="19">
        <v>3</v>
      </c>
      <c r="I337" s="38">
        <v>360</v>
      </c>
      <c r="J337" s="39"/>
      <c r="K337" s="40"/>
      <c r="L337" s="19"/>
      <c r="M337" s="40"/>
      <c r="N337" s="41"/>
      <c r="O337" s="42">
        <f t="shared" si="219"/>
        <v>360</v>
      </c>
      <c r="P337" s="49"/>
      <c r="Q337" s="49"/>
      <c r="R337" s="68">
        <f t="shared" si="217"/>
        <v>225</v>
      </c>
      <c r="S337" s="68"/>
      <c r="T337" s="69">
        <f t="shared" si="218"/>
        <v>2.93410714285714</v>
      </c>
      <c r="U337" s="68"/>
      <c r="V337" s="68"/>
      <c r="W337" s="68">
        <f t="shared" si="212"/>
        <v>227.934107142857</v>
      </c>
      <c r="X337" s="70">
        <f t="shared" si="210"/>
        <v>8.77392857142857</v>
      </c>
      <c r="Y337" s="70"/>
      <c r="Z337" s="70"/>
      <c r="AA337" s="70">
        <f t="shared" ref="AA337:AA350" si="223">SUM(X337:Z337)</f>
        <v>8.77392857142857</v>
      </c>
      <c r="AB337" s="80">
        <v>7.24</v>
      </c>
      <c r="AC337" s="68">
        <f t="shared" si="222"/>
        <v>63.5232428571428</v>
      </c>
      <c r="AD337" s="68">
        <f t="shared" si="221"/>
        <v>291.45735</v>
      </c>
      <c r="AE337" s="68">
        <f t="shared" si="220"/>
        <v>68.54265</v>
      </c>
    </row>
    <row r="338" customFormat="1" spans="1:31">
      <c r="A338" s="18" t="s">
        <v>309</v>
      </c>
      <c r="B338" s="19" t="s">
        <v>310</v>
      </c>
      <c r="C338" s="20">
        <v>240617000048</v>
      </c>
      <c r="D338" s="21">
        <v>45461</v>
      </c>
      <c r="E338" s="21" t="s">
        <v>37</v>
      </c>
      <c r="F338" s="19" t="s">
        <v>37</v>
      </c>
      <c r="G338" s="19" t="s">
        <v>311</v>
      </c>
      <c r="H338" s="19">
        <v>32</v>
      </c>
      <c r="I338" s="38">
        <v>3680</v>
      </c>
      <c r="J338" s="91"/>
      <c r="K338" s="40"/>
      <c r="L338" s="42"/>
      <c r="M338" s="40"/>
      <c r="N338" s="88"/>
      <c r="O338" s="89">
        <f t="shared" si="219"/>
        <v>3680</v>
      </c>
      <c r="P338" s="90">
        <f>SUM(O338)</f>
        <v>3680</v>
      </c>
      <c r="Q338" s="90" t="s">
        <v>40</v>
      </c>
      <c r="R338" s="92">
        <v>2500</v>
      </c>
      <c r="S338" s="92"/>
      <c r="T338" s="98">
        <v>49.77</v>
      </c>
      <c r="U338" s="92"/>
      <c r="V338" s="92"/>
      <c r="W338" s="68">
        <f t="shared" ref="W338:W350" si="224">SUM(R338:V338)</f>
        <v>2549.77</v>
      </c>
      <c r="X338" s="93">
        <v>37.95</v>
      </c>
      <c r="Y338" s="93"/>
      <c r="Z338" s="93"/>
      <c r="AA338" s="70">
        <f t="shared" si="223"/>
        <v>37.95</v>
      </c>
      <c r="AB338" s="80">
        <v>7.24</v>
      </c>
      <c r="AC338" s="68">
        <f t="shared" si="222"/>
        <v>274.758</v>
      </c>
      <c r="AD338" s="68">
        <f t="shared" si="221"/>
        <v>2824.528</v>
      </c>
      <c r="AE338" s="68">
        <f t="shared" si="220"/>
        <v>855.472</v>
      </c>
    </row>
    <row r="339" customFormat="1" spans="1:31">
      <c r="A339" s="18" t="s">
        <v>312</v>
      </c>
      <c r="B339" s="19" t="s">
        <v>313</v>
      </c>
      <c r="C339" s="20">
        <v>240614000021</v>
      </c>
      <c r="D339" s="21">
        <v>45462</v>
      </c>
      <c r="E339" s="21" t="s">
        <v>136</v>
      </c>
      <c r="F339" s="19" t="s">
        <v>137</v>
      </c>
      <c r="G339" s="19" t="s">
        <v>314</v>
      </c>
      <c r="H339" s="19">
        <v>2.5</v>
      </c>
      <c r="I339" s="38">
        <v>287.5</v>
      </c>
      <c r="J339" s="39"/>
      <c r="K339" s="40"/>
      <c r="L339" s="19"/>
      <c r="M339" s="40"/>
      <c r="N339" s="41"/>
      <c r="O339" s="42">
        <f t="shared" si="219"/>
        <v>287.5</v>
      </c>
      <c r="P339" s="43">
        <f>SUM(O339:O350)</f>
        <v>9498.716</v>
      </c>
      <c r="Q339" s="43" t="s">
        <v>40</v>
      </c>
      <c r="R339" s="68">
        <f>SUM(4800/64)*H339</f>
        <v>187.5</v>
      </c>
      <c r="S339" s="68"/>
      <c r="T339" s="69">
        <f>SUM(53.77/64)*H339</f>
        <v>2.100390625</v>
      </c>
      <c r="U339" s="68"/>
      <c r="V339" s="68"/>
      <c r="W339" s="68">
        <f t="shared" si="224"/>
        <v>189.600390625</v>
      </c>
      <c r="X339" s="70">
        <f>SUM(81.05/64)*H339</f>
        <v>3.166015625</v>
      </c>
      <c r="Y339" s="70"/>
      <c r="Z339" s="70"/>
      <c r="AA339" s="70">
        <f t="shared" si="223"/>
        <v>3.166015625</v>
      </c>
      <c r="AB339" s="80">
        <v>7.24</v>
      </c>
      <c r="AC339" s="68">
        <f t="shared" si="222"/>
        <v>22.921953125</v>
      </c>
      <c r="AD339" s="68">
        <f t="shared" si="221"/>
        <v>212.52234375</v>
      </c>
      <c r="AE339" s="68">
        <f t="shared" si="220"/>
        <v>74.97765625</v>
      </c>
    </row>
    <row r="340" customFormat="1" spans="1:31">
      <c r="A340" s="18"/>
      <c r="B340" s="19"/>
      <c r="C340" s="20">
        <v>240614000032</v>
      </c>
      <c r="D340" s="21">
        <v>45462</v>
      </c>
      <c r="E340" s="21" t="s">
        <v>48</v>
      </c>
      <c r="F340" s="19" t="s">
        <v>49</v>
      </c>
      <c r="G340" s="19" t="s">
        <v>172</v>
      </c>
      <c r="H340" s="19">
        <v>2</v>
      </c>
      <c r="I340" s="38">
        <v>230</v>
      </c>
      <c r="J340" s="39"/>
      <c r="K340" s="40"/>
      <c r="L340" s="19"/>
      <c r="M340" s="40"/>
      <c r="N340" s="41"/>
      <c r="O340" s="42">
        <f t="shared" si="219"/>
        <v>230</v>
      </c>
      <c r="P340" s="44"/>
      <c r="Q340" s="44"/>
      <c r="R340" s="68">
        <f t="shared" ref="R340:R350" si="225">SUM(4800/64)*H340</f>
        <v>150</v>
      </c>
      <c r="S340" s="68"/>
      <c r="T340" s="69">
        <f t="shared" ref="T340:T350" si="226">SUM(53.77/64)*H340</f>
        <v>1.6803125</v>
      </c>
      <c r="U340" s="68"/>
      <c r="V340" s="68"/>
      <c r="W340" s="68">
        <f t="shared" si="224"/>
        <v>151.6803125</v>
      </c>
      <c r="X340" s="70">
        <f t="shared" ref="X340:X350" si="227">SUM(81.05/64)*H340</f>
        <v>2.5328125</v>
      </c>
      <c r="Y340" s="70"/>
      <c r="Z340" s="70"/>
      <c r="AA340" s="70">
        <f t="shared" si="223"/>
        <v>2.5328125</v>
      </c>
      <c r="AB340" s="80">
        <v>7.24</v>
      </c>
      <c r="AC340" s="68">
        <f t="shared" si="222"/>
        <v>18.3375625</v>
      </c>
      <c r="AD340" s="68">
        <f t="shared" si="221"/>
        <v>170.017875</v>
      </c>
      <c r="AE340" s="68">
        <f t="shared" si="220"/>
        <v>59.982125</v>
      </c>
    </row>
    <row r="341" customFormat="1" spans="1:31">
      <c r="A341" s="18"/>
      <c r="B341" s="19"/>
      <c r="C341" s="20">
        <v>240614000058</v>
      </c>
      <c r="D341" s="21">
        <v>45462</v>
      </c>
      <c r="E341" s="21" t="s">
        <v>41</v>
      </c>
      <c r="F341" s="19" t="s">
        <v>42</v>
      </c>
      <c r="G341" s="19" t="s">
        <v>173</v>
      </c>
      <c r="H341" s="19">
        <v>7</v>
      </c>
      <c r="I341" s="38">
        <v>840</v>
      </c>
      <c r="J341" s="39"/>
      <c r="K341" s="40"/>
      <c r="L341" s="19"/>
      <c r="M341" s="40"/>
      <c r="N341" s="41"/>
      <c r="O341" s="42">
        <f t="shared" si="219"/>
        <v>840</v>
      </c>
      <c r="P341" s="44"/>
      <c r="Q341" s="44"/>
      <c r="R341" s="68">
        <f t="shared" si="225"/>
        <v>525</v>
      </c>
      <c r="S341" s="68"/>
      <c r="T341" s="69">
        <f t="shared" si="226"/>
        <v>5.88109375</v>
      </c>
      <c r="U341" s="68"/>
      <c r="V341" s="68"/>
      <c r="W341" s="68">
        <f t="shared" si="224"/>
        <v>530.88109375</v>
      </c>
      <c r="X341" s="70">
        <f t="shared" si="227"/>
        <v>8.86484375</v>
      </c>
      <c r="Y341" s="70"/>
      <c r="Z341" s="70"/>
      <c r="AA341" s="70">
        <f t="shared" si="223"/>
        <v>8.86484375</v>
      </c>
      <c r="AB341" s="80">
        <v>7.24</v>
      </c>
      <c r="AC341" s="68">
        <f t="shared" si="222"/>
        <v>64.18146875</v>
      </c>
      <c r="AD341" s="68">
        <f t="shared" si="221"/>
        <v>595.0625625</v>
      </c>
      <c r="AE341" s="68">
        <f t="shared" si="220"/>
        <v>244.9374375</v>
      </c>
    </row>
    <row r="342" customFormat="1" spans="1:31">
      <c r="A342" s="18"/>
      <c r="B342" s="19"/>
      <c r="C342" s="20">
        <v>240614000059</v>
      </c>
      <c r="D342" s="21">
        <v>45462</v>
      </c>
      <c r="E342" s="21" t="s">
        <v>37</v>
      </c>
      <c r="F342" s="19" t="s">
        <v>37</v>
      </c>
      <c r="G342" s="19" t="s">
        <v>299</v>
      </c>
      <c r="H342" s="19">
        <v>3.5</v>
      </c>
      <c r="I342" s="38">
        <v>402.5</v>
      </c>
      <c r="J342" s="39"/>
      <c r="K342" s="40"/>
      <c r="L342" s="19"/>
      <c r="M342" s="40"/>
      <c r="N342" s="41"/>
      <c r="O342" s="42">
        <f t="shared" si="219"/>
        <v>402.5</v>
      </c>
      <c r="P342" s="44"/>
      <c r="Q342" s="44"/>
      <c r="R342" s="68">
        <f t="shared" si="225"/>
        <v>262.5</v>
      </c>
      <c r="S342" s="68"/>
      <c r="T342" s="69">
        <f t="shared" si="226"/>
        <v>2.940546875</v>
      </c>
      <c r="U342" s="68"/>
      <c r="V342" s="68"/>
      <c r="W342" s="68">
        <f t="shared" si="224"/>
        <v>265.440546875</v>
      </c>
      <c r="X342" s="70">
        <f t="shared" si="227"/>
        <v>4.432421875</v>
      </c>
      <c r="Y342" s="70"/>
      <c r="Z342" s="70"/>
      <c r="AA342" s="70">
        <f t="shared" si="223"/>
        <v>4.432421875</v>
      </c>
      <c r="AB342" s="80">
        <v>7.24</v>
      </c>
      <c r="AC342" s="68">
        <f t="shared" si="222"/>
        <v>32.090734375</v>
      </c>
      <c r="AD342" s="68">
        <f t="shared" si="221"/>
        <v>297.53128125</v>
      </c>
      <c r="AE342" s="68">
        <f t="shared" si="220"/>
        <v>104.96871875</v>
      </c>
    </row>
    <row r="343" customFormat="1" spans="1:31">
      <c r="A343" s="18"/>
      <c r="B343" s="19"/>
      <c r="C343" s="20">
        <v>240614000060</v>
      </c>
      <c r="D343" s="21">
        <v>45462</v>
      </c>
      <c r="E343" s="21" t="s">
        <v>51</v>
      </c>
      <c r="F343" s="19" t="s">
        <v>315</v>
      </c>
      <c r="G343" s="19" t="s">
        <v>316</v>
      </c>
      <c r="H343" s="19">
        <v>2.5</v>
      </c>
      <c r="I343" s="42"/>
      <c r="J343" s="46">
        <v>59974.86</v>
      </c>
      <c r="K343" s="40"/>
      <c r="L343" s="47">
        <f>SUM(J343/M343)</f>
        <v>1502</v>
      </c>
      <c r="M343" s="48">
        <v>39.93</v>
      </c>
      <c r="N343" s="41">
        <v>7.24</v>
      </c>
      <c r="O343" s="42">
        <f>SUM(M343*N343)</f>
        <v>289.0932</v>
      </c>
      <c r="P343" s="44"/>
      <c r="Q343" s="44"/>
      <c r="R343" s="68">
        <f t="shared" si="225"/>
        <v>187.5</v>
      </c>
      <c r="S343" s="68"/>
      <c r="T343" s="69">
        <f t="shared" si="226"/>
        <v>2.100390625</v>
      </c>
      <c r="U343" s="68"/>
      <c r="V343" s="68"/>
      <c r="W343" s="68">
        <f t="shared" si="224"/>
        <v>189.600390625</v>
      </c>
      <c r="X343" s="70">
        <f t="shared" si="227"/>
        <v>3.166015625</v>
      </c>
      <c r="Y343" s="70"/>
      <c r="Z343" s="70"/>
      <c r="AA343" s="70">
        <f t="shared" si="223"/>
        <v>3.166015625</v>
      </c>
      <c r="AB343" s="80">
        <v>7.24</v>
      </c>
      <c r="AC343" s="68">
        <f t="shared" si="222"/>
        <v>22.921953125</v>
      </c>
      <c r="AD343" s="68">
        <f t="shared" si="221"/>
        <v>212.52234375</v>
      </c>
      <c r="AE343" s="68">
        <f t="shared" si="220"/>
        <v>76.57085625</v>
      </c>
    </row>
    <row r="344" customFormat="1" spans="1:31">
      <c r="A344" s="18"/>
      <c r="B344" s="19"/>
      <c r="C344" s="20">
        <v>240615000003</v>
      </c>
      <c r="D344" s="21">
        <v>45462</v>
      </c>
      <c r="E344" s="21" t="s">
        <v>136</v>
      </c>
      <c r="F344" s="19" t="s">
        <v>137</v>
      </c>
      <c r="G344" s="19" t="s">
        <v>317</v>
      </c>
      <c r="H344" s="19">
        <v>0.5</v>
      </c>
      <c r="I344" s="38">
        <v>255</v>
      </c>
      <c r="J344" s="39"/>
      <c r="K344" s="40"/>
      <c r="L344" s="19"/>
      <c r="M344" s="40"/>
      <c r="N344" s="41"/>
      <c r="O344" s="42">
        <f t="shared" ref="O344:O351" si="228">SUM(I344)</f>
        <v>255</v>
      </c>
      <c r="P344" s="44"/>
      <c r="Q344" s="44"/>
      <c r="R344" s="68">
        <f t="shared" si="225"/>
        <v>37.5</v>
      </c>
      <c r="S344" s="68"/>
      <c r="T344" s="69">
        <f t="shared" si="226"/>
        <v>0.420078125</v>
      </c>
      <c r="U344" s="68"/>
      <c r="V344" s="68"/>
      <c r="W344" s="68">
        <f t="shared" si="224"/>
        <v>37.920078125</v>
      </c>
      <c r="X344" s="70">
        <f t="shared" si="227"/>
        <v>0.633203125</v>
      </c>
      <c r="Y344" s="70"/>
      <c r="Z344" s="70"/>
      <c r="AA344" s="70">
        <f t="shared" si="223"/>
        <v>0.633203125</v>
      </c>
      <c r="AB344" s="80">
        <v>7.24</v>
      </c>
      <c r="AC344" s="68">
        <f t="shared" si="222"/>
        <v>4.584390625</v>
      </c>
      <c r="AD344" s="68">
        <f t="shared" si="221"/>
        <v>42.50446875</v>
      </c>
      <c r="AE344" s="68">
        <f t="shared" si="220"/>
        <v>212.49553125</v>
      </c>
    </row>
    <row r="345" customFormat="1" spans="1:31">
      <c r="A345" s="18"/>
      <c r="B345" s="19"/>
      <c r="C345" s="20">
        <v>240616000014</v>
      </c>
      <c r="D345" s="21">
        <v>45462</v>
      </c>
      <c r="E345" s="21" t="s">
        <v>44</v>
      </c>
      <c r="F345" s="19" t="s">
        <v>45</v>
      </c>
      <c r="G345" s="19" t="s">
        <v>318</v>
      </c>
      <c r="H345" s="19">
        <v>20.5</v>
      </c>
      <c r="I345" s="38">
        <v>2357</v>
      </c>
      <c r="J345" s="39"/>
      <c r="K345" s="40"/>
      <c r="L345" s="19"/>
      <c r="M345" s="40"/>
      <c r="N345" s="41"/>
      <c r="O345" s="42">
        <f t="shared" si="228"/>
        <v>2357</v>
      </c>
      <c r="P345" s="44"/>
      <c r="Q345" s="44"/>
      <c r="R345" s="68">
        <f t="shared" si="225"/>
        <v>1537.5</v>
      </c>
      <c r="S345" s="68"/>
      <c r="T345" s="69">
        <f t="shared" si="226"/>
        <v>17.223203125</v>
      </c>
      <c r="U345" s="68"/>
      <c r="V345" s="68"/>
      <c r="W345" s="68">
        <f t="shared" si="224"/>
        <v>1554.723203125</v>
      </c>
      <c r="X345" s="70">
        <f t="shared" si="227"/>
        <v>25.961328125</v>
      </c>
      <c r="Y345" s="70"/>
      <c r="Z345" s="70"/>
      <c r="AA345" s="70">
        <f t="shared" si="223"/>
        <v>25.961328125</v>
      </c>
      <c r="AB345" s="80">
        <v>7.24</v>
      </c>
      <c r="AC345" s="68">
        <f t="shared" si="222"/>
        <v>187.960015625</v>
      </c>
      <c r="AD345" s="68">
        <f t="shared" si="221"/>
        <v>1742.68321875</v>
      </c>
      <c r="AE345" s="68">
        <f t="shared" si="220"/>
        <v>614.31678125</v>
      </c>
    </row>
    <row r="346" customFormat="1" spans="1:31">
      <c r="A346" s="18"/>
      <c r="B346" s="19"/>
      <c r="C346" s="20">
        <v>240617000002</v>
      </c>
      <c r="D346" s="21">
        <v>45462</v>
      </c>
      <c r="E346" s="21" t="s">
        <v>66</v>
      </c>
      <c r="F346" s="19" t="s">
        <v>100</v>
      </c>
      <c r="G346" s="19" t="s">
        <v>118</v>
      </c>
      <c r="H346" s="19">
        <v>0.12</v>
      </c>
      <c r="I346" s="42"/>
      <c r="J346" s="39"/>
      <c r="K346" s="48">
        <v>15.97</v>
      </c>
      <c r="L346" s="19"/>
      <c r="M346" s="48">
        <v>15.97</v>
      </c>
      <c r="N346" s="41">
        <v>7.24</v>
      </c>
      <c r="O346" s="42">
        <f>SUM(M346*N346)</f>
        <v>115.6228</v>
      </c>
      <c r="P346" s="44"/>
      <c r="Q346" s="44"/>
      <c r="R346" s="68">
        <f t="shared" si="225"/>
        <v>9</v>
      </c>
      <c r="S346" s="68"/>
      <c r="T346" s="69">
        <f t="shared" si="226"/>
        <v>0.10081875</v>
      </c>
      <c r="U346" s="68"/>
      <c r="V346" s="68"/>
      <c r="W346" s="68">
        <f t="shared" si="224"/>
        <v>9.10081875</v>
      </c>
      <c r="X346" s="70">
        <f t="shared" si="227"/>
        <v>0.15196875</v>
      </c>
      <c r="Y346" s="70"/>
      <c r="Z346" s="70"/>
      <c r="AA346" s="70">
        <f t="shared" si="223"/>
        <v>0.15196875</v>
      </c>
      <c r="AB346" s="80">
        <v>7.24</v>
      </c>
      <c r="AC346" s="68">
        <f t="shared" si="222"/>
        <v>1.10025375</v>
      </c>
      <c r="AD346" s="68">
        <f t="shared" si="221"/>
        <v>10.2010725</v>
      </c>
      <c r="AE346" s="68">
        <f t="shared" si="220"/>
        <v>105.4217275</v>
      </c>
    </row>
    <row r="347" customFormat="1" spans="1:31">
      <c r="A347" s="18"/>
      <c r="B347" s="19"/>
      <c r="C347" s="20">
        <v>240617000037</v>
      </c>
      <c r="D347" s="21">
        <v>45462</v>
      </c>
      <c r="E347" s="21" t="s">
        <v>48</v>
      </c>
      <c r="F347" s="19" t="s">
        <v>49</v>
      </c>
      <c r="G347" s="19" t="s">
        <v>50</v>
      </c>
      <c r="H347" s="19">
        <v>6</v>
      </c>
      <c r="I347" s="38">
        <v>690</v>
      </c>
      <c r="J347" s="39"/>
      <c r="K347" s="40"/>
      <c r="L347" s="19"/>
      <c r="M347" s="40"/>
      <c r="N347" s="41"/>
      <c r="O347" s="42">
        <f t="shared" si="228"/>
        <v>690</v>
      </c>
      <c r="P347" s="44"/>
      <c r="Q347" s="44"/>
      <c r="R347" s="68">
        <f t="shared" si="225"/>
        <v>450</v>
      </c>
      <c r="S347" s="68"/>
      <c r="T347" s="69">
        <f t="shared" si="226"/>
        <v>5.0409375</v>
      </c>
      <c r="U347" s="68"/>
      <c r="V347" s="68"/>
      <c r="W347" s="68">
        <f t="shared" si="224"/>
        <v>455.0409375</v>
      </c>
      <c r="X347" s="70">
        <f t="shared" si="227"/>
        <v>7.5984375</v>
      </c>
      <c r="Y347" s="70"/>
      <c r="Z347" s="70"/>
      <c r="AA347" s="70">
        <f t="shared" si="223"/>
        <v>7.5984375</v>
      </c>
      <c r="AB347" s="80">
        <v>7.24</v>
      </c>
      <c r="AC347" s="68">
        <f t="shared" si="222"/>
        <v>55.0126875</v>
      </c>
      <c r="AD347" s="68">
        <f t="shared" si="221"/>
        <v>510.053625</v>
      </c>
      <c r="AE347" s="68">
        <f t="shared" si="220"/>
        <v>179.946375</v>
      </c>
    </row>
    <row r="348" customFormat="1" spans="1:31">
      <c r="A348" s="18"/>
      <c r="B348" s="19"/>
      <c r="C348" s="20">
        <v>240618000007</v>
      </c>
      <c r="D348" s="21">
        <v>45462</v>
      </c>
      <c r="E348" s="21" t="s">
        <v>41</v>
      </c>
      <c r="F348" s="19" t="s">
        <v>42</v>
      </c>
      <c r="G348" s="19" t="s">
        <v>319</v>
      </c>
      <c r="H348" s="19">
        <v>1.5</v>
      </c>
      <c r="I348" s="38">
        <v>172</v>
      </c>
      <c r="J348" s="39"/>
      <c r="K348" s="40"/>
      <c r="L348" s="19"/>
      <c r="M348" s="40"/>
      <c r="N348" s="41"/>
      <c r="O348" s="42">
        <f t="shared" si="228"/>
        <v>172</v>
      </c>
      <c r="P348" s="44"/>
      <c r="Q348" s="44"/>
      <c r="R348" s="68">
        <f t="shared" si="225"/>
        <v>112.5</v>
      </c>
      <c r="S348" s="68"/>
      <c r="T348" s="69">
        <f t="shared" si="226"/>
        <v>1.260234375</v>
      </c>
      <c r="U348" s="68"/>
      <c r="V348" s="68"/>
      <c r="W348" s="68">
        <f t="shared" si="224"/>
        <v>113.760234375</v>
      </c>
      <c r="X348" s="70">
        <f t="shared" si="227"/>
        <v>1.899609375</v>
      </c>
      <c r="Y348" s="70"/>
      <c r="Z348" s="70"/>
      <c r="AA348" s="70">
        <f t="shared" si="223"/>
        <v>1.899609375</v>
      </c>
      <c r="AB348" s="80">
        <v>7.24</v>
      </c>
      <c r="AC348" s="68">
        <f t="shared" ref="AC348:AC379" si="229">SUM(AA348*AB348)</f>
        <v>13.753171875</v>
      </c>
      <c r="AD348" s="68">
        <f t="shared" si="221"/>
        <v>127.51340625</v>
      </c>
      <c r="AE348" s="68">
        <f t="shared" si="220"/>
        <v>44.48659375</v>
      </c>
    </row>
    <row r="349" customFormat="1" spans="1:31">
      <c r="A349" s="18"/>
      <c r="B349" s="19"/>
      <c r="C349" s="20">
        <v>240618000009</v>
      </c>
      <c r="D349" s="21">
        <v>45462</v>
      </c>
      <c r="E349" s="21" t="s">
        <v>41</v>
      </c>
      <c r="F349" s="19" t="s">
        <v>42</v>
      </c>
      <c r="G349" s="19" t="s">
        <v>298</v>
      </c>
      <c r="H349" s="19">
        <v>1.5</v>
      </c>
      <c r="I349" s="38">
        <v>180</v>
      </c>
      <c r="J349" s="39"/>
      <c r="K349" s="40"/>
      <c r="L349" s="19"/>
      <c r="M349" s="40"/>
      <c r="N349" s="41"/>
      <c r="O349" s="42">
        <f t="shared" si="228"/>
        <v>180</v>
      </c>
      <c r="P349" s="44"/>
      <c r="Q349" s="44"/>
      <c r="R349" s="68">
        <f t="shared" si="225"/>
        <v>112.5</v>
      </c>
      <c r="S349" s="68"/>
      <c r="T349" s="69">
        <f t="shared" si="226"/>
        <v>1.260234375</v>
      </c>
      <c r="U349" s="68"/>
      <c r="V349" s="68"/>
      <c r="W349" s="68">
        <f t="shared" ref="W349:W380" si="230">SUM(R349:V349)</f>
        <v>113.760234375</v>
      </c>
      <c r="X349" s="70">
        <f t="shared" si="227"/>
        <v>1.899609375</v>
      </c>
      <c r="Y349" s="70"/>
      <c r="Z349" s="70"/>
      <c r="AA349" s="70">
        <f t="shared" si="223"/>
        <v>1.899609375</v>
      </c>
      <c r="AB349" s="80">
        <v>7.24</v>
      </c>
      <c r="AC349" s="68">
        <f t="shared" si="229"/>
        <v>13.753171875</v>
      </c>
      <c r="AD349" s="68">
        <f t="shared" si="221"/>
        <v>127.51340625</v>
      </c>
      <c r="AE349" s="68">
        <f t="shared" si="220"/>
        <v>52.48659375</v>
      </c>
    </row>
    <row r="350" customFormat="1" spans="1:31">
      <c r="A350" s="18"/>
      <c r="B350" s="19"/>
      <c r="C350" s="20">
        <v>240618000046</v>
      </c>
      <c r="D350" s="21">
        <v>45462</v>
      </c>
      <c r="E350" s="21" t="s">
        <v>37</v>
      </c>
      <c r="F350" s="19" t="s">
        <v>37</v>
      </c>
      <c r="G350" s="19" t="s">
        <v>311</v>
      </c>
      <c r="H350" s="19">
        <v>32</v>
      </c>
      <c r="I350" s="38">
        <v>3680</v>
      </c>
      <c r="J350" s="39"/>
      <c r="K350" s="40"/>
      <c r="L350" s="19"/>
      <c r="M350" s="40"/>
      <c r="N350" s="96"/>
      <c r="O350" s="42">
        <f t="shared" si="228"/>
        <v>3680</v>
      </c>
      <c r="P350" s="49"/>
      <c r="Q350" s="49"/>
      <c r="R350" s="68">
        <f t="shared" si="225"/>
        <v>2400</v>
      </c>
      <c r="S350" s="68"/>
      <c r="T350" s="69">
        <f t="shared" si="226"/>
        <v>26.885</v>
      </c>
      <c r="U350" s="68"/>
      <c r="V350" s="68"/>
      <c r="W350" s="68">
        <f t="shared" si="230"/>
        <v>2426.885</v>
      </c>
      <c r="X350" s="70">
        <f t="shared" si="227"/>
        <v>40.525</v>
      </c>
      <c r="Y350" s="70"/>
      <c r="Z350" s="70"/>
      <c r="AA350" s="70">
        <f t="shared" ref="AA350:AA381" si="231">SUM(X350:Z350)</f>
        <v>40.525</v>
      </c>
      <c r="AB350" s="80">
        <v>7.24</v>
      </c>
      <c r="AC350" s="68">
        <f t="shared" si="229"/>
        <v>293.401</v>
      </c>
      <c r="AD350" s="68">
        <f t="shared" ref="AD350:AD381" si="232">SUM(W350+AC350)</f>
        <v>2720.286</v>
      </c>
      <c r="AE350" s="68">
        <f t="shared" ref="AE350:AE381" si="233">SUM(O350-AD350)</f>
        <v>959.714</v>
      </c>
    </row>
    <row r="351" customFormat="1" spans="1:31">
      <c r="A351" s="18" t="s">
        <v>320</v>
      </c>
      <c r="B351" s="19" t="s">
        <v>321</v>
      </c>
      <c r="C351" s="20">
        <v>240602000001</v>
      </c>
      <c r="D351" s="21">
        <v>45462</v>
      </c>
      <c r="E351" s="21" t="s">
        <v>85</v>
      </c>
      <c r="F351" s="19" t="s">
        <v>86</v>
      </c>
      <c r="G351" s="19" t="s">
        <v>322</v>
      </c>
      <c r="H351" s="19">
        <v>2</v>
      </c>
      <c r="I351" s="38">
        <v>135.3</v>
      </c>
      <c r="J351" s="39"/>
      <c r="K351" s="40"/>
      <c r="L351" s="19"/>
      <c r="M351" s="40"/>
      <c r="N351" s="41"/>
      <c r="O351" s="42">
        <f t="shared" si="228"/>
        <v>135.3</v>
      </c>
      <c r="P351" s="43">
        <f>SUM(O351:O408)</f>
        <v>166545.20437104</v>
      </c>
      <c r="Q351" s="43" t="s">
        <v>59</v>
      </c>
      <c r="R351" s="68">
        <f>SUM(110680.6/2362)*H351</f>
        <v>93.7176968670618</v>
      </c>
      <c r="S351" s="68"/>
      <c r="T351" s="69">
        <f>SUM(183/2362)*H351</f>
        <v>0.154953429297206</v>
      </c>
      <c r="U351" s="68"/>
      <c r="V351" s="68"/>
      <c r="W351" s="68">
        <f t="shared" si="230"/>
        <v>93.872650296359</v>
      </c>
      <c r="X351" s="70">
        <f>SUM(1423.48/2362)*H351</f>
        <v>1.20531752751905</v>
      </c>
      <c r="Y351" s="70"/>
      <c r="Z351" s="70"/>
      <c r="AA351" s="70">
        <f t="shared" si="231"/>
        <v>1.20531752751905</v>
      </c>
      <c r="AB351" s="80">
        <v>7.24</v>
      </c>
      <c r="AC351" s="68">
        <f t="shared" si="229"/>
        <v>8.72649889923794</v>
      </c>
      <c r="AD351" s="68">
        <f t="shared" si="232"/>
        <v>102.599149195597</v>
      </c>
      <c r="AE351" s="68">
        <f t="shared" si="233"/>
        <v>32.700850804403</v>
      </c>
    </row>
    <row r="352" customFormat="1" spans="1:31">
      <c r="A352" s="18"/>
      <c r="B352" s="19"/>
      <c r="C352" s="20">
        <v>240606000002</v>
      </c>
      <c r="D352" s="21">
        <v>45462</v>
      </c>
      <c r="E352" s="21" t="s">
        <v>48</v>
      </c>
      <c r="F352" s="19" t="s">
        <v>49</v>
      </c>
      <c r="G352" s="19" t="s">
        <v>80</v>
      </c>
      <c r="H352" s="19">
        <v>13.5</v>
      </c>
      <c r="I352" s="45"/>
      <c r="J352" s="46">
        <v>193063.5</v>
      </c>
      <c r="K352" s="40"/>
      <c r="L352" s="47">
        <f>SUM(J352/M352)</f>
        <v>1643.51323742232</v>
      </c>
      <c r="M352" s="48">
        <v>117.47</v>
      </c>
      <c r="N352" s="41">
        <v>7.24</v>
      </c>
      <c r="O352" s="89">
        <f>SUM(M352*N352)</f>
        <v>850.4828</v>
      </c>
      <c r="P352" s="44"/>
      <c r="Q352" s="44"/>
      <c r="R352" s="68">
        <f t="shared" ref="R352:R383" si="234">SUM(110680.6/2362)*H352</f>
        <v>632.594453852667</v>
      </c>
      <c r="S352" s="68"/>
      <c r="T352" s="69">
        <f t="shared" ref="T352:T383" si="235">SUM(183/2362)*H352</f>
        <v>1.04593564775614</v>
      </c>
      <c r="U352" s="68"/>
      <c r="V352" s="68"/>
      <c r="W352" s="68">
        <f t="shared" si="230"/>
        <v>633.640389500423</v>
      </c>
      <c r="X352" s="70">
        <f t="shared" ref="X352:X383" si="236">SUM(1423.48/2362)*H352</f>
        <v>8.1358933107536</v>
      </c>
      <c r="Y352" s="70"/>
      <c r="Z352" s="70"/>
      <c r="AA352" s="70">
        <f t="shared" si="231"/>
        <v>8.1358933107536</v>
      </c>
      <c r="AB352" s="80">
        <v>7.24</v>
      </c>
      <c r="AC352" s="68">
        <f t="shared" si="229"/>
        <v>58.9038675698561</v>
      </c>
      <c r="AD352" s="68">
        <f t="shared" si="232"/>
        <v>692.544257070279</v>
      </c>
      <c r="AE352" s="68">
        <f t="shared" si="233"/>
        <v>157.938542929721</v>
      </c>
    </row>
    <row r="353" customFormat="1" spans="1:31">
      <c r="A353" s="18"/>
      <c r="B353" s="19"/>
      <c r="C353" s="20">
        <v>240606000003</v>
      </c>
      <c r="D353" s="21">
        <v>45462</v>
      </c>
      <c r="E353" s="21" t="s">
        <v>48</v>
      </c>
      <c r="F353" s="19" t="s">
        <v>49</v>
      </c>
      <c r="G353" s="19" t="s">
        <v>323</v>
      </c>
      <c r="H353" s="19">
        <v>13</v>
      </c>
      <c r="I353" s="38">
        <v>800</v>
      </c>
      <c r="J353" s="39"/>
      <c r="K353" s="40"/>
      <c r="L353" s="19"/>
      <c r="M353" s="40"/>
      <c r="N353" s="41"/>
      <c r="O353" s="42">
        <f t="shared" ref="O353:O364" si="237">SUM(I353)</f>
        <v>800</v>
      </c>
      <c r="P353" s="44"/>
      <c r="Q353" s="44"/>
      <c r="R353" s="68">
        <f t="shared" si="234"/>
        <v>609.165029635902</v>
      </c>
      <c r="S353" s="68"/>
      <c r="T353" s="69">
        <f t="shared" si="235"/>
        <v>1.00719729043184</v>
      </c>
      <c r="U353" s="68"/>
      <c r="V353" s="68"/>
      <c r="W353" s="68">
        <f t="shared" si="230"/>
        <v>610.172226926334</v>
      </c>
      <c r="X353" s="70">
        <f t="shared" si="236"/>
        <v>7.83456392887384</v>
      </c>
      <c r="Y353" s="70"/>
      <c r="Z353" s="70"/>
      <c r="AA353" s="70">
        <f t="shared" si="231"/>
        <v>7.83456392887384</v>
      </c>
      <c r="AB353" s="80">
        <v>7.24</v>
      </c>
      <c r="AC353" s="68">
        <f t="shared" si="229"/>
        <v>56.7222428450466</v>
      </c>
      <c r="AD353" s="68">
        <f t="shared" si="232"/>
        <v>666.89446977138</v>
      </c>
      <c r="AE353" s="68">
        <f t="shared" si="233"/>
        <v>133.10553022862</v>
      </c>
    </row>
    <row r="354" customFormat="1" spans="1:31">
      <c r="A354" s="18"/>
      <c r="B354" s="19"/>
      <c r="C354" s="20">
        <v>240606000014</v>
      </c>
      <c r="D354" s="21">
        <v>45462</v>
      </c>
      <c r="E354" s="21" t="s">
        <v>85</v>
      </c>
      <c r="F354" s="19" t="s">
        <v>86</v>
      </c>
      <c r="G354" s="19" t="s">
        <v>324</v>
      </c>
      <c r="H354" s="19">
        <v>8</v>
      </c>
      <c r="I354" s="38">
        <v>676.8</v>
      </c>
      <c r="J354" s="39"/>
      <c r="K354" s="40"/>
      <c r="L354" s="19"/>
      <c r="M354" s="40"/>
      <c r="N354" s="41"/>
      <c r="O354" s="42">
        <f t="shared" si="237"/>
        <v>676.8</v>
      </c>
      <c r="P354" s="44"/>
      <c r="Q354" s="44"/>
      <c r="R354" s="68">
        <f t="shared" si="234"/>
        <v>374.870787468247</v>
      </c>
      <c r="S354" s="68"/>
      <c r="T354" s="69">
        <f t="shared" si="235"/>
        <v>0.619813717188823</v>
      </c>
      <c r="U354" s="68"/>
      <c r="V354" s="68"/>
      <c r="W354" s="68">
        <f t="shared" si="230"/>
        <v>375.490601185436</v>
      </c>
      <c r="X354" s="70">
        <f t="shared" si="236"/>
        <v>4.82127011007621</v>
      </c>
      <c r="Y354" s="70"/>
      <c r="Z354" s="70"/>
      <c r="AA354" s="70">
        <f t="shared" si="231"/>
        <v>4.82127011007621</v>
      </c>
      <c r="AB354" s="80">
        <v>7.24</v>
      </c>
      <c r="AC354" s="68">
        <f t="shared" si="229"/>
        <v>34.9059955969517</v>
      </c>
      <c r="AD354" s="68">
        <f t="shared" si="232"/>
        <v>410.396596782388</v>
      </c>
      <c r="AE354" s="68">
        <f t="shared" si="233"/>
        <v>266.403403217612</v>
      </c>
    </row>
    <row r="355" customFormat="1" spans="1:31">
      <c r="A355" s="18"/>
      <c r="B355" s="19"/>
      <c r="C355" s="20">
        <v>240606000016</v>
      </c>
      <c r="D355" s="21">
        <v>45462</v>
      </c>
      <c r="E355" s="21" t="s">
        <v>85</v>
      </c>
      <c r="F355" s="19" t="s">
        <v>86</v>
      </c>
      <c r="G355" s="19" t="s">
        <v>69</v>
      </c>
      <c r="H355" s="19">
        <v>4</v>
      </c>
      <c r="I355" s="45"/>
      <c r="J355" s="46">
        <v>70350</v>
      </c>
      <c r="K355" s="40"/>
      <c r="L355" s="47">
        <f>SUM(J355/M355)</f>
        <v>1661.54936230515</v>
      </c>
      <c r="M355" s="48">
        <v>42.34</v>
      </c>
      <c r="N355" s="41">
        <v>7.24</v>
      </c>
      <c r="O355" s="89">
        <f>SUM(M355*N355)</f>
        <v>306.5416</v>
      </c>
      <c r="P355" s="44"/>
      <c r="Q355" s="44"/>
      <c r="R355" s="68">
        <f t="shared" si="234"/>
        <v>187.435393734124</v>
      </c>
      <c r="S355" s="68"/>
      <c r="T355" s="69">
        <f t="shared" si="235"/>
        <v>0.309906858594412</v>
      </c>
      <c r="U355" s="68"/>
      <c r="V355" s="68"/>
      <c r="W355" s="68">
        <f t="shared" si="230"/>
        <v>187.745300592718</v>
      </c>
      <c r="X355" s="70">
        <f t="shared" si="236"/>
        <v>2.4106350550381</v>
      </c>
      <c r="Y355" s="70"/>
      <c r="Z355" s="70"/>
      <c r="AA355" s="70">
        <f t="shared" si="231"/>
        <v>2.4106350550381</v>
      </c>
      <c r="AB355" s="80">
        <v>7.24</v>
      </c>
      <c r="AC355" s="68">
        <f t="shared" si="229"/>
        <v>17.4529977984759</v>
      </c>
      <c r="AD355" s="68">
        <f t="shared" si="232"/>
        <v>205.198298391194</v>
      </c>
      <c r="AE355" s="68">
        <f t="shared" si="233"/>
        <v>101.343301608806</v>
      </c>
    </row>
    <row r="356" customFormat="1" spans="1:31">
      <c r="A356" s="18"/>
      <c r="B356" s="19"/>
      <c r="C356" s="20">
        <v>240607000004</v>
      </c>
      <c r="D356" s="21">
        <v>45462</v>
      </c>
      <c r="E356" s="21" t="s">
        <v>48</v>
      </c>
      <c r="F356" s="19" t="s">
        <v>49</v>
      </c>
      <c r="G356" s="19" t="s">
        <v>91</v>
      </c>
      <c r="H356" s="19">
        <v>5.5</v>
      </c>
      <c r="I356" s="38">
        <v>366.3</v>
      </c>
      <c r="J356" s="39"/>
      <c r="K356" s="40"/>
      <c r="L356" s="19"/>
      <c r="M356" s="40"/>
      <c r="N356" s="41"/>
      <c r="O356" s="42">
        <f t="shared" si="237"/>
        <v>366.3</v>
      </c>
      <c r="P356" s="44"/>
      <c r="Q356" s="44"/>
      <c r="R356" s="68">
        <f t="shared" si="234"/>
        <v>257.72366638442</v>
      </c>
      <c r="S356" s="68"/>
      <c r="T356" s="69">
        <f t="shared" si="235"/>
        <v>0.426121930567316</v>
      </c>
      <c r="U356" s="68"/>
      <c r="V356" s="68"/>
      <c r="W356" s="68">
        <f t="shared" si="230"/>
        <v>258.149788314987</v>
      </c>
      <c r="X356" s="70">
        <f t="shared" si="236"/>
        <v>3.31462320067739</v>
      </c>
      <c r="Y356" s="70"/>
      <c r="Z356" s="70"/>
      <c r="AA356" s="70">
        <f t="shared" si="231"/>
        <v>3.31462320067739</v>
      </c>
      <c r="AB356" s="80">
        <v>7.24</v>
      </c>
      <c r="AC356" s="68">
        <f t="shared" si="229"/>
        <v>23.9978719729043</v>
      </c>
      <c r="AD356" s="68">
        <f t="shared" si="232"/>
        <v>282.147660287892</v>
      </c>
      <c r="AE356" s="68">
        <f t="shared" si="233"/>
        <v>84.152339712108</v>
      </c>
    </row>
    <row r="357" customFormat="1" spans="1:31">
      <c r="A357" s="18"/>
      <c r="B357" s="19"/>
      <c r="C357" s="20">
        <v>240607000006</v>
      </c>
      <c r="D357" s="21">
        <v>45462</v>
      </c>
      <c r="E357" s="21" t="s">
        <v>136</v>
      </c>
      <c r="F357" s="19" t="s">
        <v>137</v>
      </c>
      <c r="G357" s="19" t="s">
        <v>325</v>
      </c>
      <c r="H357" s="19">
        <v>21.5</v>
      </c>
      <c r="I357" s="38">
        <v>1818.6</v>
      </c>
      <c r="J357" s="39"/>
      <c r="K357" s="40"/>
      <c r="L357" s="19"/>
      <c r="M357" s="40"/>
      <c r="N357" s="41"/>
      <c r="O357" s="42">
        <f t="shared" si="237"/>
        <v>1818.6</v>
      </c>
      <c r="P357" s="44"/>
      <c r="Q357" s="44"/>
      <c r="R357" s="68">
        <f t="shared" si="234"/>
        <v>1007.46524132091</v>
      </c>
      <c r="S357" s="68"/>
      <c r="T357" s="69">
        <f t="shared" si="235"/>
        <v>1.66574936494496</v>
      </c>
      <c r="U357" s="68"/>
      <c r="V357" s="68"/>
      <c r="W357" s="68">
        <f t="shared" si="230"/>
        <v>1009.13099068586</v>
      </c>
      <c r="X357" s="70">
        <f t="shared" si="236"/>
        <v>12.9571634208298</v>
      </c>
      <c r="Y357" s="70"/>
      <c r="Z357" s="70"/>
      <c r="AA357" s="70">
        <f t="shared" si="231"/>
        <v>12.9571634208298</v>
      </c>
      <c r="AB357" s="80">
        <v>7.24</v>
      </c>
      <c r="AC357" s="68">
        <f t="shared" si="229"/>
        <v>93.8098631668078</v>
      </c>
      <c r="AD357" s="68">
        <f t="shared" si="232"/>
        <v>1102.94085385267</v>
      </c>
      <c r="AE357" s="68">
        <f t="shared" si="233"/>
        <v>715.65914614733</v>
      </c>
    </row>
    <row r="358" customFormat="1" spans="1:31">
      <c r="A358" s="18"/>
      <c r="B358" s="19"/>
      <c r="C358" s="20">
        <v>240607000009</v>
      </c>
      <c r="D358" s="21">
        <v>45462</v>
      </c>
      <c r="E358" s="21" t="s">
        <v>48</v>
      </c>
      <c r="F358" s="19" t="s">
        <v>49</v>
      </c>
      <c r="G358" s="19" t="s">
        <v>145</v>
      </c>
      <c r="H358" s="19">
        <v>2</v>
      </c>
      <c r="I358" s="38">
        <v>148.5</v>
      </c>
      <c r="J358" s="39"/>
      <c r="K358" s="40"/>
      <c r="L358" s="19"/>
      <c r="M358" s="40"/>
      <c r="N358" s="41"/>
      <c r="O358" s="42">
        <f t="shared" si="237"/>
        <v>148.5</v>
      </c>
      <c r="P358" s="44"/>
      <c r="Q358" s="44"/>
      <c r="R358" s="68">
        <f t="shared" si="234"/>
        <v>93.7176968670618</v>
      </c>
      <c r="S358" s="68"/>
      <c r="T358" s="69">
        <f t="shared" si="235"/>
        <v>0.154953429297206</v>
      </c>
      <c r="U358" s="68"/>
      <c r="V358" s="68"/>
      <c r="W358" s="68">
        <f t="shared" si="230"/>
        <v>93.872650296359</v>
      </c>
      <c r="X358" s="70">
        <f t="shared" si="236"/>
        <v>1.20531752751905</v>
      </c>
      <c r="Y358" s="70"/>
      <c r="Z358" s="70"/>
      <c r="AA358" s="70">
        <f t="shared" si="231"/>
        <v>1.20531752751905</v>
      </c>
      <c r="AB358" s="80">
        <v>7.24</v>
      </c>
      <c r="AC358" s="68">
        <f t="shared" si="229"/>
        <v>8.72649889923794</v>
      </c>
      <c r="AD358" s="68">
        <f t="shared" si="232"/>
        <v>102.599149195597</v>
      </c>
      <c r="AE358" s="68">
        <f t="shared" si="233"/>
        <v>45.900850804403</v>
      </c>
    </row>
    <row r="359" customFormat="1" spans="1:31">
      <c r="A359" s="18"/>
      <c r="B359" s="19"/>
      <c r="C359" s="20">
        <v>240607000010</v>
      </c>
      <c r="D359" s="21">
        <v>45462</v>
      </c>
      <c r="E359" s="21" t="s">
        <v>41</v>
      </c>
      <c r="F359" s="19" t="s">
        <v>42</v>
      </c>
      <c r="G359" s="19" t="s">
        <v>326</v>
      </c>
      <c r="H359" s="19">
        <v>6.5</v>
      </c>
      <c r="I359" s="38">
        <v>400</v>
      </c>
      <c r="J359" s="39"/>
      <c r="K359" s="40"/>
      <c r="L359" s="19"/>
      <c r="M359" s="40"/>
      <c r="N359" s="41"/>
      <c r="O359" s="42">
        <f t="shared" si="237"/>
        <v>400</v>
      </c>
      <c r="P359" s="44"/>
      <c r="Q359" s="44"/>
      <c r="R359" s="68">
        <f t="shared" si="234"/>
        <v>304.582514817951</v>
      </c>
      <c r="S359" s="68"/>
      <c r="T359" s="69">
        <f t="shared" si="235"/>
        <v>0.503598645215919</v>
      </c>
      <c r="U359" s="68"/>
      <c r="V359" s="68"/>
      <c r="W359" s="68">
        <f t="shared" si="230"/>
        <v>305.086113463167</v>
      </c>
      <c r="X359" s="70">
        <f t="shared" si="236"/>
        <v>3.91728196443692</v>
      </c>
      <c r="Y359" s="70"/>
      <c r="Z359" s="70"/>
      <c r="AA359" s="70">
        <f t="shared" si="231"/>
        <v>3.91728196443692</v>
      </c>
      <c r="AB359" s="80">
        <v>7.24</v>
      </c>
      <c r="AC359" s="68">
        <f t="shared" si="229"/>
        <v>28.3611214225233</v>
      </c>
      <c r="AD359" s="68">
        <f t="shared" si="232"/>
        <v>333.44723488569</v>
      </c>
      <c r="AE359" s="68">
        <f t="shared" si="233"/>
        <v>66.55276511431</v>
      </c>
    </row>
    <row r="360" customFormat="1" spans="1:31">
      <c r="A360" s="18"/>
      <c r="B360" s="19"/>
      <c r="C360" s="20">
        <v>240607000030</v>
      </c>
      <c r="D360" s="21">
        <v>45462</v>
      </c>
      <c r="E360" s="21" t="s">
        <v>51</v>
      </c>
      <c r="F360" s="19" t="s">
        <v>52</v>
      </c>
      <c r="G360" s="19" t="s">
        <v>327</v>
      </c>
      <c r="H360" s="19">
        <v>6</v>
      </c>
      <c r="I360" s="38">
        <v>417.8</v>
      </c>
      <c r="J360" s="39"/>
      <c r="K360" s="40"/>
      <c r="L360" s="19"/>
      <c r="M360" s="40"/>
      <c r="N360" s="41"/>
      <c r="O360" s="42">
        <f t="shared" si="237"/>
        <v>417.8</v>
      </c>
      <c r="P360" s="44"/>
      <c r="Q360" s="44"/>
      <c r="R360" s="68">
        <f t="shared" si="234"/>
        <v>281.153090601185</v>
      </c>
      <c r="S360" s="68"/>
      <c r="T360" s="69">
        <f t="shared" si="235"/>
        <v>0.464860287891617</v>
      </c>
      <c r="U360" s="68"/>
      <c r="V360" s="68"/>
      <c r="W360" s="68">
        <f t="shared" si="230"/>
        <v>281.617950889077</v>
      </c>
      <c r="X360" s="70">
        <f t="shared" si="236"/>
        <v>3.61595258255716</v>
      </c>
      <c r="Y360" s="70"/>
      <c r="Z360" s="70"/>
      <c r="AA360" s="70">
        <f t="shared" si="231"/>
        <v>3.61595258255716</v>
      </c>
      <c r="AB360" s="80">
        <v>7.24</v>
      </c>
      <c r="AC360" s="68">
        <f t="shared" si="229"/>
        <v>26.1794966977138</v>
      </c>
      <c r="AD360" s="68">
        <f t="shared" si="232"/>
        <v>307.797447586791</v>
      </c>
      <c r="AE360" s="68">
        <f t="shared" si="233"/>
        <v>110.002552413209</v>
      </c>
    </row>
    <row r="361" customFormat="1" spans="1:31">
      <c r="A361" s="18"/>
      <c r="B361" s="19"/>
      <c r="C361" s="20">
        <v>240607000046</v>
      </c>
      <c r="D361" s="21">
        <v>45462</v>
      </c>
      <c r="E361" s="21" t="s">
        <v>48</v>
      </c>
      <c r="F361" s="19" t="s">
        <v>49</v>
      </c>
      <c r="G361" s="19" t="s">
        <v>244</v>
      </c>
      <c r="H361" s="19">
        <v>5</v>
      </c>
      <c r="I361" s="38">
        <v>355</v>
      </c>
      <c r="J361" s="39"/>
      <c r="K361" s="40"/>
      <c r="L361" s="19"/>
      <c r="M361" s="40"/>
      <c r="N361" s="41"/>
      <c r="O361" s="42">
        <f t="shared" si="237"/>
        <v>355</v>
      </c>
      <c r="P361" s="44"/>
      <c r="Q361" s="44"/>
      <c r="R361" s="68">
        <f t="shared" si="234"/>
        <v>234.294242167655</v>
      </c>
      <c r="S361" s="68"/>
      <c r="T361" s="69">
        <f t="shared" si="235"/>
        <v>0.387383573243014</v>
      </c>
      <c r="U361" s="68"/>
      <c r="V361" s="68"/>
      <c r="W361" s="68">
        <f t="shared" si="230"/>
        <v>234.681625740898</v>
      </c>
      <c r="X361" s="70">
        <f t="shared" si="236"/>
        <v>3.01329381879763</v>
      </c>
      <c r="Y361" s="70"/>
      <c r="Z361" s="70"/>
      <c r="AA361" s="70">
        <f t="shared" si="231"/>
        <v>3.01329381879763</v>
      </c>
      <c r="AB361" s="80">
        <v>7.24</v>
      </c>
      <c r="AC361" s="68">
        <f t="shared" si="229"/>
        <v>21.8162472480948</v>
      </c>
      <c r="AD361" s="68">
        <f t="shared" si="232"/>
        <v>256.497872988992</v>
      </c>
      <c r="AE361" s="68">
        <f t="shared" si="233"/>
        <v>98.502127011008</v>
      </c>
    </row>
    <row r="362" customFormat="1" spans="1:31">
      <c r="A362" s="18"/>
      <c r="B362" s="19"/>
      <c r="C362" s="20">
        <v>240607000048</v>
      </c>
      <c r="D362" s="21">
        <v>45462</v>
      </c>
      <c r="E362" s="21" t="s">
        <v>44</v>
      </c>
      <c r="F362" s="19" t="s">
        <v>45</v>
      </c>
      <c r="G362" s="19" t="s">
        <v>167</v>
      </c>
      <c r="H362" s="19">
        <v>7.5</v>
      </c>
      <c r="I362" s="38">
        <v>480</v>
      </c>
      <c r="J362" s="39"/>
      <c r="K362" s="40"/>
      <c r="L362" s="19"/>
      <c r="M362" s="40"/>
      <c r="N362" s="41"/>
      <c r="O362" s="42">
        <f t="shared" si="237"/>
        <v>480</v>
      </c>
      <c r="P362" s="44"/>
      <c r="Q362" s="44"/>
      <c r="R362" s="68">
        <f t="shared" si="234"/>
        <v>351.441363251482</v>
      </c>
      <c r="S362" s="68"/>
      <c r="T362" s="69">
        <f t="shared" si="235"/>
        <v>0.581075359864522</v>
      </c>
      <c r="U362" s="68"/>
      <c r="V362" s="68"/>
      <c r="W362" s="68">
        <f t="shared" si="230"/>
        <v>352.022438611346</v>
      </c>
      <c r="X362" s="70">
        <f t="shared" si="236"/>
        <v>4.51994072819644</v>
      </c>
      <c r="Y362" s="70"/>
      <c r="Z362" s="70"/>
      <c r="AA362" s="70">
        <f t="shared" si="231"/>
        <v>4.51994072819644</v>
      </c>
      <c r="AB362" s="80">
        <v>7.24</v>
      </c>
      <c r="AC362" s="68">
        <f t="shared" si="229"/>
        <v>32.7243708721423</v>
      </c>
      <c r="AD362" s="68">
        <f t="shared" si="232"/>
        <v>384.746809483489</v>
      </c>
      <c r="AE362" s="68">
        <f t="shared" si="233"/>
        <v>95.253190516511</v>
      </c>
    </row>
    <row r="363" customFormat="1" spans="1:31">
      <c r="A363" s="18"/>
      <c r="B363" s="19"/>
      <c r="C363" s="20">
        <v>240607000055</v>
      </c>
      <c r="D363" s="21">
        <v>45462</v>
      </c>
      <c r="E363" s="21" t="s">
        <v>85</v>
      </c>
      <c r="F363" s="19" t="s">
        <v>86</v>
      </c>
      <c r="G363" s="19" t="s">
        <v>328</v>
      </c>
      <c r="H363" s="19">
        <v>8.5</v>
      </c>
      <c r="I363" s="38">
        <v>595.65</v>
      </c>
      <c r="J363" s="39"/>
      <c r="K363" s="40"/>
      <c r="L363" s="19"/>
      <c r="M363" s="40"/>
      <c r="N363" s="41"/>
      <c r="O363" s="42">
        <f t="shared" si="237"/>
        <v>595.65</v>
      </c>
      <c r="P363" s="44"/>
      <c r="Q363" s="44"/>
      <c r="R363" s="68">
        <f t="shared" si="234"/>
        <v>398.300211685013</v>
      </c>
      <c r="S363" s="68"/>
      <c r="T363" s="69">
        <f t="shared" si="235"/>
        <v>0.658552074513124</v>
      </c>
      <c r="U363" s="68"/>
      <c r="V363" s="68"/>
      <c r="W363" s="68">
        <f t="shared" si="230"/>
        <v>398.958763759526</v>
      </c>
      <c r="X363" s="70">
        <f t="shared" si="236"/>
        <v>5.12259949195597</v>
      </c>
      <c r="Y363" s="70"/>
      <c r="Z363" s="70"/>
      <c r="AA363" s="70">
        <f t="shared" si="231"/>
        <v>5.12259949195597</v>
      </c>
      <c r="AB363" s="80">
        <v>7.24</v>
      </c>
      <c r="AC363" s="68">
        <f t="shared" si="229"/>
        <v>37.0876203217612</v>
      </c>
      <c r="AD363" s="68">
        <f t="shared" si="232"/>
        <v>436.046384081287</v>
      </c>
      <c r="AE363" s="68">
        <f t="shared" si="233"/>
        <v>159.603615918713</v>
      </c>
    </row>
    <row r="364" customFormat="1" spans="1:31">
      <c r="A364" s="18"/>
      <c r="B364" s="19"/>
      <c r="C364" s="20">
        <v>240607000059</v>
      </c>
      <c r="D364" s="21">
        <v>45462</v>
      </c>
      <c r="E364" s="21" t="s">
        <v>44</v>
      </c>
      <c r="F364" s="19" t="s">
        <v>329</v>
      </c>
      <c r="G364" s="19" t="s">
        <v>330</v>
      </c>
      <c r="H364" s="19">
        <v>3.5</v>
      </c>
      <c r="I364" s="38">
        <v>234.3</v>
      </c>
      <c r="J364" s="39"/>
      <c r="K364" s="40"/>
      <c r="L364" s="19"/>
      <c r="M364" s="40"/>
      <c r="N364" s="41"/>
      <c r="O364" s="42">
        <f t="shared" si="237"/>
        <v>234.3</v>
      </c>
      <c r="P364" s="44"/>
      <c r="Q364" s="44"/>
      <c r="R364" s="68">
        <f t="shared" si="234"/>
        <v>164.005969517358</v>
      </c>
      <c r="S364" s="68"/>
      <c r="T364" s="69">
        <f t="shared" si="235"/>
        <v>0.27116850127011</v>
      </c>
      <c r="U364" s="68"/>
      <c r="V364" s="68"/>
      <c r="W364" s="68">
        <f t="shared" si="230"/>
        <v>164.277138018628</v>
      </c>
      <c r="X364" s="70">
        <f t="shared" si="236"/>
        <v>2.10930567315834</v>
      </c>
      <c r="Y364" s="70"/>
      <c r="Z364" s="70"/>
      <c r="AA364" s="70">
        <f t="shared" si="231"/>
        <v>2.10930567315834</v>
      </c>
      <c r="AB364" s="80">
        <v>7.24</v>
      </c>
      <c r="AC364" s="68">
        <f t="shared" si="229"/>
        <v>15.2713730736664</v>
      </c>
      <c r="AD364" s="68">
        <f t="shared" si="232"/>
        <v>179.548511092295</v>
      </c>
      <c r="AE364" s="68">
        <f t="shared" si="233"/>
        <v>54.751488907705</v>
      </c>
    </row>
    <row r="365" customFormat="1" spans="1:31">
      <c r="A365" s="18"/>
      <c r="B365" s="19"/>
      <c r="C365" s="20">
        <v>240608000001</v>
      </c>
      <c r="D365" s="21">
        <v>45462</v>
      </c>
      <c r="E365" s="21" t="s">
        <v>66</v>
      </c>
      <c r="F365" s="19" t="s">
        <v>100</v>
      </c>
      <c r="G365" s="19" t="s">
        <v>331</v>
      </c>
      <c r="H365" s="19">
        <v>41</v>
      </c>
      <c r="I365" s="42"/>
      <c r="J365" s="46">
        <v>518184</v>
      </c>
      <c r="K365" s="40"/>
      <c r="L365" s="47">
        <f>SUM(J365/M365)</f>
        <v>1505.99860497559</v>
      </c>
      <c r="M365" s="48">
        <v>344.08</v>
      </c>
      <c r="N365" s="41">
        <v>7.24</v>
      </c>
      <c r="O365" s="42">
        <f>SUM(M365*N365)</f>
        <v>2491.1392</v>
      </c>
      <c r="P365" s="44"/>
      <c r="Q365" s="44"/>
      <c r="R365" s="68">
        <f t="shared" si="234"/>
        <v>1921.21278577477</v>
      </c>
      <c r="S365" s="68"/>
      <c r="T365" s="69">
        <f t="shared" si="235"/>
        <v>3.17654530059272</v>
      </c>
      <c r="U365" s="68"/>
      <c r="V365" s="68"/>
      <c r="W365" s="68">
        <f t="shared" si="230"/>
        <v>1924.38933107536</v>
      </c>
      <c r="X365" s="70">
        <f t="shared" si="236"/>
        <v>24.7090093141406</v>
      </c>
      <c r="Y365" s="70"/>
      <c r="Z365" s="70"/>
      <c r="AA365" s="70">
        <f t="shared" si="231"/>
        <v>24.7090093141406</v>
      </c>
      <c r="AB365" s="80">
        <v>7.24</v>
      </c>
      <c r="AC365" s="68">
        <f t="shared" si="229"/>
        <v>178.893227434378</v>
      </c>
      <c r="AD365" s="68">
        <f t="shared" si="232"/>
        <v>2103.28255850974</v>
      </c>
      <c r="AE365" s="68">
        <f t="shared" si="233"/>
        <v>387.85664149026</v>
      </c>
    </row>
    <row r="366" customFormat="1" spans="1:31">
      <c r="A366" s="18"/>
      <c r="B366" s="19"/>
      <c r="C366" s="20">
        <v>240608000013</v>
      </c>
      <c r="D366" s="21">
        <v>45462</v>
      </c>
      <c r="E366" s="21" t="s">
        <v>37</v>
      </c>
      <c r="F366" s="19" t="s">
        <v>37</v>
      </c>
      <c r="G366" s="19" t="s">
        <v>169</v>
      </c>
      <c r="H366" s="19">
        <v>48</v>
      </c>
      <c r="I366" s="38">
        <v>2912.8</v>
      </c>
      <c r="J366" s="39"/>
      <c r="K366" s="40"/>
      <c r="L366" s="19"/>
      <c r="M366" s="40"/>
      <c r="N366" s="41"/>
      <c r="O366" s="42">
        <f t="shared" ref="O366:O370" si="238">SUM(I366)</f>
        <v>2912.8</v>
      </c>
      <c r="P366" s="44"/>
      <c r="Q366" s="44"/>
      <c r="R366" s="68">
        <f t="shared" si="234"/>
        <v>2249.22472480948</v>
      </c>
      <c r="S366" s="68"/>
      <c r="T366" s="69">
        <f t="shared" si="235"/>
        <v>3.71888230313294</v>
      </c>
      <c r="U366" s="68"/>
      <c r="V366" s="68"/>
      <c r="W366" s="68">
        <f t="shared" si="230"/>
        <v>2252.94360711262</v>
      </c>
      <c r="X366" s="70">
        <f t="shared" si="236"/>
        <v>28.9276206604572</v>
      </c>
      <c r="Y366" s="70"/>
      <c r="Z366" s="70"/>
      <c r="AA366" s="70">
        <f t="shared" si="231"/>
        <v>28.9276206604572</v>
      </c>
      <c r="AB366" s="80">
        <v>7.24</v>
      </c>
      <c r="AC366" s="68">
        <f t="shared" si="229"/>
        <v>209.43597358171</v>
      </c>
      <c r="AD366" s="68">
        <f t="shared" si="232"/>
        <v>2462.37958069433</v>
      </c>
      <c r="AE366" s="68">
        <f t="shared" si="233"/>
        <v>450.42041930567</v>
      </c>
    </row>
    <row r="367" customFormat="1" spans="1:31">
      <c r="A367" s="18"/>
      <c r="B367" s="19"/>
      <c r="C367" s="20">
        <v>240608000014</v>
      </c>
      <c r="D367" s="21">
        <v>45462</v>
      </c>
      <c r="E367" s="21" t="s">
        <v>37</v>
      </c>
      <c r="F367" s="19" t="s">
        <v>37</v>
      </c>
      <c r="G367" s="19" t="s">
        <v>169</v>
      </c>
      <c r="H367" s="19">
        <v>308</v>
      </c>
      <c r="I367" s="38">
        <v>18634</v>
      </c>
      <c r="J367" s="39"/>
      <c r="K367" s="40"/>
      <c r="L367" s="19"/>
      <c r="M367" s="40"/>
      <c r="N367" s="41"/>
      <c r="O367" s="42">
        <f t="shared" si="238"/>
        <v>18634</v>
      </c>
      <c r="P367" s="44"/>
      <c r="Q367" s="44"/>
      <c r="R367" s="68">
        <f t="shared" si="234"/>
        <v>14432.5253175275</v>
      </c>
      <c r="S367" s="68"/>
      <c r="T367" s="69">
        <f t="shared" si="235"/>
        <v>23.8628281117697</v>
      </c>
      <c r="U367" s="68"/>
      <c r="V367" s="68"/>
      <c r="W367" s="68">
        <f t="shared" si="230"/>
        <v>14456.3881456393</v>
      </c>
      <c r="X367" s="70">
        <f t="shared" si="236"/>
        <v>185.618899237934</v>
      </c>
      <c r="Y367" s="70"/>
      <c r="Z367" s="70"/>
      <c r="AA367" s="70">
        <f t="shared" si="231"/>
        <v>185.618899237934</v>
      </c>
      <c r="AB367" s="80">
        <v>7.24</v>
      </c>
      <c r="AC367" s="68">
        <f t="shared" si="229"/>
        <v>1343.88083048264</v>
      </c>
      <c r="AD367" s="68">
        <f t="shared" si="232"/>
        <v>15800.2689761219</v>
      </c>
      <c r="AE367" s="68">
        <f t="shared" si="233"/>
        <v>2833.7310238781</v>
      </c>
    </row>
    <row r="368" customFormat="1" spans="1:31">
      <c r="A368" s="18"/>
      <c r="B368" s="19"/>
      <c r="C368" s="20">
        <v>240608000017</v>
      </c>
      <c r="D368" s="21">
        <v>45462</v>
      </c>
      <c r="E368" s="21" t="s">
        <v>37</v>
      </c>
      <c r="F368" s="19" t="s">
        <v>38</v>
      </c>
      <c r="G368" s="19" t="s">
        <v>39</v>
      </c>
      <c r="H368" s="19">
        <v>3</v>
      </c>
      <c r="I368" s="38">
        <v>221.1</v>
      </c>
      <c r="J368" s="39"/>
      <c r="K368" s="40"/>
      <c r="L368" s="19"/>
      <c r="M368" s="40"/>
      <c r="N368" s="41"/>
      <c r="O368" s="42">
        <f t="shared" si="238"/>
        <v>221.1</v>
      </c>
      <c r="P368" s="44"/>
      <c r="Q368" s="44"/>
      <c r="R368" s="68">
        <f t="shared" si="234"/>
        <v>140.576545300593</v>
      </c>
      <c r="S368" s="68"/>
      <c r="T368" s="69">
        <f t="shared" si="235"/>
        <v>0.232430143945809</v>
      </c>
      <c r="U368" s="68"/>
      <c r="V368" s="68"/>
      <c r="W368" s="68">
        <f t="shared" si="230"/>
        <v>140.808975444539</v>
      </c>
      <c r="X368" s="70">
        <f t="shared" si="236"/>
        <v>1.80797629127858</v>
      </c>
      <c r="Y368" s="70"/>
      <c r="Z368" s="70"/>
      <c r="AA368" s="70">
        <f t="shared" si="231"/>
        <v>1.80797629127858</v>
      </c>
      <c r="AB368" s="80">
        <v>7.24</v>
      </c>
      <c r="AC368" s="68">
        <f t="shared" si="229"/>
        <v>13.0897483488569</v>
      </c>
      <c r="AD368" s="68">
        <f t="shared" si="232"/>
        <v>153.898723793395</v>
      </c>
      <c r="AE368" s="68">
        <f t="shared" si="233"/>
        <v>67.201276206605</v>
      </c>
    </row>
    <row r="369" customFormat="1" spans="1:31">
      <c r="A369" s="18"/>
      <c r="B369" s="19"/>
      <c r="C369" s="20">
        <v>240609000004</v>
      </c>
      <c r="D369" s="21">
        <v>45462</v>
      </c>
      <c r="E369" s="21" t="s">
        <v>51</v>
      </c>
      <c r="F369" s="19" t="s">
        <v>52</v>
      </c>
      <c r="G369" s="19" t="s">
        <v>332</v>
      </c>
      <c r="H369" s="19">
        <v>22.5</v>
      </c>
      <c r="I369" s="38">
        <v>1850</v>
      </c>
      <c r="J369" s="39"/>
      <c r="K369" s="40"/>
      <c r="L369" s="19"/>
      <c r="M369" s="40"/>
      <c r="N369" s="41"/>
      <c r="O369" s="42">
        <f t="shared" si="238"/>
        <v>1850</v>
      </c>
      <c r="P369" s="44"/>
      <c r="Q369" s="44"/>
      <c r="R369" s="68">
        <f t="shared" si="234"/>
        <v>1054.32408975445</v>
      </c>
      <c r="S369" s="68"/>
      <c r="T369" s="69">
        <f t="shared" si="235"/>
        <v>1.74322607959356</v>
      </c>
      <c r="U369" s="68">
        <v>50</v>
      </c>
      <c r="V369" s="68"/>
      <c r="W369" s="68">
        <f t="shared" si="230"/>
        <v>1106.06731583404</v>
      </c>
      <c r="X369" s="70">
        <f t="shared" si="236"/>
        <v>13.5598221845893</v>
      </c>
      <c r="Y369" s="70"/>
      <c r="Z369" s="70"/>
      <c r="AA369" s="70">
        <f t="shared" si="231"/>
        <v>13.5598221845893</v>
      </c>
      <c r="AB369" s="80">
        <v>7.24</v>
      </c>
      <c r="AC369" s="68">
        <f t="shared" si="229"/>
        <v>98.1731126164268</v>
      </c>
      <c r="AD369" s="68">
        <f t="shared" si="232"/>
        <v>1204.24042845047</v>
      </c>
      <c r="AE369" s="68">
        <f t="shared" si="233"/>
        <v>645.75957154953</v>
      </c>
    </row>
    <row r="370" customFormat="1" spans="1:31">
      <c r="A370" s="18"/>
      <c r="B370" s="19"/>
      <c r="C370" s="20">
        <v>240609000010</v>
      </c>
      <c r="D370" s="21">
        <v>45462</v>
      </c>
      <c r="E370" s="21" t="s">
        <v>41</v>
      </c>
      <c r="F370" s="19" t="s">
        <v>42</v>
      </c>
      <c r="G370" s="19" t="s">
        <v>198</v>
      </c>
      <c r="H370" s="19">
        <v>4.5</v>
      </c>
      <c r="I370" s="38">
        <v>330</v>
      </c>
      <c r="J370" s="39"/>
      <c r="K370" s="40"/>
      <c r="L370" s="19"/>
      <c r="M370" s="40"/>
      <c r="N370" s="41"/>
      <c r="O370" s="42">
        <f t="shared" si="238"/>
        <v>330</v>
      </c>
      <c r="P370" s="44"/>
      <c r="Q370" s="44"/>
      <c r="R370" s="68">
        <f t="shared" si="234"/>
        <v>210.864817950889</v>
      </c>
      <c r="S370" s="68"/>
      <c r="T370" s="69">
        <f t="shared" si="235"/>
        <v>0.348645215918713</v>
      </c>
      <c r="U370" s="68"/>
      <c r="V370" s="68"/>
      <c r="W370" s="68">
        <f t="shared" si="230"/>
        <v>211.213463166808</v>
      </c>
      <c r="X370" s="70">
        <f t="shared" si="236"/>
        <v>2.71196443691787</v>
      </c>
      <c r="Y370" s="70"/>
      <c r="Z370" s="70"/>
      <c r="AA370" s="70">
        <f t="shared" si="231"/>
        <v>2.71196443691787</v>
      </c>
      <c r="AB370" s="80">
        <v>7.24</v>
      </c>
      <c r="AC370" s="68">
        <f t="shared" si="229"/>
        <v>19.6346225232854</v>
      </c>
      <c r="AD370" s="68">
        <f t="shared" si="232"/>
        <v>230.848085690093</v>
      </c>
      <c r="AE370" s="68">
        <f t="shared" si="233"/>
        <v>99.151914309907</v>
      </c>
    </row>
    <row r="371" customFormat="1" spans="1:31">
      <c r="A371" s="18"/>
      <c r="B371" s="19"/>
      <c r="C371" s="20">
        <v>240609000011</v>
      </c>
      <c r="D371" s="21">
        <v>45462</v>
      </c>
      <c r="E371" s="21" t="s">
        <v>41</v>
      </c>
      <c r="F371" s="19" t="s">
        <v>42</v>
      </c>
      <c r="G371" s="19" t="s">
        <v>125</v>
      </c>
      <c r="H371" s="19">
        <v>32.5</v>
      </c>
      <c r="I371" s="42"/>
      <c r="J371" s="46">
        <v>411169</v>
      </c>
      <c r="K371" s="40"/>
      <c r="L371" s="47">
        <f>SUM(J371/M371)</f>
        <v>1506.00322320709</v>
      </c>
      <c r="M371" s="48">
        <v>273.02</v>
      </c>
      <c r="N371" s="97">
        <v>7.24</v>
      </c>
      <c r="O371" s="42">
        <f>SUM(M371*N371)</f>
        <v>1976.6648</v>
      </c>
      <c r="P371" s="44"/>
      <c r="Q371" s="44"/>
      <c r="R371" s="68">
        <f t="shared" si="234"/>
        <v>1522.91257408975</v>
      </c>
      <c r="S371" s="68"/>
      <c r="T371" s="69">
        <f t="shared" si="235"/>
        <v>2.51799322607959</v>
      </c>
      <c r="U371" s="68"/>
      <c r="V371" s="68"/>
      <c r="W371" s="68">
        <f t="shared" si="230"/>
        <v>1525.43056731583</v>
      </c>
      <c r="X371" s="70">
        <f t="shared" si="236"/>
        <v>19.5864098221846</v>
      </c>
      <c r="Y371" s="70"/>
      <c r="Z371" s="70"/>
      <c r="AA371" s="70">
        <f t="shared" si="231"/>
        <v>19.5864098221846</v>
      </c>
      <c r="AB371" s="80">
        <v>7.24</v>
      </c>
      <c r="AC371" s="68">
        <f t="shared" si="229"/>
        <v>141.805607112616</v>
      </c>
      <c r="AD371" s="68">
        <f t="shared" si="232"/>
        <v>1667.23617442845</v>
      </c>
      <c r="AE371" s="68">
        <f t="shared" si="233"/>
        <v>309.42862557155</v>
      </c>
    </row>
    <row r="372" customFormat="1" spans="1:31">
      <c r="A372" s="18"/>
      <c r="B372" s="19"/>
      <c r="C372" s="81">
        <v>240610000005</v>
      </c>
      <c r="D372" s="82">
        <v>45462</v>
      </c>
      <c r="E372" s="21" t="s">
        <v>51</v>
      </c>
      <c r="F372" s="83" t="s">
        <v>52</v>
      </c>
      <c r="G372" s="83" t="s">
        <v>248</v>
      </c>
      <c r="H372" s="83">
        <v>3</v>
      </c>
      <c r="I372" s="86">
        <v>292.8</v>
      </c>
      <c r="J372" s="39"/>
      <c r="K372" s="40"/>
      <c r="L372" s="19"/>
      <c r="M372" s="40"/>
      <c r="N372" s="41"/>
      <c r="O372" s="42">
        <f t="shared" ref="O372:O378" si="239">SUM(I372)</f>
        <v>292.8</v>
      </c>
      <c r="P372" s="44"/>
      <c r="Q372" s="44"/>
      <c r="R372" s="68">
        <f t="shared" si="234"/>
        <v>140.576545300593</v>
      </c>
      <c r="S372" s="68"/>
      <c r="T372" s="69">
        <f t="shared" si="235"/>
        <v>0.232430143945809</v>
      </c>
      <c r="U372" s="68"/>
      <c r="V372" s="68"/>
      <c r="W372" s="68">
        <f t="shared" si="230"/>
        <v>140.808975444539</v>
      </c>
      <c r="X372" s="70">
        <f t="shared" si="236"/>
        <v>1.80797629127858</v>
      </c>
      <c r="Y372" s="70"/>
      <c r="Z372" s="70"/>
      <c r="AA372" s="70">
        <f t="shared" si="231"/>
        <v>1.80797629127858</v>
      </c>
      <c r="AB372" s="80">
        <v>7.24</v>
      </c>
      <c r="AC372" s="68">
        <f t="shared" si="229"/>
        <v>13.0897483488569</v>
      </c>
      <c r="AD372" s="68">
        <f t="shared" si="232"/>
        <v>153.898723793395</v>
      </c>
      <c r="AE372" s="68">
        <f t="shared" si="233"/>
        <v>138.901276206605</v>
      </c>
    </row>
    <row r="373" customFormat="1" spans="1:31">
      <c r="A373" s="18"/>
      <c r="B373" s="19"/>
      <c r="C373" s="20">
        <v>240610000006</v>
      </c>
      <c r="D373" s="21">
        <v>45462</v>
      </c>
      <c r="E373" s="21" t="s">
        <v>51</v>
      </c>
      <c r="F373" s="19" t="s">
        <v>52</v>
      </c>
      <c r="G373" s="19" t="s">
        <v>333</v>
      </c>
      <c r="H373" s="19">
        <v>13.5</v>
      </c>
      <c r="I373" s="85">
        <v>863</v>
      </c>
      <c r="J373" s="39"/>
      <c r="K373" s="40"/>
      <c r="L373" s="19"/>
      <c r="M373" s="40"/>
      <c r="N373" s="41"/>
      <c r="O373" s="42">
        <f>SUBTOTAL(9,I373)</f>
        <v>863</v>
      </c>
      <c r="P373" s="44"/>
      <c r="Q373" s="44"/>
      <c r="R373" s="68">
        <f t="shared" si="234"/>
        <v>632.594453852667</v>
      </c>
      <c r="S373" s="68"/>
      <c r="T373" s="69">
        <f t="shared" si="235"/>
        <v>1.04593564775614</v>
      </c>
      <c r="U373" s="68"/>
      <c r="V373" s="68"/>
      <c r="W373" s="68">
        <f t="shared" si="230"/>
        <v>633.640389500423</v>
      </c>
      <c r="X373" s="70">
        <f t="shared" si="236"/>
        <v>8.1358933107536</v>
      </c>
      <c r="Y373" s="70"/>
      <c r="Z373" s="70"/>
      <c r="AA373" s="70">
        <f t="shared" si="231"/>
        <v>8.1358933107536</v>
      </c>
      <c r="AB373" s="80">
        <v>7.24</v>
      </c>
      <c r="AC373" s="68">
        <f t="shared" si="229"/>
        <v>58.9038675698561</v>
      </c>
      <c r="AD373" s="68">
        <f t="shared" si="232"/>
        <v>692.544257070279</v>
      </c>
      <c r="AE373" s="68">
        <f t="shared" si="233"/>
        <v>170.455742929721</v>
      </c>
    </row>
    <row r="374" customFormat="1" spans="1:31">
      <c r="A374" s="18"/>
      <c r="B374" s="19"/>
      <c r="C374" s="20">
        <v>240610000009</v>
      </c>
      <c r="D374" s="21">
        <v>45462</v>
      </c>
      <c r="E374" s="21" t="s">
        <v>37</v>
      </c>
      <c r="F374" s="19" t="s">
        <v>37</v>
      </c>
      <c r="G374" s="19" t="s">
        <v>281</v>
      </c>
      <c r="H374" s="19">
        <v>8</v>
      </c>
      <c r="I374" s="42"/>
      <c r="J374" s="46">
        <v>139395</v>
      </c>
      <c r="K374" s="40"/>
      <c r="L374" s="47">
        <f t="shared" ref="L374:L379" si="240">SUM(J374/M374)</f>
        <v>1505.99611063094</v>
      </c>
      <c r="M374" s="48">
        <v>92.56</v>
      </c>
      <c r="N374" s="41">
        <v>7.24</v>
      </c>
      <c r="O374" s="42">
        <f t="shared" ref="O371:O375" si="241">SUM(M374*N374)</f>
        <v>670.1344</v>
      </c>
      <c r="P374" s="44"/>
      <c r="Q374" s="44"/>
      <c r="R374" s="68">
        <f t="shared" si="234"/>
        <v>374.870787468247</v>
      </c>
      <c r="S374" s="68"/>
      <c r="T374" s="69">
        <f t="shared" si="235"/>
        <v>0.619813717188823</v>
      </c>
      <c r="U374" s="68"/>
      <c r="V374" s="68"/>
      <c r="W374" s="68">
        <f t="shared" si="230"/>
        <v>375.490601185436</v>
      </c>
      <c r="X374" s="70">
        <f t="shared" si="236"/>
        <v>4.82127011007621</v>
      </c>
      <c r="Y374" s="70"/>
      <c r="Z374" s="70"/>
      <c r="AA374" s="70">
        <f t="shared" si="231"/>
        <v>4.82127011007621</v>
      </c>
      <c r="AB374" s="80">
        <v>7.24</v>
      </c>
      <c r="AC374" s="68">
        <f t="shared" si="229"/>
        <v>34.9059955969517</v>
      </c>
      <c r="AD374" s="68">
        <f t="shared" si="232"/>
        <v>410.396596782388</v>
      </c>
      <c r="AE374" s="68">
        <f t="shared" si="233"/>
        <v>259.737803217612</v>
      </c>
    </row>
    <row r="375" customFormat="1" spans="1:31">
      <c r="A375" s="18"/>
      <c r="B375" s="19"/>
      <c r="C375" s="20">
        <v>240611000002</v>
      </c>
      <c r="D375" s="21">
        <v>45462</v>
      </c>
      <c r="E375" s="21" t="s">
        <v>48</v>
      </c>
      <c r="F375" s="19" t="s">
        <v>49</v>
      </c>
      <c r="G375" s="19" t="s">
        <v>334</v>
      </c>
      <c r="H375" s="19">
        <v>7</v>
      </c>
      <c r="I375" s="45"/>
      <c r="J375" s="46">
        <v>92218.5</v>
      </c>
      <c r="K375" s="40"/>
      <c r="L375" s="47">
        <f t="shared" si="240"/>
        <v>1498.75670404681</v>
      </c>
      <c r="M375" s="48">
        <v>61.53</v>
      </c>
      <c r="N375" s="41">
        <v>7.24</v>
      </c>
      <c r="O375" s="42">
        <f t="shared" si="241"/>
        <v>445.4772</v>
      </c>
      <c r="P375" s="44"/>
      <c r="Q375" s="44"/>
      <c r="R375" s="68">
        <f t="shared" si="234"/>
        <v>328.011939034716</v>
      </c>
      <c r="S375" s="68"/>
      <c r="T375" s="69">
        <f t="shared" si="235"/>
        <v>0.54233700254022</v>
      </c>
      <c r="U375" s="68"/>
      <c r="V375" s="68"/>
      <c r="W375" s="68">
        <f t="shared" si="230"/>
        <v>328.554276037257</v>
      </c>
      <c r="X375" s="70">
        <f t="shared" si="236"/>
        <v>4.21861134631668</v>
      </c>
      <c r="Y375" s="70"/>
      <c r="Z375" s="70"/>
      <c r="AA375" s="70">
        <f t="shared" si="231"/>
        <v>4.21861134631668</v>
      </c>
      <c r="AB375" s="80">
        <v>7.24</v>
      </c>
      <c r="AC375" s="68">
        <f t="shared" si="229"/>
        <v>30.5427461473328</v>
      </c>
      <c r="AD375" s="68">
        <f t="shared" si="232"/>
        <v>359.097022184589</v>
      </c>
      <c r="AE375" s="68">
        <f t="shared" si="233"/>
        <v>86.3801778154111</v>
      </c>
    </row>
    <row r="376" customFormat="1" spans="1:31">
      <c r="A376" s="18"/>
      <c r="B376" s="19"/>
      <c r="C376" s="20">
        <v>240611000004</v>
      </c>
      <c r="D376" s="21">
        <v>45462</v>
      </c>
      <c r="E376" s="21" t="s">
        <v>48</v>
      </c>
      <c r="F376" s="19" t="s">
        <v>49</v>
      </c>
      <c r="G376" s="19" t="s">
        <v>335</v>
      </c>
      <c r="H376" s="19">
        <v>6</v>
      </c>
      <c r="I376" s="38">
        <v>408</v>
      </c>
      <c r="J376" s="39"/>
      <c r="K376" s="40"/>
      <c r="L376" s="19"/>
      <c r="M376" s="40"/>
      <c r="N376" s="41"/>
      <c r="O376" s="42">
        <f t="shared" si="239"/>
        <v>408</v>
      </c>
      <c r="P376" s="44"/>
      <c r="Q376" s="44"/>
      <c r="R376" s="68">
        <f t="shared" si="234"/>
        <v>281.153090601185</v>
      </c>
      <c r="S376" s="68"/>
      <c r="T376" s="69">
        <f t="shared" si="235"/>
        <v>0.464860287891617</v>
      </c>
      <c r="U376" s="68"/>
      <c r="V376" s="68"/>
      <c r="W376" s="68">
        <f t="shared" si="230"/>
        <v>281.617950889077</v>
      </c>
      <c r="X376" s="70">
        <f t="shared" si="236"/>
        <v>3.61595258255716</v>
      </c>
      <c r="Y376" s="70"/>
      <c r="Z376" s="70"/>
      <c r="AA376" s="70">
        <f t="shared" si="231"/>
        <v>3.61595258255716</v>
      </c>
      <c r="AB376" s="80">
        <v>7.24</v>
      </c>
      <c r="AC376" s="68">
        <f t="shared" si="229"/>
        <v>26.1794966977138</v>
      </c>
      <c r="AD376" s="68">
        <f t="shared" si="232"/>
        <v>307.797447586791</v>
      </c>
      <c r="AE376" s="68">
        <f t="shared" si="233"/>
        <v>100.202552413209</v>
      </c>
    </row>
    <row r="377" customFormat="1" spans="1:31">
      <c r="A377" s="18"/>
      <c r="B377" s="19"/>
      <c r="C377" s="20">
        <v>240611000005</v>
      </c>
      <c r="D377" s="21">
        <v>45462</v>
      </c>
      <c r="E377" s="21" t="s">
        <v>48</v>
      </c>
      <c r="F377" s="19" t="s">
        <v>49</v>
      </c>
      <c r="G377" s="19" t="s">
        <v>183</v>
      </c>
      <c r="H377" s="19">
        <v>14</v>
      </c>
      <c r="I377" s="38">
        <v>882</v>
      </c>
      <c r="J377" s="39"/>
      <c r="K377" s="40"/>
      <c r="L377" s="19"/>
      <c r="M377" s="40"/>
      <c r="N377" s="41"/>
      <c r="O377" s="42">
        <f t="shared" si="239"/>
        <v>882</v>
      </c>
      <c r="P377" s="44"/>
      <c r="Q377" s="44"/>
      <c r="R377" s="68">
        <f t="shared" si="234"/>
        <v>656.023878069433</v>
      </c>
      <c r="S377" s="68"/>
      <c r="T377" s="69">
        <f t="shared" si="235"/>
        <v>1.08467400508044</v>
      </c>
      <c r="U377" s="68"/>
      <c r="V377" s="68"/>
      <c r="W377" s="68">
        <f t="shared" si="230"/>
        <v>657.108552074513</v>
      </c>
      <c r="X377" s="70">
        <f t="shared" si="236"/>
        <v>8.43722269263336</v>
      </c>
      <c r="Y377" s="70"/>
      <c r="Z377" s="70"/>
      <c r="AA377" s="70">
        <f t="shared" si="231"/>
        <v>8.43722269263336</v>
      </c>
      <c r="AB377" s="80">
        <v>7.24</v>
      </c>
      <c r="AC377" s="68">
        <f t="shared" si="229"/>
        <v>61.0854922946655</v>
      </c>
      <c r="AD377" s="68">
        <f t="shared" si="232"/>
        <v>718.194044369179</v>
      </c>
      <c r="AE377" s="68">
        <f t="shared" si="233"/>
        <v>163.805955630821</v>
      </c>
    </row>
    <row r="378" customFormat="1" spans="1:31">
      <c r="A378" s="18"/>
      <c r="B378" s="19"/>
      <c r="C378" s="20">
        <v>240611000009</v>
      </c>
      <c r="D378" s="21">
        <v>45462</v>
      </c>
      <c r="E378" s="21" t="s">
        <v>48</v>
      </c>
      <c r="F378" s="19" t="s">
        <v>49</v>
      </c>
      <c r="G378" s="19" t="s">
        <v>91</v>
      </c>
      <c r="H378" s="19">
        <v>7.5</v>
      </c>
      <c r="I378" s="38">
        <v>476.85</v>
      </c>
      <c r="J378" s="39"/>
      <c r="K378" s="40"/>
      <c r="L378" s="19"/>
      <c r="M378" s="40"/>
      <c r="N378" s="41"/>
      <c r="O378" s="42">
        <f t="shared" si="239"/>
        <v>476.85</v>
      </c>
      <c r="P378" s="44"/>
      <c r="Q378" s="44"/>
      <c r="R378" s="68">
        <f t="shared" si="234"/>
        <v>351.441363251482</v>
      </c>
      <c r="S378" s="68"/>
      <c r="T378" s="69">
        <f t="shared" si="235"/>
        <v>0.581075359864522</v>
      </c>
      <c r="U378" s="68"/>
      <c r="V378" s="68"/>
      <c r="W378" s="68">
        <f t="shared" si="230"/>
        <v>352.022438611346</v>
      </c>
      <c r="X378" s="70">
        <f t="shared" si="236"/>
        <v>4.51994072819644</v>
      </c>
      <c r="Y378" s="70"/>
      <c r="Z378" s="70"/>
      <c r="AA378" s="70">
        <f t="shared" si="231"/>
        <v>4.51994072819644</v>
      </c>
      <c r="AB378" s="80">
        <v>7.24</v>
      </c>
      <c r="AC378" s="68">
        <f t="shared" si="229"/>
        <v>32.7243708721423</v>
      </c>
      <c r="AD378" s="68">
        <f t="shared" si="232"/>
        <v>384.746809483489</v>
      </c>
      <c r="AE378" s="68">
        <f t="shared" si="233"/>
        <v>92.103190516511</v>
      </c>
    </row>
    <row r="379" customFormat="1" spans="1:31">
      <c r="A379" s="18"/>
      <c r="B379" s="19"/>
      <c r="C379" s="20">
        <v>240611000010</v>
      </c>
      <c r="D379" s="21">
        <v>45462</v>
      </c>
      <c r="E379" s="21" t="s">
        <v>48</v>
      </c>
      <c r="F379" s="19" t="s">
        <v>49</v>
      </c>
      <c r="G379" s="19" t="s">
        <v>336</v>
      </c>
      <c r="H379" s="19">
        <v>10</v>
      </c>
      <c r="I379" s="45"/>
      <c r="J379" s="46">
        <v>132423</v>
      </c>
      <c r="K379" s="40"/>
      <c r="L379" s="47">
        <f t="shared" si="240"/>
        <v>1513.23277339733</v>
      </c>
      <c r="M379" s="48">
        <v>87.51</v>
      </c>
      <c r="N379" s="41">
        <v>7.24</v>
      </c>
      <c r="O379" s="42">
        <f t="shared" ref="O379:O384" si="242">SUM(M379*N379)</f>
        <v>633.5724</v>
      </c>
      <c r="P379" s="44"/>
      <c r="Q379" s="44"/>
      <c r="R379" s="68">
        <f t="shared" si="234"/>
        <v>468.588484335309</v>
      </c>
      <c r="S379" s="68"/>
      <c r="T379" s="69">
        <f t="shared" si="235"/>
        <v>0.774767146486029</v>
      </c>
      <c r="U379" s="68"/>
      <c r="V379" s="68"/>
      <c r="W379" s="68">
        <f t="shared" si="230"/>
        <v>469.363251481795</v>
      </c>
      <c r="X379" s="70">
        <f t="shared" si="236"/>
        <v>6.02658763759526</v>
      </c>
      <c r="Y379" s="70"/>
      <c r="Z379" s="70"/>
      <c r="AA379" s="70">
        <f t="shared" si="231"/>
        <v>6.02658763759526</v>
      </c>
      <c r="AB379" s="80">
        <v>7.24</v>
      </c>
      <c r="AC379" s="68">
        <f t="shared" si="229"/>
        <v>43.6324944961897</v>
      </c>
      <c r="AD379" s="68">
        <f t="shared" si="232"/>
        <v>512.995745977985</v>
      </c>
      <c r="AE379" s="68">
        <f t="shared" si="233"/>
        <v>120.576654022015</v>
      </c>
    </row>
    <row r="380" customFormat="1" spans="1:31">
      <c r="A380" s="18"/>
      <c r="B380" s="19"/>
      <c r="C380" s="20">
        <v>240611000022</v>
      </c>
      <c r="D380" s="21">
        <v>45462</v>
      </c>
      <c r="E380" s="21" t="s">
        <v>44</v>
      </c>
      <c r="F380" s="19" t="s">
        <v>45</v>
      </c>
      <c r="G380" s="19" t="s">
        <v>337</v>
      </c>
      <c r="H380" s="19">
        <v>3</v>
      </c>
      <c r="I380" s="38">
        <v>210</v>
      </c>
      <c r="J380" s="39"/>
      <c r="K380" s="40"/>
      <c r="L380" s="19"/>
      <c r="M380" s="40"/>
      <c r="N380" s="41"/>
      <c r="O380" s="42">
        <f t="shared" ref="O380:O382" si="243">SUM(I380)</f>
        <v>210</v>
      </c>
      <c r="P380" s="44"/>
      <c r="Q380" s="44"/>
      <c r="R380" s="68">
        <f t="shared" si="234"/>
        <v>140.576545300593</v>
      </c>
      <c r="S380" s="68"/>
      <c r="T380" s="69">
        <f t="shared" si="235"/>
        <v>0.232430143945809</v>
      </c>
      <c r="U380" s="68"/>
      <c r="V380" s="68"/>
      <c r="W380" s="68">
        <f t="shared" si="230"/>
        <v>140.808975444539</v>
      </c>
      <c r="X380" s="70">
        <f t="shared" si="236"/>
        <v>1.80797629127858</v>
      </c>
      <c r="Y380" s="70"/>
      <c r="Z380" s="70"/>
      <c r="AA380" s="70">
        <f t="shared" si="231"/>
        <v>1.80797629127858</v>
      </c>
      <c r="AB380" s="80">
        <v>7.24</v>
      </c>
      <c r="AC380" s="68">
        <f t="shared" ref="AC380:AC408" si="244">SUM(AA380*AB380)</f>
        <v>13.0897483488569</v>
      </c>
      <c r="AD380" s="68">
        <f t="shared" si="232"/>
        <v>153.898723793395</v>
      </c>
      <c r="AE380" s="68">
        <f t="shared" si="233"/>
        <v>56.101276206605</v>
      </c>
    </row>
    <row r="381" customFormat="1" spans="1:31">
      <c r="A381" s="18"/>
      <c r="B381" s="19"/>
      <c r="C381" s="20">
        <v>240611000024</v>
      </c>
      <c r="D381" s="21">
        <v>45462</v>
      </c>
      <c r="E381" s="21" t="s">
        <v>44</v>
      </c>
      <c r="F381" s="19" t="s">
        <v>45</v>
      </c>
      <c r="G381" s="19" t="s">
        <v>338</v>
      </c>
      <c r="H381" s="19">
        <v>32</v>
      </c>
      <c r="I381" s="38">
        <v>2080</v>
      </c>
      <c r="J381" s="39"/>
      <c r="K381" s="40"/>
      <c r="L381" s="19"/>
      <c r="M381" s="40"/>
      <c r="N381" s="41"/>
      <c r="O381" s="42">
        <f t="shared" si="243"/>
        <v>2080</v>
      </c>
      <c r="P381" s="44"/>
      <c r="Q381" s="44"/>
      <c r="R381" s="68">
        <f t="shared" si="234"/>
        <v>1499.48314987299</v>
      </c>
      <c r="S381" s="68"/>
      <c r="T381" s="69">
        <f t="shared" si="235"/>
        <v>2.47925486875529</v>
      </c>
      <c r="U381" s="68"/>
      <c r="V381" s="68"/>
      <c r="W381" s="68">
        <f t="shared" ref="W381:W408" si="245">SUM(R381:V381)</f>
        <v>1501.96240474174</v>
      </c>
      <c r="X381" s="70">
        <f t="shared" si="236"/>
        <v>19.2850804403048</v>
      </c>
      <c r="Y381" s="70"/>
      <c r="Z381" s="70"/>
      <c r="AA381" s="70">
        <f t="shared" si="231"/>
        <v>19.2850804403048</v>
      </c>
      <c r="AB381" s="80">
        <v>7.24</v>
      </c>
      <c r="AC381" s="68">
        <f t="shared" si="244"/>
        <v>139.623982387807</v>
      </c>
      <c r="AD381" s="68">
        <f t="shared" si="232"/>
        <v>1641.58638712955</v>
      </c>
      <c r="AE381" s="68">
        <f t="shared" si="233"/>
        <v>438.41361287045</v>
      </c>
    </row>
    <row r="382" customFormat="1" spans="1:31">
      <c r="A382" s="18"/>
      <c r="B382" s="19"/>
      <c r="C382" s="20">
        <v>240611000032</v>
      </c>
      <c r="D382" s="21">
        <v>45462</v>
      </c>
      <c r="E382" s="21" t="s">
        <v>48</v>
      </c>
      <c r="F382" s="19" t="s">
        <v>49</v>
      </c>
      <c r="G382" s="19" t="s">
        <v>339</v>
      </c>
      <c r="H382" s="19">
        <v>5</v>
      </c>
      <c r="I382" s="38">
        <v>368.3</v>
      </c>
      <c r="J382" s="39"/>
      <c r="K382" s="40"/>
      <c r="L382" s="19"/>
      <c r="M382" s="40"/>
      <c r="N382" s="41"/>
      <c r="O382" s="42">
        <f t="shared" si="243"/>
        <v>368.3</v>
      </c>
      <c r="P382" s="44"/>
      <c r="Q382" s="44"/>
      <c r="R382" s="68">
        <f t="shared" si="234"/>
        <v>234.294242167655</v>
      </c>
      <c r="S382" s="68"/>
      <c r="T382" s="69">
        <f t="shared" si="235"/>
        <v>0.387383573243014</v>
      </c>
      <c r="U382" s="68"/>
      <c r="V382" s="68"/>
      <c r="W382" s="68">
        <f t="shared" si="245"/>
        <v>234.681625740898</v>
      </c>
      <c r="X382" s="70">
        <f t="shared" si="236"/>
        <v>3.01329381879763</v>
      </c>
      <c r="Y382" s="70"/>
      <c r="Z382" s="70"/>
      <c r="AA382" s="70">
        <f t="shared" ref="AA382:AA408" si="246">SUM(X382:Z382)</f>
        <v>3.01329381879763</v>
      </c>
      <c r="AB382" s="80">
        <v>7.24</v>
      </c>
      <c r="AC382" s="68">
        <f t="shared" si="244"/>
        <v>21.8162472480948</v>
      </c>
      <c r="AD382" s="68">
        <f t="shared" ref="AD382:AD408" si="247">SUM(W382+AC382)</f>
        <v>256.497872988992</v>
      </c>
      <c r="AE382" s="68">
        <f t="shared" ref="AE382:AE408" si="248">SUM(O382-AD382)</f>
        <v>111.802127011008</v>
      </c>
    </row>
    <row r="383" customFormat="1" spans="1:31">
      <c r="A383" s="18"/>
      <c r="B383" s="19"/>
      <c r="C383" s="20">
        <v>240611000034</v>
      </c>
      <c r="D383" s="21">
        <v>45462</v>
      </c>
      <c r="E383" s="21" t="s">
        <v>44</v>
      </c>
      <c r="F383" s="19" t="s">
        <v>45</v>
      </c>
      <c r="G383" s="19" t="s">
        <v>127</v>
      </c>
      <c r="H383" s="19">
        <v>2</v>
      </c>
      <c r="I383" s="42"/>
      <c r="J383" s="46">
        <v>28328</v>
      </c>
      <c r="K383" s="40"/>
      <c r="L383" s="47">
        <f t="shared" ref="L383:L387" si="249">SUM(J383/M383)</f>
        <v>1506.00736278536</v>
      </c>
      <c r="M383" s="48">
        <v>18.810001</v>
      </c>
      <c r="N383" s="41">
        <v>7.24</v>
      </c>
      <c r="O383" s="42">
        <f t="shared" si="242"/>
        <v>136.18440724</v>
      </c>
      <c r="P383" s="44"/>
      <c r="Q383" s="44"/>
      <c r="R383" s="68">
        <f t="shared" si="234"/>
        <v>93.7176968670618</v>
      </c>
      <c r="S383" s="68"/>
      <c r="T383" s="69">
        <f t="shared" si="235"/>
        <v>0.154953429297206</v>
      </c>
      <c r="U383" s="68"/>
      <c r="V383" s="68"/>
      <c r="W383" s="68">
        <f t="shared" si="245"/>
        <v>93.872650296359</v>
      </c>
      <c r="X383" s="70">
        <f t="shared" si="236"/>
        <v>1.20531752751905</v>
      </c>
      <c r="Y383" s="70"/>
      <c r="Z383" s="70"/>
      <c r="AA383" s="70">
        <f t="shared" si="246"/>
        <v>1.20531752751905</v>
      </c>
      <c r="AB383" s="80">
        <v>7.24</v>
      </c>
      <c r="AC383" s="68">
        <f t="shared" si="244"/>
        <v>8.72649889923794</v>
      </c>
      <c r="AD383" s="68">
        <f t="shared" si="247"/>
        <v>102.599149195597</v>
      </c>
      <c r="AE383" s="68">
        <f t="shared" si="248"/>
        <v>33.585258044403</v>
      </c>
    </row>
    <row r="384" customFormat="1" spans="1:31">
      <c r="A384" s="18"/>
      <c r="B384" s="19"/>
      <c r="C384" s="20">
        <v>240611000037</v>
      </c>
      <c r="D384" s="21">
        <v>45462</v>
      </c>
      <c r="E384" s="21" t="s">
        <v>44</v>
      </c>
      <c r="F384" s="19" t="s">
        <v>45</v>
      </c>
      <c r="G384" s="19" t="s">
        <v>340</v>
      </c>
      <c r="H384" s="19">
        <v>6</v>
      </c>
      <c r="I384" s="42"/>
      <c r="J384" s="39"/>
      <c r="K384" s="48">
        <v>53.13</v>
      </c>
      <c r="L384" s="47">
        <f t="shared" si="249"/>
        <v>0</v>
      </c>
      <c r="M384" s="48">
        <v>53.129997</v>
      </c>
      <c r="N384" s="41">
        <v>7.24</v>
      </c>
      <c r="O384" s="42">
        <f t="shared" si="242"/>
        <v>384.66117828</v>
      </c>
      <c r="P384" s="44"/>
      <c r="Q384" s="44"/>
      <c r="R384" s="68">
        <f t="shared" ref="R384:R408" si="250">SUM(110680.6/2362)*H384</f>
        <v>281.153090601185</v>
      </c>
      <c r="S384" s="68"/>
      <c r="T384" s="69">
        <f t="shared" ref="T384:T408" si="251">SUM(183/2362)*H384</f>
        <v>0.464860287891617</v>
      </c>
      <c r="U384" s="68"/>
      <c r="V384" s="68"/>
      <c r="W384" s="68">
        <f t="shared" si="245"/>
        <v>281.617950889077</v>
      </c>
      <c r="X384" s="70">
        <f t="shared" ref="X384:X408" si="252">SUM(1423.48/2362)*H384</f>
        <v>3.61595258255716</v>
      </c>
      <c r="Y384" s="70"/>
      <c r="Z384" s="70"/>
      <c r="AA384" s="70">
        <f t="shared" si="246"/>
        <v>3.61595258255716</v>
      </c>
      <c r="AB384" s="80">
        <v>7.24</v>
      </c>
      <c r="AC384" s="68">
        <f t="shared" si="244"/>
        <v>26.1794966977138</v>
      </c>
      <c r="AD384" s="68">
        <f t="shared" si="247"/>
        <v>307.797447586791</v>
      </c>
      <c r="AE384" s="68">
        <f t="shared" si="248"/>
        <v>76.8637306932091</v>
      </c>
    </row>
    <row r="385" customFormat="1" spans="1:31">
      <c r="A385" s="18"/>
      <c r="B385" s="19"/>
      <c r="C385" s="20">
        <v>240611000042</v>
      </c>
      <c r="D385" s="21">
        <v>45462</v>
      </c>
      <c r="E385" s="21" t="s">
        <v>41</v>
      </c>
      <c r="F385" s="19" t="s">
        <v>42</v>
      </c>
      <c r="G385" s="19" t="s">
        <v>74</v>
      </c>
      <c r="H385" s="19">
        <v>2.5</v>
      </c>
      <c r="I385" s="38">
        <v>155.8</v>
      </c>
      <c r="J385" s="39"/>
      <c r="K385" s="40"/>
      <c r="L385" s="19"/>
      <c r="M385" s="40"/>
      <c r="N385" s="41"/>
      <c r="O385" s="42">
        <f t="shared" ref="O385:O391" si="253">SUM(I385)</f>
        <v>155.8</v>
      </c>
      <c r="P385" s="44"/>
      <c r="Q385" s="44"/>
      <c r="R385" s="68">
        <f t="shared" si="250"/>
        <v>117.147121083827</v>
      </c>
      <c r="S385" s="68"/>
      <c r="T385" s="69">
        <f t="shared" si="251"/>
        <v>0.193691786621507</v>
      </c>
      <c r="U385" s="68"/>
      <c r="V385" s="68"/>
      <c r="W385" s="68">
        <f t="shared" si="245"/>
        <v>117.340812870449</v>
      </c>
      <c r="X385" s="70">
        <f t="shared" si="252"/>
        <v>1.50664690939881</v>
      </c>
      <c r="Y385" s="70"/>
      <c r="Z385" s="70"/>
      <c r="AA385" s="70">
        <f t="shared" si="246"/>
        <v>1.50664690939881</v>
      </c>
      <c r="AB385" s="80">
        <v>7.24</v>
      </c>
      <c r="AC385" s="68">
        <f t="shared" si="244"/>
        <v>10.9081236240474</v>
      </c>
      <c r="AD385" s="68">
        <f t="shared" si="247"/>
        <v>128.248936494496</v>
      </c>
      <c r="AE385" s="68">
        <f t="shared" si="248"/>
        <v>27.5510635055038</v>
      </c>
    </row>
    <row r="386" customFormat="1" spans="1:31">
      <c r="A386" s="18"/>
      <c r="B386" s="19"/>
      <c r="C386" s="20">
        <v>240611000044</v>
      </c>
      <c r="D386" s="21">
        <v>45462</v>
      </c>
      <c r="E386" s="21" t="s">
        <v>44</v>
      </c>
      <c r="F386" s="19">
        <v>13635229849</v>
      </c>
      <c r="G386" s="19" t="s">
        <v>116</v>
      </c>
      <c r="H386" s="19">
        <v>2</v>
      </c>
      <c r="I386" s="42"/>
      <c r="J386" s="46">
        <v>31144</v>
      </c>
      <c r="K386" s="40"/>
      <c r="L386" s="47">
        <f t="shared" si="249"/>
        <v>1505.99627717566</v>
      </c>
      <c r="M386" s="48">
        <v>20.679998</v>
      </c>
      <c r="N386" s="41">
        <v>7.24</v>
      </c>
      <c r="O386" s="42">
        <f>SUM(M386*N386)</f>
        <v>149.72318552</v>
      </c>
      <c r="P386" s="44"/>
      <c r="Q386" s="44"/>
      <c r="R386" s="68">
        <f t="shared" si="250"/>
        <v>93.7176968670618</v>
      </c>
      <c r="S386" s="68"/>
      <c r="T386" s="69">
        <f t="shared" si="251"/>
        <v>0.154953429297206</v>
      </c>
      <c r="U386" s="68"/>
      <c r="V386" s="68"/>
      <c r="W386" s="68">
        <f t="shared" si="245"/>
        <v>93.872650296359</v>
      </c>
      <c r="X386" s="70">
        <f t="shared" si="252"/>
        <v>1.20531752751905</v>
      </c>
      <c r="Y386" s="70"/>
      <c r="Z386" s="70"/>
      <c r="AA386" s="70">
        <f t="shared" si="246"/>
        <v>1.20531752751905</v>
      </c>
      <c r="AB386" s="80">
        <v>7.24</v>
      </c>
      <c r="AC386" s="68">
        <f t="shared" si="244"/>
        <v>8.72649889923794</v>
      </c>
      <c r="AD386" s="68">
        <f t="shared" si="247"/>
        <v>102.599149195597</v>
      </c>
      <c r="AE386" s="68">
        <f t="shared" si="248"/>
        <v>47.124036324403</v>
      </c>
    </row>
    <row r="387" customFormat="1" spans="1:31">
      <c r="A387" s="18"/>
      <c r="B387" s="19"/>
      <c r="C387" s="20">
        <v>240612000001</v>
      </c>
      <c r="D387" s="21">
        <v>45462</v>
      </c>
      <c r="E387" s="21" t="s">
        <v>66</v>
      </c>
      <c r="F387" s="19" t="s">
        <v>100</v>
      </c>
      <c r="G387" s="19" t="s">
        <v>216</v>
      </c>
      <c r="H387" s="19">
        <v>12</v>
      </c>
      <c r="I387" s="42"/>
      <c r="J387" s="46">
        <v>201773.8</v>
      </c>
      <c r="K387" s="40"/>
      <c r="L387" s="47">
        <f t="shared" si="249"/>
        <v>1505.99940289595</v>
      </c>
      <c r="M387" s="48">
        <v>133.98</v>
      </c>
      <c r="N387" s="41">
        <v>7.24</v>
      </c>
      <c r="O387" s="42">
        <f>SUM(M387*N387)</f>
        <v>970.0152</v>
      </c>
      <c r="P387" s="44"/>
      <c r="Q387" s="44"/>
      <c r="R387" s="68">
        <f t="shared" si="250"/>
        <v>562.306181202371</v>
      </c>
      <c r="S387" s="68"/>
      <c r="T387" s="69">
        <f t="shared" si="251"/>
        <v>0.929720575783235</v>
      </c>
      <c r="U387" s="68"/>
      <c r="V387" s="68"/>
      <c r="W387" s="68">
        <f t="shared" si="245"/>
        <v>563.235901778154</v>
      </c>
      <c r="X387" s="70">
        <f t="shared" si="252"/>
        <v>7.23190516511431</v>
      </c>
      <c r="Y387" s="70"/>
      <c r="Z387" s="70"/>
      <c r="AA387" s="70">
        <f t="shared" si="246"/>
        <v>7.23190516511431</v>
      </c>
      <c r="AB387" s="80">
        <v>7.24</v>
      </c>
      <c r="AC387" s="68">
        <f t="shared" si="244"/>
        <v>52.3589933954276</v>
      </c>
      <c r="AD387" s="68">
        <f t="shared" si="247"/>
        <v>615.594895173582</v>
      </c>
      <c r="AE387" s="68">
        <f t="shared" si="248"/>
        <v>354.420304826418</v>
      </c>
    </row>
    <row r="388" customFormat="1" spans="1:31">
      <c r="A388" s="18"/>
      <c r="B388" s="19"/>
      <c r="C388" s="20">
        <v>240612000010</v>
      </c>
      <c r="D388" s="21">
        <v>45462</v>
      </c>
      <c r="E388" s="21" t="s">
        <v>37</v>
      </c>
      <c r="F388" s="19" t="s">
        <v>37</v>
      </c>
      <c r="G388" s="19" t="s">
        <v>207</v>
      </c>
      <c r="H388" s="19">
        <v>676.5</v>
      </c>
      <c r="I388" s="45">
        <v>35178</v>
      </c>
      <c r="J388" s="39"/>
      <c r="K388" s="40"/>
      <c r="L388" s="19"/>
      <c r="M388" s="40"/>
      <c r="N388" s="41"/>
      <c r="O388" s="42">
        <f t="shared" si="253"/>
        <v>35178</v>
      </c>
      <c r="P388" s="44"/>
      <c r="Q388" s="44"/>
      <c r="R388" s="68">
        <f t="shared" si="250"/>
        <v>31700.0109652837</v>
      </c>
      <c r="S388" s="68"/>
      <c r="T388" s="69">
        <f t="shared" si="251"/>
        <v>52.4129974597799</v>
      </c>
      <c r="U388" s="68"/>
      <c r="V388" s="68"/>
      <c r="W388" s="68">
        <f t="shared" si="245"/>
        <v>31752.4239627434</v>
      </c>
      <c r="X388" s="70">
        <f t="shared" si="252"/>
        <v>407.698653683319</v>
      </c>
      <c r="Y388" s="70"/>
      <c r="Z388" s="70"/>
      <c r="AA388" s="70">
        <f t="shared" si="246"/>
        <v>407.698653683319</v>
      </c>
      <c r="AB388" s="80">
        <v>7.24</v>
      </c>
      <c r="AC388" s="68">
        <f t="shared" si="244"/>
        <v>2951.73825266723</v>
      </c>
      <c r="AD388" s="68">
        <f t="shared" si="247"/>
        <v>34704.1622154107</v>
      </c>
      <c r="AE388" s="68">
        <f t="shared" si="248"/>
        <v>473.837784589334</v>
      </c>
    </row>
    <row r="389" customFormat="1" spans="1:31">
      <c r="A389" s="18"/>
      <c r="B389" s="19"/>
      <c r="C389" s="20">
        <v>240612000011</v>
      </c>
      <c r="D389" s="21">
        <v>45462</v>
      </c>
      <c r="E389" s="21" t="s">
        <v>37</v>
      </c>
      <c r="F389" s="19" t="s">
        <v>37</v>
      </c>
      <c r="G389" s="19" t="s">
        <v>277</v>
      </c>
      <c r="H389" s="19">
        <v>9</v>
      </c>
      <c r="I389" s="45">
        <v>570.9</v>
      </c>
      <c r="J389" s="39"/>
      <c r="K389" s="40"/>
      <c r="L389" s="19"/>
      <c r="M389" s="40"/>
      <c r="N389" s="41"/>
      <c r="O389" s="42">
        <f t="shared" si="253"/>
        <v>570.9</v>
      </c>
      <c r="P389" s="44"/>
      <c r="Q389" s="44"/>
      <c r="R389" s="68">
        <f t="shared" si="250"/>
        <v>421.729635901778</v>
      </c>
      <c r="S389" s="68"/>
      <c r="T389" s="69">
        <f t="shared" si="251"/>
        <v>0.697290431837426</v>
      </c>
      <c r="U389" s="68"/>
      <c r="V389" s="68"/>
      <c r="W389" s="68">
        <f t="shared" si="245"/>
        <v>422.426926333616</v>
      </c>
      <c r="X389" s="70">
        <f t="shared" si="252"/>
        <v>5.42392887383573</v>
      </c>
      <c r="Y389" s="70"/>
      <c r="Z389" s="70"/>
      <c r="AA389" s="70">
        <f t="shared" si="246"/>
        <v>5.42392887383573</v>
      </c>
      <c r="AB389" s="80">
        <v>7.24</v>
      </c>
      <c r="AC389" s="68">
        <f t="shared" si="244"/>
        <v>39.2692450465707</v>
      </c>
      <c r="AD389" s="68">
        <f t="shared" si="247"/>
        <v>461.696171380186</v>
      </c>
      <c r="AE389" s="68">
        <f t="shared" si="248"/>
        <v>109.203828619814</v>
      </c>
    </row>
    <row r="390" customFormat="1" spans="1:31">
      <c r="A390" s="18"/>
      <c r="B390" s="19"/>
      <c r="C390" s="20">
        <v>240612000018</v>
      </c>
      <c r="D390" s="21">
        <v>45462</v>
      </c>
      <c r="E390" s="21" t="s">
        <v>48</v>
      </c>
      <c r="F390" s="19" t="s">
        <v>49</v>
      </c>
      <c r="G390" s="19" t="s">
        <v>341</v>
      </c>
      <c r="H390" s="19">
        <v>2.5</v>
      </c>
      <c r="I390" s="38">
        <v>200</v>
      </c>
      <c r="J390" s="39"/>
      <c r="K390" s="40"/>
      <c r="L390" s="19"/>
      <c r="M390" s="40"/>
      <c r="N390" s="41"/>
      <c r="O390" s="42">
        <f t="shared" si="253"/>
        <v>200</v>
      </c>
      <c r="P390" s="44"/>
      <c r="Q390" s="44"/>
      <c r="R390" s="68">
        <f t="shared" si="250"/>
        <v>117.147121083827</v>
      </c>
      <c r="S390" s="68"/>
      <c r="T390" s="69">
        <f t="shared" si="251"/>
        <v>0.193691786621507</v>
      </c>
      <c r="U390" s="68"/>
      <c r="V390" s="68"/>
      <c r="W390" s="68">
        <f t="shared" si="245"/>
        <v>117.340812870449</v>
      </c>
      <c r="X390" s="70">
        <f t="shared" si="252"/>
        <v>1.50664690939881</v>
      </c>
      <c r="Y390" s="70"/>
      <c r="Z390" s="70"/>
      <c r="AA390" s="70">
        <f t="shared" si="246"/>
        <v>1.50664690939881</v>
      </c>
      <c r="AB390" s="80">
        <v>7.24</v>
      </c>
      <c r="AC390" s="68">
        <f t="shared" si="244"/>
        <v>10.9081236240474</v>
      </c>
      <c r="AD390" s="68">
        <f t="shared" si="247"/>
        <v>128.248936494496</v>
      </c>
      <c r="AE390" s="68">
        <f t="shared" si="248"/>
        <v>71.7510635055038</v>
      </c>
    </row>
    <row r="391" customFormat="1" spans="1:31">
      <c r="A391" s="18"/>
      <c r="B391" s="19"/>
      <c r="C391" s="20">
        <v>240612000023</v>
      </c>
      <c r="D391" s="21">
        <v>45462</v>
      </c>
      <c r="E391" s="21" t="s">
        <v>48</v>
      </c>
      <c r="F391" s="19" t="s">
        <v>49</v>
      </c>
      <c r="G391" s="19" t="s">
        <v>342</v>
      </c>
      <c r="H391" s="19">
        <v>387</v>
      </c>
      <c r="I391" s="38">
        <v>37363.5</v>
      </c>
      <c r="J391" s="39"/>
      <c r="K391" s="40"/>
      <c r="L391" s="19"/>
      <c r="M391" s="40"/>
      <c r="N391" s="41"/>
      <c r="O391" s="42">
        <f t="shared" si="253"/>
        <v>37363.5</v>
      </c>
      <c r="P391" s="44"/>
      <c r="Q391" s="44"/>
      <c r="R391" s="68">
        <f t="shared" si="250"/>
        <v>18134.3743437765</v>
      </c>
      <c r="S391" s="69">
        <v>66</v>
      </c>
      <c r="T391" s="69">
        <f t="shared" si="251"/>
        <v>29.9834885690093</v>
      </c>
      <c r="U391" s="69">
        <v>120</v>
      </c>
      <c r="V391" s="68"/>
      <c r="W391" s="68">
        <f t="shared" si="245"/>
        <v>18350.3578323455</v>
      </c>
      <c r="X391" s="70">
        <f t="shared" si="252"/>
        <v>233.228941574936</v>
      </c>
      <c r="Y391" s="70"/>
      <c r="Z391" s="70"/>
      <c r="AA391" s="70">
        <f t="shared" si="246"/>
        <v>233.228941574936</v>
      </c>
      <c r="AB391" s="80">
        <v>7.24</v>
      </c>
      <c r="AC391" s="68">
        <f t="shared" si="244"/>
        <v>1688.57753700254</v>
      </c>
      <c r="AD391" s="68">
        <f t="shared" si="247"/>
        <v>20038.935369348</v>
      </c>
      <c r="AE391" s="68">
        <f t="shared" si="248"/>
        <v>17324.564630652</v>
      </c>
    </row>
    <row r="392" customFormat="1" spans="1:31">
      <c r="A392" s="18"/>
      <c r="B392" s="19"/>
      <c r="C392" s="20">
        <v>240612000027</v>
      </c>
      <c r="D392" s="21">
        <v>45462</v>
      </c>
      <c r="E392" s="21" t="s">
        <v>51</v>
      </c>
      <c r="F392" s="19" t="s">
        <v>52</v>
      </c>
      <c r="G392" s="19" t="s">
        <v>343</v>
      </c>
      <c r="H392" s="19">
        <v>8</v>
      </c>
      <c r="I392" s="45"/>
      <c r="J392" s="46">
        <v>105588</v>
      </c>
      <c r="K392" s="40"/>
      <c r="L392" s="47">
        <f>SUM(J392/M392)</f>
        <v>1516.85102715127</v>
      </c>
      <c r="M392" s="48">
        <v>69.61</v>
      </c>
      <c r="N392" s="41">
        <v>7.24</v>
      </c>
      <c r="O392" s="42">
        <f>SUM(M392*N392)</f>
        <v>503.9764</v>
      </c>
      <c r="P392" s="44"/>
      <c r="Q392" s="44"/>
      <c r="R392" s="68">
        <f t="shared" si="250"/>
        <v>374.870787468247</v>
      </c>
      <c r="S392" s="68"/>
      <c r="T392" s="69">
        <f t="shared" si="251"/>
        <v>0.619813717188823</v>
      </c>
      <c r="U392" s="68"/>
      <c r="V392" s="68"/>
      <c r="W392" s="68">
        <f t="shared" si="245"/>
        <v>375.490601185436</v>
      </c>
      <c r="X392" s="70">
        <f t="shared" si="252"/>
        <v>4.82127011007621</v>
      </c>
      <c r="Y392" s="70"/>
      <c r="Z392" s="70"/>
      <c r="AA392" s="70">
        <f t="shared" si="246"/>
        <v>4.82127011007621</v>
      </c>
      <c r="AB392" s="80">
        <v>7.24</v>
      </c>
      <c r="AC392" s="68">
        <f t="shared" si="244"/>
        <v>34.9059955969517</v>
      </c>
      <c r="AD392" s="68">
        <f t="shared" si="247"/>
        <v>410.396596782388</v>
      </c>
      <c r="AE392" s="68">
        <f t="shared" si="248"/>
        <v>93.5798032176122</v>
      </c>
    </row>
    <row r="393" customFormat="1" spans="1:31">
      <c r="A393" s="18"/>
      <c r="B393" s="19"/>
      <c r="C393" s="20">
        <v>240612000031</v>
      </c>
      <c r="D393" s="21">
        <v>45462</v>
      </c>
      <c r="E393" s="21" t="s">
        <v>48</v>
      </c>
      <c r="F393" s="19" t="s">
        <v>49</v>
      </c>
      <c r="G393" s="19" t="s">
        <v>334</v>
      </c>
      <c r="H393" s="19">
        <v>14.5</v>
      </c>
      <c r="I393" s="45"/>
      <c r="J393" s="46">
        <v>189560.25</v>
      </c>
      <c r="K393" s="40"/>
      <c r="L393" s="47">
        <f>SUM(J393/M393)</f>
        <v>1498.7369544592</v>
      </c>
      <c r="M393" s="48">
        <v>126.48</v>
      </c>
      <c r="N393" s="41">
        <v>7.24</v>
      </c>
      <c r="O393" s="42">
        <f>SUM(M393*N393)</f>
        <v>915.7152</v>
      </c>
      <c r="P393" s="44"/>
      <c r="Q393" s="44"/>
      <c r="R393" s="68">
        <f t="shared" si="250"/>
        <v>679.453302286198</v>
      </c>
      <c r="S393" s="68"/>
      <c r="T393" s="69">
        <f t="shared" si="251"/>
        <v>1.12341236240474</v>
      </c>
      <c r="U393" s="68"/>
      <c r="V393" s="68"/>
      <c r="W393" s="68">
        <f t="shared" si="245"/>
        <v>680.576714648603</v>
      </c>
      <c r="X393" s="70">
        <f t="shared" si="252"/>
        <v>8.73855207451312</v>
      </c>
      <c r="Y393" s="70"/>
      <c r="Z393" s="70"/>
      <c r="AA393" s="70">
        <f t="shared" si="246"/>
        <v>8.73855207451312</v>
      </c>
      <c r="AB393" s="80">
        <v>7.24</v>
      </c>
      <c r="AC393" s="68">
        <f t="shared" si="244"/>
        <v>63.267117019475</v>
      </c>
      <c r="AD393" s="68">
        <f t="shared" si="247"/>
        <v>743.843831668078</v>
      </c>
      <c r="AE393" s="68">
        <f t="shared" si="248"/>
        <v>171.871368331922</v>
      </c>
    </row>
    <row r="394" customFormat="1" spans="1:31">
      <c r="A394" s="18"/>
      <c r="B394" s="19"/>
      <c r="C394" s="81">
        <v>240612000032</v>
      </c>
      <c r="D394" s="82">
        <v>45462</v>
      </c>
      <c r="E394" s="21" t="s">
        <v>48</v>
      </c>
      <c r="F394" s="83" t="s">
        <v>49</v>
      </c>
      <c r="G394" s="83" t="s">
        <v>183</v>
      </c>
      <c r="H394" s="83">
        <v>6</v>
      </c>
      <c r="I394" s="38">
        <v>441</v>
      </c>
      <c r="J394" s="39"/>
      <c r="K394" s="40"/>
      <c r="L394" s="19"/>
      <c r="M394" s="40"/>
      <c r="N394" s="41"/>
      <c r="O394" s="42">
        <f t="shared" ref="O394:O400" si="254">SUM(I394)</f>
        <v>441</v>
      </c>
      <c r="P394" s="44"/>
      <c r="Q394" s="44"/>
      <c r="R394" s="68">
        <f t="shared" si="250"/>
        <v>281.153090601185</v>
      </c>
      <c r="S394" s="68"/>
      <c r="T394" s="69">
        <f t="shared" si="251"/>
        <v>0.464860287891617</v>
      </c>
      <c r="U394" s="68"/>
      <c r="V394" s="68"/>
      <c r="W394" s="68">
        <f t="shared" si="245"/>
        <v>281.617950889077</v>
      </c>
      <c r="X394" s="70">
        <f t="shared" si="252"/>
        <v>3.61595258255716</v>
      </c>
      <c r="Y394" s="70"/>
      <c r="Z394" s="70"/>
      <c r="AA394" s="70">
        <f t="shared" si="246"/>
        <v>3.61595258255716</v>
      </c>
      <c r="AB394" s="80">
        <v>7.24</v>
      </c>
      <c r="AC394" s="68">
        <f t="shared" si="244"/>
        <v>26.1794966977138</v>
      </c>
      <c r="AD394" s="68">
        <f t="shared" si="247"/>
        <v>307.797447586791</v>
      </c>
      <c r="AE394" s="68">
        <f t="shared" si="248"/>
        <v>133.202552413209</v>
      </c>
    </row>
    <row r="395" customFormat="1" spans="1:31">
      <c r="A395" s="18"/>
      <c r="B395" s="19"/>
      <c r="C395" s="20">
        <v>240612000034</v>
      </c>
      <c r="D395" s="21">
        <v>45462</v>
      </c>
      <c r="E395" s="21" t="s">
        <v>48</v>
      </c>
      <c r="F395" s="19" t="s">
        <v>49</v>
      </c>
      <c r="G395" s="19" t="s">
        <v>145</v>
      </c>
      <c r="H395" s="19">
        <v>10</v>
      </c>
      <c r="I395" s="38">
        <v>699.6</v>
      </c>
      <c r="J395" s="39"/>
      <c r="K395" s="40"/>
      <c r="L395" s="19"/>
      <c r="M395" s="40"/>
      <c r="N395" s="41"/>
      <c r="O395" s="42">
        <f t="shared" si="254"/>
        <v>699.6</v>
      </c>
      <c r="P395" s="44"/>
      <c r="Q395" s="44"/>
      <c r="R395" s="68">
        <f t="shared" si="250"/>
        <v>468.588484335309</v>
      </c>
      <c r="S395" s="68"/>
      <c r="T395" s="69">
        <f t="shared" si="251"/>
        <v>0.774767146486029</v>
      </c>
      <c r="U395" s="68"/>
      <c r="V395" s="68"/>
      <c r="W395" s="68">
        <f t="shared" si="245"/>
        <v>469.363251481795</v>
      </c>
      <c r="X395" s="70">
        <f t="shared" si="252"/>
        <v>6.02658763759526</v>
      </c>
      <c r="Y395" s="70"/>
      <c r="Z395" s="70"/>
      <c r="AA395" s="70">
        <f t="shared" si="246"/>
        <v>6.02658763759526</v>
      </c>
      <c r="AB395" s="80">
        <v>7.24</v>
      </c>
      <c r="AC395" s="68">
        <f t="shared" si="244"/>
        <v>43.6324944961897</v>
      </c>
      <c r="AD395" s="68">
        <f t="shared" si="247"/>
        <v>512.995745977985</v>
      </c>
      <c r="AE395" s="68">
        <f t="shared" si="248"/>
        <v>186.604254022015</v>
      </c>
    </row>
    <row r="396" customFormat="1" spans="1:31">
      <c r="A396" s="18"/>
      <c r="B396" s="19"/>
      <c r="C396" s="20">
        <v>240612000039</v>
      </c>
      <c r="D396" s="21">
        <v>45462</v>
      </c>
      <c r="E396" s="21" t="s">
        <v>48</v>
      </c>
      <c r="F396" s="19" t="s">
        <v>49</v>
      </c>
      <c r="G396" s="19" t="s">
        <v>153</v>
      </c>
      <c r="H396" s="19">
        <v>8.5</v>
      </c>
      <c r="I396" s="38">
        <v>493</v>
      </c>
      <c r="J396" s="39"/>
      <c r="K396" s="40"/>
      <c r="L396" s="19"/>
      <c r="M396" s="40"/>
      <c r="N396" s="41"/>
      <c r="O396" s="42">
        <f t="shared" si="254"/>
        <v>493</v>
      </c>
      <c r="P396" s="44"/>
      <c r="Q396" s="44"/>
      <c r="R396" s="68">
        <f t="shared" si="250"/>
        <v>398.300211685013</v>
      </c>
      <c r="S396" s="68"/>
      <c r="T396" s="69">
        <f t="shared" si="251"/>
        <v>0.658552074513124</v>
      </c>
      <c r="U396" s="68"/>
      <c r="V396" s="68"/>
      <c r="W396" s="68">
        <f t="shared" si="245"/>
        <v>398.958763759526</v>
      </c>
      <c r="X396" s="70">
        <f t="shared" si="252"/>
        <v>5.12259949195597</v>
      </c>
      <c r="Y396" s="70"/>
      <c r="Z396" s="70"/>
      <c r="AA396" s="70">
        <f t="shared" si="246"/>
        <v>5.12259949195597</v>
      </c>
      <c r="AB396" s="80">
        <v>7.24</v>
      </c>
      <c r="AC396" s="68">
        <f t="shared" si="244"/>
        <v>37.0876203217612</v>
      </c>
      <c r="AD396" s="68">
        <f t="shared" si="247"/>
        <v>436.046384081287</v>
      </c>
      <c r="AE396" s="68">
        <f t="shared" si="248"/>
        <v>56.9536159187129</v>
      </c>
    </row>
    <row r="397" customFormat="1" spans="1:31">
      <c r="A397" s="18"/>
      <c r="B397" s="19"/>
      <c r="C397" s="20">
        <v>240612000043</v>
      </c>
      <c r="D397" s="21">
        <v>45462</v>
      </c>
      <c r="E397" s="21" t="s">
        <v>48</v>
      </c>
      <c r="F397" s="19" t="s">
        <v>49</v>
      </c>
      <c r="G397" s="19" t="s">
        <v>344</v>
      </c>
      <c r="H397" s="19">
        <v>12</v>
      </c>
      <c r="I397" s="38">
        <v>720</v>
      </c>
      <c r="J397" s="39"/>
      <c r="K397" s="40"/>
      <c r="L397" s="19"/>
      <c r="M397" s="40"/>
      <c r="N397" s="41"/>
      <c r="O397" s="42">
        <f t="shared" si="254"/>
        <v>720</v>
      </c>
      <c r="P397" s="44"/>
      <c r="Q397" s="44"/>
      <c r="R397" s="68">
        <f t="shared" si="250"/>
        <v>562.306181202371</v>
      </c>
      <c r="S397" s="68"/>
      <c r="T397" s="69">
        <f t="shared" si="251"/>
        <v>0.929720575783235</v>
      </c>
      <c r="U397" s="68"/>
      <c r="V397" s="68"/>
      <c r="W397" s="68">
        <f t="shared" si="245"/>
        <v>563.235901778154</v>
      </c>
      <c r="X397" s="70">
        <f t="shared" si="252"/>
        <v>7.23190516511431</v>
      </c>
      <c r="Y397" s="70"/>
      <c r="Z397" s="70"/>
      <c r="AA397" s="70">
        <f t="shared" si="246"/>
        <v>7.23190516511431</v>
      </c>
      <c r="AB397" s="80">
        <v>7.24</v>
      </c>
      <c r="AC397" s="68">
        <f t="shared" si="244"/>
        <v>52.3589933954276</v>
      </c>
      <c r="AD397" s="68">
        <f t="shared" si="247"/>
        <v>615.594895173582</v>
      </c>
      <c r="AE397" s="68">
        <f t="shared" si="248"/>
        <v>104.405104826418</v>
      </c>
    </row>
    <row r="398" customFormat="1" spans="1:31">
      <c r="A398" s="18"/>
      <c r="B398" s="19"/>
      <c r="C398" s="20">
        <v>240613000010</v>
      </c>
      <c r="D398" s="21">
        <v>45462</v>
      </c>
      <c r="E398" s="21" t="s">
        <v>48</v>
      </c>
      <c r="F398" s="19" t="s">
        <v>49</v>
      </c>
      <c r="G398" s="19" t="s">
        <v>345</v>
      </c>
      <c r="H398" s="19">
        <v>1</v>
      </c>
      <c r="I398" s="38">
        <v>70</v>
      </c>
      <c r="J398" s="39"/>
      <c r="K398" s="40"/>
      <c r="L398" s="19"/>
      <c r="M398" s="40"/>
      <c r="N398" s="41"/>
      <c r="O398" s="42">
        <f t="shared" si="254"/>
        <v>70</v>
      </c>
      <c r="P398" s="44"/>
      <c r="Q398" s="44"/>
      <c r="R398" s="68">
        <f t="shared" si="250"/>
        <v>46.8588484335309</v>
      </c>
      <c r="S398" s="68"/>
      <c r="T398" s="69">
        <f t="shared" si="251"/>
        <v>0.0774767146486029</v>
      </c>
      <c r="U398" s="68"/>
      <c r="V398" s="68"/>
      <c r="W398" s="68">
        <f t="shared" si="245"/>
        <v>46.9363251481795</v>
      </c>
      <c r="X398" s="70">
        <f t="shared" si="252"/>
        <v>0.602658763759526</v>
      </c>
      <c r="Y398" s="70"/>
      <c r="Z398" s="70"/>
      <c r="AA398" s="70">
        <f t="shared" si="246"/>
        <v>0.602658763759526</v>
      </c>
      <c r="AB398" s="80">
        <v>7.24</v>
      </c>
      <c r="AC398" s="68">
        <f t="shared" si="244"/>
        <v>4.36324944961897</v>
      </c>
      <c r="AD398" s="68">
        <f t="shared" si="247"/>
        <v>51.2995745977985</v>
      </c>
      <c r="AE398" s="68">
        <f t="shared" si="248"/>
        <v>18.7004254022015</v>
      </c>
    </row>
    <row r="399" customFormat="1" spans="1:31">
      <c r="A399" s="18"/>
      <c r="B399" s="19"/>
      <c r="C399" s="20">
        <v>240613000020</v>
      </c>
      <c r="D399" s="21">
        <v>45462</v>
      </c>
      <c r="E399" s="21" t="s">
        <v>51</v>
      </c>
      <c r="F399" s="19" t="s">
        <v>52</v>
      </c>
      <c r="G399" s="19" t="s">
        <v>346</v>
      </c>
      <c r="H399" s="19">
        <v>4.5</v>
      </c>
      <c r="I399" s="38">
        <v>300</v>
      </c>
      <c r="J399" s="39"/>
      <c r="K399" s="40"/>
      <c r="L399" s="19"/>
      <c r="M399" s="40"/>
      <c r="N399" s="41"/>
      <c r="O399" s="42">
        <f t="shared" si="254"/>
        <v>300</v>
      </c>
      <c r="P399" s="44"/>
      <c r="Q399" s="44"/>
      <c r="R399" s="68">
        <f t="shared" si="250"/>
        <v>210.864817950889</v>
      </c>
      <c r="S399" s="68"/>
      <c r="T399" s="69">
        <f t="shared" si="251"/>
        <v>0.348645215918713</v>
      </c>
      <c r="U399" s="68"/>
      <c r="V399" s="68"/>
      <c r="W399" s="68">
        <f t="shared" si="245"/>
        <v>211.213463166808</v>
      </c>
      <c r="X399" s="70">
        <f t="shared" si="252"/>
        <v>2.71196443691787</v>
      </c>
      <c r="Y399" s="70"/>
      <c r="Z399" s="70"/>
      <c r="AA399" s="70">
        <f t="shared" si="246"/>
        <v>2.71196443691787</v>
      </c>
      <c r="AB399" s="80">
        <v>7.24</v>
      </c>
      <c r="AC399" s="68">
        <f t="shared" si="244"/>
        <v>19.6346225232854</v>
      </c>
      <c r="AD399" s="68">
        <f t="shared" si="247"/>
        <v>230.848085690093</v>
      </c>
      <c r="AE399" s="68">
        <f t="shared" si="248"/>
        <v>69.1519143099069</v>
      </c>
    </row>
    <row r="400" customFormat="1" spans="1:31">
      <c r="A400" s="18"/>
      <c r="B400" s="19"/>
      <c r="C400" s="20">
        <v>240614000001</v>
      </c>
      <c r="D400" s="21">
        <v>45462</v>
      </c>
      <c r="E400" s="21" t="s">
        <v>37</v>
      </c>
      <c r="F400" s="19" t="s">
        <v>38</v>
      </c>
      <c r="G400" s="19" t="s">
        <v>39</v>
      </c>
      <c r="H400" s="19">
        <v>6</v>
      </c>
      <c r="I400" s="38">
        <v>422.4</v>
      </c>
      <c r="J400" s="39"/>
      <c r="K400" s="40"/>
      <c r="L400" s="19"/>
      <c r="M400" s="40"/>
      <c r="N400" s="41"/>
      <c r="O400" s="42">
        <f t="shared" si="254"/>
        <v>422.4</v>
      </c>
      <c r="P400" s="44"/>
      <c r="Q400" s="44"/>
      <c r="R400" s="68">
        <f t="shared" si="250"/>
        <v>281.153090601185</v>
      </c>
      <c r="S400" s="68"/>
      <c r="T400" s="69">
        <f t="shared" si="251"/>
        <v>0.464860287891617</v>
      </c>
      <c r="U400" s="68"/>
      <c r="V400" s="68"/>
      <c r="W400" s="68">
        <f t="shared" si="245"/>
        <v>281.617950889077</v>
      </c>
      <c r="X400" s="70">
        <f t="shared" si="252"/>
        <v>3.61595258255716</v>
      </c>
      <c r="Y400" s="70"/>
      <c r="Z400" s="70"/>
      <c r="AA400" s="70">
        <f t="shared" si="246"/>
        <v>3.61595258255716</v>
      </c>
      <c r="AB400" s="80">
        <v>7.24</v>
      </c>
      <c r="AC400" s="68">
        <f t="shared" si="244"/>
        <v>26.1794966977138</v>
      </c>
      <c r="AD400" s="68">
        <f t="shared" si="247"/>
        <v>307.797447586791</v>
      </c>
      <c r="AE400" s="68">
        <f t="shared" si="248"/>
        <v>114.602552413209</v>
      </c>
    </row>
    <row r="401" customFormat="1" spans="1:31">
      <c r="A401" s="18"/>
      <c r="B401" s="19"/>
      <c r="C401" s="20">
        <v>240614000006</v>
      </c>
      <c r="D401" s="21">
        <v>45462</v>
      </c>
      <c r="E401" s="21" t="s">
        <v>136</v>
      </c>
      <c r="F401" s="19" t="s">
        <v>137</v>
      </c>
      <c r="G401" s="19" t="s">
        <v>347</v>
      </c>
      <c r="H401" s="19">
        <v>1.5</v>
      </c>
      <c r="I401" s="45"/>
      <c r="J401" s="46">
        <v>23562</v>
      </c>
      <c r="K401" s="40"/>
      <c r="L401" s="47">
        <f t="shared" ref="L401:L405" si="255">SUM(J401/M401)</f>
        <v>1521.11039380245</v>
      </c>
      <c r="M401" s="48">
        <v>15.49</v>
      </c>
      <c r="N401" s="41">
        <v>7.24</v>
      </c>
      <c r="O401" s="42">
        <f t="shared" ref="O401:O405" si="256">SUM(M401*N401)</f>
        <v>112.1476</v>
      </c>
      <c r="P401" s="44"/>
      <c r="Q401" s="44"/>
      <c r="R401" s="68">
        <f t="shared" si="250"/>
        <v>70.2882726502964</v>
      </c>
      <c r="S401" s="68"/>
      <c r="T401" s="69">
        <f t="shared" si="251"/>
        <v>0.116215071972904</v>
      </c>
      <c r="U401" s="68"/>
      <c r="V401" s="68"/>
      <c r="W401" s="68">
        <f t="shared" si="245"/>
        <v>70.4044877222693</v>
      </c>
      <c r="X401" s="70">
        <f t="shared" si="252"/>
        <v>0.903988145639289</v>
      </c>
      <c r="Y401" s="70"/>
      <c r="Z401" s="70"/>
      <c r="AA401" s="70">
        <f t="shared" si="246"/>
        <v>0.903988145639289</v>
      </c>
      <c r="AB401" s="80">
        <v>7.24</v>
      </c>
      <c r="AC401" s="68">
        <f t="shared" si="244"/>
        <v>6.54487417442845</v>
      </c>
      <c r="AD401" s="68">
        <f t="shared" si="247"/>
        <v>76.9493618966977</v>
      </c>
      <c r="AE401" s="68">
        <f t="shared" si="248"/>
        <v>35.1982381033023</v>
      </c>
    </row>
    <row r="402" customFormat="1" spans="1:31">
      <c r="A402" s="18"/>
      <c r="B402" s="19"/>
      <c r="C402" s="20">
        <v>240614000013</v>
      </c>
      <c r="D402" s="21">
        <v>45462</v>
      </c>
      <c r="E402" s="21" t="s">
        <v>41</v>
      </c>
      <c r="F402" s="19" t="s">
        <v>42</v>
      </c>
      <c r="G402" s="19" t="s">
        <v>348</v>
      </c>
      <c r="H402" s="19">
        <v>10.5</v>
      </c>
      <c r="I402" s="42"/>
      <c r="J402" s="46">
        <v>118000</v>
      </c>
      <c r="K402" s="40"/>
      <c r="L402" s="47">
        <f t="shared" si="255"/>
        <v>1514.76251604621</v>
      </c>
      <c r="M402" s="48">
        <v>77.9</v>
      </c>
      <c r="N402" s="41">
        <v>7.24</v>
      </c>
      <c r="O402" s="42">
        <f t="shared" si="256"/>
        <v>563.996</v>
      </c>
      <c r="P402" s="44"/>
      <c r="Q402" s="44"/>
      <c r="R402" s="68">
        <f t="shared" si="250"/>
        <v>492.017908552075</v>
      </c>
      <c r="S402" s="68"/>
      <c r="T402" s="69">
        <f t="shared" si="251"/>
        <v>0.81350550381033</v>
      </c>
      <c r="U402" s="68"/>
      <c r="V402" s="68"/>
      <c r="W402" s="68">
        <f t="shared" si="245"/>
        <v>492.831414055885</v>
      </c>
      <c r="X402" s="70">
        <f t="shared" si="252"/>
        <v>6.32791701947502</v>
      </c>
      <c r="Y402" s="70"/>
      <c r="Z402" s="70"/>
      <c r="AA402" s="70">
        <f t="shared" si="246"/>
        <v>6.32791701947502</v>
      </c>
      <c r="AB402" s="80">
        <v>7.24</v>
      </c>
      <c r="AC402" s="68">
        <f t="shared" si="244"/>
        <v>45.8141192209992</v>
      </c>
      <c r="AD402" s="68">
        <f t="shared" si="247"/>
        <v>538.645533276884</v>
      </c>
      <c r="AE402" s="68">
        <f t="shared" si="248"/>
        <v>25.3504667231159</v>
      </c>
    </row>
    <row r="403" customFormat="1" spans="1:31">
      <c r="A403" s="18"/>
      <c r="B403" s="19"/>
      <c r="C403" s="20">
        <v>240614000022</v>
      </c>
      <c r="D403" s="21">
        <v>45462</v>
      </c>
      <c r="E403" s="21" t="s">
        <v>44</v>
      </c>
      <c r="F403" s="19" t="s">
        <v>45</v>
      </c>
      <c r="G403" s="19" t="s">
        <v>82</v>
      </c>
      <c r="H403" s="19">
        <v>5</v>
      </c>
      <c r="I403" s="38">
        <v>366</v>
      </c>
      <c r="J403" s="39"/>
      <c r="K403" s="40"/>
      <c r="L403" s="19"/>
      <c r="M403" s="40"/>
      <c r="N403" s="41"/>
      <c r="O403" s="42">
        <f t="shared" ref="O403:O410" si="257">SUM(I403)</f>
        <v>366</v>
      </c>
      <c r="P403" s="44"/>
      <c r="Q403" s="44"/>
      <c r="R403" s="68">
        <f t="shared" si="250"/>
        <v>234.294242167655</v>
      </c>
      <c r="S403" s="68"/>
      <c r="T403" s="69">
        <f t="shared" si="251"/>
        <v>0.387383573243014</v>
      </c>
      <c r="U403" s="68"/>
      <c r="V403" s="68"/>
      <c r="W403" s="68">
        <f t="shared" si="245"/>
        <v>234.681625740898</v>
      </c>
      <c r="X403" s="70">
        <f t="shared" si="252"/>
        <v>3.01329381879763</v>
      </c>
      <c r="Y403" s="70"/>
      <c r="Z403" s="70"/>
      <c r="AA403" s="70">
        <f t="shared" si="246"/>
        <v>3.01329381879763</v>
      </c>
      <c r="AB403" s="80">
        <v>7.24</v>
      </c>
      <c r="AC403" s="68">
        <f t="shared" si="244"/>
        <v>21.8162472480948</v>
      </c>
      <c r="AD403" s="68">
        <f t="shared" si="247"/>
        <v>256.497872988992</v>
      </c>
      <c r="AE403" s="68">
        <f t="shared" si="248"/>
        <v>109.502127011008</v>
      </c>
    </row>
    <row r="404" customFormat="1" spans="1:31">
      <c r="A404" s="18"/>
      <c r="B404" s="19"/>
      <c r="C404" s="20">
        <v>240614000040</v>
      </c>
      <c r="D404" s="21">
        <v>45462</v>
      </c>
      <c r="E404" s="21" t="s">
        <v>37</v>
      </c>
      <c r="F404" s="19" t="s">
        <v>37</v>
      </c>
      <c r="G404" s="19" t="s">
        <v>202</v>
      </c>
      <c r="H404" s="19">
        <v>165.5</v>
      </c>
      <c r="I404" s="38">
        <v>9371.5</v>
      </c>
      <c r="J404" s="39"/>
      <c r="K404" s="40"/>
      <c r="L404" s="19"/>
      <c r="M404" s="40"/>
      <c r="N404" s="41"/>
      <c r="O404" s="42">
        <f t="shared" si="257"/>
        <v>9371.5</v>
      </c>
      <c r="P404" s="44"/>
      <c r="Q404" s="44"/>
      <c r="R404" s="68">
        <f t="shared" si="250"/>
        <v>7755.13941574937</v>
      </c>
      <c r="S404" s="68"/>
      <c r="T404" s="69">
        <f t="shared" si="251"/>
        <v>12.8223962743438</v>
      </c>
      <c r="U404" s="68"/>
      <c r="V404" s="68"/>
      <c r="W404" s="68">
        <f t="shared" si="245"/>
        <v>7767.96181202371</v>
      </c>
      <c r="X404" s="70">
        <f t="shared" si="252"/>
        <v>99.7400254022015</v>
      </c>
      <c r="Y404" s="70"/>
      <c r="Z404" s="70"/>
      <c r="AA404" s="70">
        <f t="shared" si="246"/>
        <v>99.7400254022015</v>
      </c>
      <c r="AB404" s="80">
        <v>7.24</v>
      </c>
      <c r="AC404" s="68">
        <f t="shared" si="244"/>
        <v>722.117783911939</v>
      </c>
      <c r="AD404" s="68">
        <f t="shared" si="247"/>
        <v>8490.07959593565</v>
      </c>
      <c r="AE404" s="68">
        <f t="shared" si="248"/>
        <v>881.420404064353</v>
      </c>
    </row>
    <row r="405" customFormat="1" spans="1:31">
      <c r="A405" s="18"/>
      <c r="B405" s="19"/>
      <c r="C405" s="20">
        <v>240614000053</v>
      </c>
      <c r="D405" s="21">
        <v>45462</v>
      </c>
      <c r="E405" s="21" t="s">
        <v>48</v>
      </c>
      <c r="F405" s="19" t="s">
        <v>49</v>
      </c>
      <c r="G405" s="19" t="s">
        <v>73</v>
      </c>
      <c r="H405" s="19">
        <v>6</v>
      </c>
      <c r="I405" s="45"/>
      <c r="J405" s="46">
        <v>75600</v>
      </c>
      <c r="K405" s="40"/>
      <c r="L405" s="47">
        <f t="shared" si="255"/>
        <v>1520.51488334674</v>
      </c>
      <c r="M405" s="48">
        <v>49.72</v>
      </c>
      <c r="N405" s="41">
        <v>7.24</v>
      </c>
      <c r="O405" s="42">
        <f t="shared" si="256"/>
        <v>359.9728</v>
      </c>
      <c r="P405" s="44"/>
      <c r="Q405" s="44"/>
      <c r="R405" s="68">
        <f t="shared" si="250"/>
        <v>281.153090601185</v>
      </c>
      <c r="S405" s="68"/>
      <c r="T405" s="69">
        <f t="shared" si="251"/>
        <v>0.464860287891617</v>
      </c>
      <c r="U405" s="68"/>
      <c r="V405" s="68"/>
      <c r="W405" s="68">
        <f t="shared" si="245"/>
        <v>281.617950889077</v>
      </c>
      <c r="X405" s="70">
        <f t="shared" si="252"/>
        <v>3.61595258255716</v>
      </c>
      <c r="Y405" s="70"/>
      <c r="Z405" s="70"/>
      <c r="AA405" s="70">
        <f t="shared" si="246"/>
        <v>3.61595258255716</v>
      </c>
      <c r="AB405" s="80">
        <v>7.24</v>
      </c>
      <c r="AC405" s="68">
        <f t="shared" si="244"/>
        <v>26.1794966977138</v>
      </c>
      <c r="AD405" s="68">
        <f t="shared" si="247"/>
        <v>307.797447586791</v>
      </c>
      <c r="AE405" s="68">
        <f t="shared" si="248"/>
        <v>52.1753524132091</v>
      </c>
    </row>
    <row r="406" customFormat="1" spans="1:31">
      <c r="A406" s="18"/>
      <c r="B406" s="19"/>
      <c r="C406" s="20">
        <v>240614000055</v>
      </c>
      <c r="D406" s="21">
        <v>45462</v>
      </c>
      <c r="E406" s="21" t="s">
        <v>48</v>
      </c>
      <c r="F406" s="19" t="s">
        <v>49</v>
      </c>
      <c r="G406" s="19" t="s">
        <v>294</v>
      </c>
      <c r="H406" s="19">
        <v>6</v>
      </c>
      <c r="I406" s="38">
        <v>396</v>
      </c>
      <c r="J406" s="39"/>
      <c r="K406" s="40"/>
      <c r="L406" s="19"/>
      <c r="M406" s="40"/>
      <c r="N406" s="41"/>
      <c r="O406" s="42">
        <f t="shared" si="257"/>
        <v>396</v>
      </c>
      <c r="P406" s="44"/>
      <c r="Q406" s="44"/>
      <c r="R406" s="68">
        <f t="shared" si="250"/>
        <v>281.153090601185</v>
      </c>
      <c r="S406" s="68"/>
      <c r="T406" s="69">
        <f t="shared" si="251"/>
        <v>0.464860287891617</v>
      </c>
      <c r="U406" s="68"/>
      <c r="V406" s="68"/>
      <c r="W406" s="68">
        <f t="shared" si="245"/>
        <v>281.617950889077</v>
      </c>
      <c r="X406" s="70">
        <f t="shared" si="252"/>
        <v>3.61595258255716</v>
      </c>
      <c r="Y406" s="70"/>
      <c r="Z406" s="70"/>
      <c r="AA406" s="70">
        <f t="shared" si="246"/>
        <v>3.61595258255716</v>
      </c>
      <c r="AB406" s="80">
        <v>7.24</v>
      </c>
      <c r="AC406" s="68">
        <f t="shared" si="244"/>
        <v>26.1794966977138</v>
      </c>
      <c r="AD406" s="68">
        <f t="shared" si="247"/>
        <v>307.797447586791</v>
      </c>
      <c r="AE406" s="68">
        <f t="shared" si="248"/>
        <v>88.2025524132091</v>
      </c>
    </row>
    <row r="407" customFormat="1" spans="1:31">
      <c r="A407" s="18"/>
      <c r="B407" s="19"/>
      <c r="C407" s="20">
        <v>240614000057</v>
      </c>
      <c r="D407" s="21">
        <v>45462</v>
      </c>
      <c r="E407" s="21" t="s">
        <v>48</v>
      </c>
      <c r="F407" s="19" t="s">
        <v>49</v>
      </c>
      <c r="G407" s="19" t="s">
        <v>183</v>
      </c>
      <c r="H407" s="19">
        <v>23.5</v>
      </c>
      <c r="I407" s="38">
        <v>1638</v>
      </c>
      <c r="J407" s="39"/>
      <c r="K407" s="40"/>
      <c r="L407" s="19"/>
      <c r="M407" s="40"/>
      <c r="N407" s="41"/>
      <c r="O407" s="42">
        <f t="shared" si="257"/>
        <v>1638</v>
      </c>
      <c r="P407" s="44"/>
      <c r="Q407" s="44"/>
      <c r="R407" s="68">
        <f t="shared" si="250"/>
        <v>1101.18293818798</v>
      </c>
      <c r="S407" s="68"/>
      <c r="T407" s="69">
        <f t="shared" si="251"/>
        <v>1.82070279424217</v>
      </c>
      <c r="U407" s="68"/>
      <c r="V407" s="68"/>
      <c r="W407" s="68">
        <f t="shared" si="245"/>
        <v>1103.00364098222</v>
      </c>
      <c r="X407" s="70">
        <f t="shared" si="252"/>
        <v>14.1624809483489</v>
      </c>
      <c r="Y407" s="70"/>
      <c r="Z407" s="70"/>
      <c r="AA407" s="70">
        <f t="shared" si="246"/>
        <v>14.1624809483489</v>
      </c>
      <c r="AB407" s="80">
        <v>7.24</v>
      </c>
      <c r="AC407" s="68">
        <f t="shared" si="244"/>
        <v>102.536362066046</v>
      </c>
      <c r="AD407" s="68">
        <f t="shared" si="247"/>
        <v>1205.54000304826</v>
      </c>
      <c r="AE407" s="68">
        <f t="shared" si="248"/>
        <v>432.459996951736</v>
      </c>
    </row>
    <row r="408" customFormat="1" spans="1:31">
      <c r="A408" s="18"/>
      <c r="B408" s="19"/>
      <c r="C408" s="20">
        <v>240618000048</v>
      </c>
      <c r="D408" s="21">
        <v>45462</v>
      </c>
      <c r="E408" s="21" t="s">
        <v>37</v>
      </c>
      <c r="F408" s="19" t="s">
        <v>37</v>
      </c>
      <c r="G408" s="19" t="s">
        <v>207</v>
      </c>
      <c r="H408" s="19">
        <v>591</v>
      </c>
      <c r="I408" s="45">
        <v>30732</v>
      </c>
      <c r="J408" s="39"/>
      <c r="K408" s="40"/>
      <c r="L408" s="19"/>
      <c r="M408" s="40"/>
      <c r="N408" s="96"/>
      <c r="O408" s="42">
        <f t="shared" si="257"/>
        <v>30732</v>
      </c>
      <c r="P408" s="49"/>
      <c r="Q408" s="49"/>
      <c r="R408" s="68">
        <f t="shared" si="250"/>
        <v>27693.5794242168</v>
      </c>
      <c r="S408" s="68"/>
      <c r="T408" s="69">
        <f t="shared" si="251"/>
        <v>45.7887383573243</v>
      </c>
      <c r="U408" s="68"/>
      <c r="V408" s="68"/>
      <c r="W408" s="68">
        <f t="shared" ref="W408:W421" si="258">SUM(R408:V408)</f>
        <v>27739.3681625741</v>
      </c>
      <c r="X408" s="70">
        <f t="shared" si="252"/>
        <v>356.17132938188</v>
      </c>
      <c r="Y408" s="70"/>
      <c r="Z408" s="70"/>
      <c r="AA408" s="70">
        <f t="shared" ref="AA408:AA434" si="259">SUM(X408:Z408)</f>
        <v>356.17132938188</v>
      </c>
      <c r="AB408" s="80">
        <v>7.24</v>
      </c>
      <c r="AC408" s="68">
        <f t="shared" ref="AC408:AC434" si="260">SUM(AA408*AB408)</f>
        <v>2578.68042472481</v>
      </c>
      <c r="AD408" s="68">
        <f t="shared" ref="AD408:AD434" si="261">SUM(W408+AC408)</f>
        <v>30318.0485872989</v>
      </c>
      <c r="AE408" s="68">
        <f t="shared" ref="AE408:AE434" si="262">SUM(O408-AD408)</f>
        <v>413.951412701095</v>
      </c>
    </row>
    <row r="409" customFormat="1" spans="1:31">
      <c r="A409" s="18" t="s">
        <v>349</v>
      </c>
      <c r="B409" s="19" t="s">
        <v>350</v>
      </c>
      <c r="C409" s="20">
        <v>240614000063</v>
      </c>
      <c r="D409" s="21">
        <v>45462</v>
      </c>
      <c r="E409" s="21" t="s">
        <v>44</v>
      </c>
      <c r="F409" s="19" t="s">
        <v>45</v>
      </c>
      <c r="G409" s="19" t="s">
        <v>215</v>
      </c>
      <c r="H409" s="19">
        <v>3</v>
      </c>
      <c r="I409" s="38">
        <v>540</v>
      </c>
      <c r="J409" s="39"/>
      <c r="K409" s="40"/>
      <c r="L409" s="19"/>
      <c r="M409" s="40"/>
      <c r="N409" s="41"/>
      <c r="O409" s="42">
        <f t="shared" si="257"/>
        <v>540</v>
      </c>
      <c r="P409" s="43">
        <f>SUM(O409:O421)</f>
        <v>7188.0512</v>
      </c>
      <c r="Q409" s="43" t="s">
        <v>40</v>
      </c>
      <c r="R409" s="68">
        <f>SUM(5000/64)*H409</f>
        <v>234.375</v>
      </c>
      <c r="S409" s="68"/>
      <c r="T409" s="69">
        <f>SUM(54.77/64)*H409</f>
        <v>2.56734375</v>
      </c>
      <c r="U409" s="68"/>
      <c r="V409" s="68"/>
      <c r="W409" s="68">
        <f t="shared" si="258"/>
        <v>236.94234375</v>
      </c>
      <c r="X409" s="70">
        <f>SUM(109.6/64)*H409</f>
        <v>5.1375</v>
      </c>
      <c r="Y409" s="70"/>
      <c r="Z409" s="70"/>
      <c r="AA409" s="70">
        <f t="shared" si="259"/>
        <v>5.1375</v>
      </c>
      <c r="AB409" s="80">
        <v>7.24</v>
      </c>
      <c r="AC409" s="68">
        <f t="shared" si="260"/>
        <v>37.1955</v>
      </c>
      <c r="AD409" s="68">
        <f t="shared" si="261"/>
        <v>274.13784375</v>
      </c>
      <c r="AE409" s="68">
        <f t="shared" si="262"/>
        <v>265.86215625</v>
      </c>
    </row>
    <row r="410" customFormat="1" spans="1:31">
      <c r="A410" s="18"/>
      <c r="B410" s="19"/>
      <c r="C410" s="20">
        <v>240615000004</v>
      </c>
      <c r="D410" s="21">
        <v>45462</v>
      </c>
      <c r="E410" s="21" t="s">
        <v>44</v>
      </c>
      <c r="F410" s="19" t="s">
        <v>45</v>
      </c>
      <c r="G410" s="19" t="s">
        <v>351</v>
      </c>
      <c r="H410" s="19">
        <v>8.5</v>
      </c>
      <c r="I410" s="38">
        <v>1530</v>
      </c>
      <c r="J410" s="39"/>
      <c r="K410" s="40"/>
      <c r="L410" s="19"/>
      <c r="M410" s="40"/>
      <c r="N410" s="41"/>
      <c r="O410" s="42">
        <f t="shared" si="257"/>
        <v>1530</v>
      </c>
      <c r="P410" s="44"/>
      <c r="Q410" s="44"/>
      <c r="R410" s="68">
        <f t="shared" ref="R410:R421" si="263">SUM(5000/64)*H410</f>
        <v>664.0625</v>
      </c>
      <c r="S410" s="68"/>
      <c r="T410" s="69">
        <f t="shared" ref="T410:T421" si="264">SUM(54.77/64)*H410</f>
        <v>7.274140625</v>
      </c>
      <c r="U410" s="68"/>
      <c r="V410" s="68"/>
      <c r="W410" s="68">
        <f t="shared" si="258"/>
        <v>671.336640625</v>
      </c>
      <c r="X410" s="70">
        <f t="shared" ref="X410:X421" si="265">SUM(109.6/64)*H410</f>
        <v>14.55625</v>
      </c>
      <c r="Y410" s="70"/>
      <c r="Z410" s="70"/>
      <c r="AA410" s="70">
        <f t="shared" si="259"/>
        <v>14.55625</v>
      </c>
      <c r="AB410" s="80">
        <v>7.24</v>
      </c>
      <c r="AC410" s="68">
        <f t="shared" si="260"/>
        <v>105.38725</v>
      </c>
      <c r="AD410" s="68">
        <f t="shared" si="261"/>
        <v>776.723890625</v>
      </c>
      <c r="AE410" s="68">
        <f t="shared" si="262"/>
        <v>753.276109375</v>
      </c>
    </row>
    <row r="411" customFormat="1" spans="1:31">
      <c r="A411" s="18"/>
      <c r="B411" s="19"/>
      <c r="C411" s="20">
        <v>240615000011</v>
      </c>
      <c r="D411" s="21">
        <v>45462</v>
      </c>
      <c r="E411" s="21" t="s">
        <v>48</v>
      </c>
      <c r="F411" s="19" t="s">
        <v>49</v>
      </c>
      <c r="G411" s="19" t="s">
        <v>73</v>
      </c>
      <c r="H411" s="19">
        <v>9</v>
      </c>
      <c r="I411" s="45"/>
      <c r="J411" s="46">
        <v>225630</v>
      </c>
      <c r="K411" s="40"/>
      <c r="L411" s="47">
        <f t="shared" ref="L411:L414" si="266">SUM(J411/M411)</f>
        <v>1578.38405036726</v>
      </c>
      <c r="M411" s="48">
        <v>142.95</v>
      </c>
      <c r="N411" s="41">
        <v>7.24</v>
      </c>
      <c r="O411" s="42">
        <f t="shared" ref="O411:O414" si="267">SUM(M411*N411)</f>
        <v>1034.958</v>
      </c>
      <c r="P411" s="44"/>
      <c r="Q411" s="44"/>
      <c r="R411" s="68">
        <f t="shared" si="263"/>
        <v>703.125</v>
      </c>
      <c r="S411" s="68"/>
      <c r="T411" s="69">
        <f t="shared" si="264"/>
        <v>7.70203125</v>
      </c>
      <c r="U411" s="68"/>
      <c r="V411" s="68"/>
      <c r="W411" s="68">
        <f t="shared" si="258"/>
        <v>710.82703125</v>
      </c>
      <c r="X411" s="70">
        <f t="shared" si="265"/>
        <v>15.4125</v>
      </c>
      <c r="Y411" s="70"/>
      <c r="Z411" s="70"/>
      <c r="AA411" s="70">
        <f t="shared" si="259"/>
        <v>15.4125</v>
      </c>
      <c r="AB411" s="80">
        <v>7.24</v>
      </c>
      <c r="AC411" s="68">
        <f t="shared" si="260"/>
        <v>111.5865</v>
      </c>
      <c r="AD411" s="68">
        <f t="shared" si="261"/>
        <v>822.41353125</v>
      </c>
      <c r="AE411" s="68">
        <f t="shared" si="262"/>
        <v>212.54446875</v>
      </c>
    </row>
    <row r="412" customFormat="1" spans="1:31">
      <c r="A412" s="18"/>
      <c r="B412" s="19"/>
      <c r="C412" s="20">
        <v>240616000013</v>
      </c>
      <c r="D412" s="21">
        <v>45462</v>
      </c>
      <c r="E412" s="21" t="s">
        <v>41</v>
      </c>
      <c r="F412" s="19" t="s">
        <v>42</v>
      </c>
      <c r="G412" s="19" t="s">
        <v>298</v>
      </c>
      <c r="H412" s="19">
        <v>2.5</v>
      </c>
      <c r="I412" s="38">
        <v>300</v>
      </c>
      <c r="J412" s="39"/>
      <c r="K412" s="40"/>
      <c r="L412" s="19"/>
      <c r="M412" s="40"/>
      <c r="N412" s="41"/>
      <c r="O412" s="42">
        <f t="shared" ref="O412:O421" si="268">SUM(I412)</f>
        <v>300</v>
      </c>
      <c r="P412" s="44"/>
      <c r="Q412" s="44"/>
      <c r="R412" s="68">
        <f t="shared" si="263"/>
        <v>195.3125</v>
      </c>
      <c r="S412" s="68"/>
      <c r="T412" s="69">
        <f t="shared" si="264"/>
        <v>2.139453125</v>
      </c>
      <c r="U412" s="68"/>
      <c r="V412" s="68"/>
      <c r="W412" s="68">
        <f t="shared" si="258"/>
        <v>197.451953125</v>
      </c>
      <c r="X412" s="70">
        <f t="shared" si="265"/>
        <v>4.28125</v>
      </c>
      <c r="Y412" s="70"/>
      <c r="Z412" s="70"/>
      <c r="AA412" s="70">
        <f t="shared" si="259"/>
        <v>4.28125</v>
      </c>
      <c r="AB412" s="80">
        <v>7.24</v>
      </c>
      <c r="AC412" s="68">
        <f t="shared" si="260"/>
        <v>30.99625</v>
      </c>
      <c r="AD412" s="68">
        <f t="shared" si="261"/>
        <v>228.448203125</v>
      </c>
      <c r="AE412" s="68">
        <f t="shared" si="262"/>
        <v>71.551796875</v>
      </c>
    </row>
    <row r="413" customFormat="1" spans="1:31">
      <c r="A413" s="18"/>
      <c r="B413" s="19"/>
      <c r="C413" s="20">
        <v>240616000017</v>
      </c>
      <c r="D413" s="21">
        <v>45462</v>
      </c>
      <c r="E413" s="21" t="s">
        <v>51</v>
      </c>
      <c r="F413" s="19" t="s">
        <v>315</v>
      </c>
      <c r="G413" s="19" t="s">
        <v>316</v>
      </c>
      <c r="H413" s="19">
        <v>2.5</v>
      </c>
      <c r="I413" s="42"/>
      <c r="J413" s="46">
        <v>59974.86</v>
      </c>
      <c r="K413" s="40"/>
      <c r="L413" s="47">
        <f t="shared" si="266"/>
        <v>1502</v>
      </c>
      <c r="M413" s="48">
        <v>39.93</v>
      </c>
      <c r="N413" s="41">
        <v>7.24</v>
      </c>
      <c r="O413" s="42">
        <f t="shared" si="267"/>
        <v>289.0932</v>
      </c>
      <c r="P413" s="44"/>
      <c r="Q413" s="44"/>
      <c r="R413" s="68">
        <f t="shared" si="263"/>
        <v>195.3125</v>
      </c>
      <c r="S413" s="68"/>
      <c r="T413" s="69">
        <f t="shared" si="264"/>
        <v>2.139453125</v>
      </c>
      <c r="U413" s="68"/>
      <c r="V413" s="68"/>
      <c r="W413" s="68">
        <f t="shared" si="258"/>
        <v>197.451953125</v>
      </c>
      <c r="X413" s="70">
        <f t="shared" si="265"/>
        <v>4.28125</v>
      </c>
      <c r="Y413" s="70"/>
      <c r="Z413" s="70"/>
      <c r="AA413" s="70">
        <f t="shared" si="259"/>
        <v>4.28125</v>
      </c>
      <c r="AB413" s="80">
        <v>7.24</v>
      </c>
      <c r="AC413" s="68">
        <f t="shared" si="260"/>
        <v>30.99625</v>
      </c>
      <c r="AD413" s="68">
        <f t="shared" si="261"/>
        <v>228.448203125</v>
      </c>
      <c r="AE413" s="68">
        <f t="shared" si="262"/>
        <v>60.644996875</v>
      </c>
    </row>
    <row r="414" customFormat="1" spans="1:31">
      <c r="A414" s="18"/>
      <c r="B414" s="19"/>
      <c r="C414" s="20">
        <v>240616000018</v>
      </c>
      <c r="D414" s="21">
        <v>45462</v>
      </c>
      <c r="E414" s="21" t="s">
        <v>44</v>
      </c>
      <c r="F414" s="19" t="s">
        <v>45</v>
      </c>
      <c r="G414" s="19" t="s">
        <v>352</v>
      </c>
      <c r="H414" s="19">
        <v>6</v>
      </c>
      <c r="I414" s="42"/>
      <c r="J414" s="46">
        <v>150200</v>
      </c>
      <c r="K414" s="40"/>
      <c r="L414" s="47">
        <f t="shared" si="266"/>
        <v>1502</v>
      </c>
      <c r="M414" s="48">
        <v>100</v>
      </c>
      <c r="N414" s="41">
        <v>7.24</v>
      </c>
      <c r="O414" s="42">
        <f t="shared" si="267"/>
        <v>724</v>
      </c>
      <c r="P414" s="44"/>
      <c r="Q414" s="44"/>
      <c r="R414" s="68">
        <f t="shared" si="263"/>
        <v>468.75</v>
      </c>
      <c r="S414" s="68"/>
      <c r="T414" s="69">
        <f t="shared" si="264"/>
        <v>5.1346875</v>
      </c>
      <c r="U414" s="68"/>
      <c r="V414" s="68"/>
      <c r="W414" s="68">
        <f t="shared" si="258"/>
        <v>473.8846875</v>
      </c>
      <c r="X414" s="70">
        <f t="shared" si="265"/>
        <v>10.275</v>
      </c>
      <c r="Y414" s="70"/>
      <c r="Z414" s="70"/>
      <c r="AA414" s="70">
        <f t="shared" si="259"/>
        <v>10.275</v>
      </c>
      <c r="AB414" s="80">
        <v>7.24</v>
      </c>
      <c r="AC414" s="68">
        <f t="shared" si="260"/>
        <v>74.391</v>
      </c>
      <c r="AD414" s="68">
        <f t="shared" si="261"/>
        <v>548.2756875</v>
      </c>
      <c r="AE414" s="68">
        <f t="shared" si="262"/>
        <v>175.7243125</v>
      </c>
    </row>
    <row r="415" customFormat="1" spans="1:31">
      <c r="A415" s="18"/>
      <c r="B415" s="19"/>
      <c r="C415" s="20">
        <v>240617000004</v>
      </c>
      <c r="D415" s="21">
        <v>45462</v>
      </c>
      <c r="E415" s="21" t="s">
        <v>136</v>
      </c>
      <c r="F415" s="19" t="s">
        <v>137</v>
      </c>
      <c r="G415" s="19" t="s">
        <v>353</v>
      </c>
      <c r="H415" s="19">
        <v>10</v>
      </c>
      <c r="I415" s="38">
        <v>1150</v>
      </c>
      <c r="J415" s="39"/>
      <c r="K415" s="40"/>
      <c r="L415" s="19"/>
      <c r="M415" s="40"/>
      <c r="N415" s="41"/>
      <c r="O415" s="42">
        <f t="shared" si="268"/>
        <v>1150</v>
      </c>
      <c r="P415" s="44"/>
      <c r="Q415" s="44"/>
      <c r="R415" s="68">
        <f t="shared" si="263"/>
        <v>781.25</v>
      </c>
      <c r="S415" s="68"/>
      <c r="T415" s="69">
        <f t="shared" si="264"/>
        <v>8.5578125</v>
      </c>
      <c r="U415" s="68"/>
      <c r="V415" s="68"/>
      <c r="W415" s="68">
        <f t="shared" si="258"/>
        <v>789.8078125</v>
      </c>
      <c r="X415" s="70">
        <f t="shared" si="265"/>
        <v>17.125</v>
      </c>
      <c r="Y415" s="70"/>
      <c r="Z415" s="70"/>
      <c r="AA415" s="70">
        <f t="shared" si="259"/>
        <v>17.125</v>
      </c>
      <c r="AB415" s="80">
        <v>7.24</v>
      </c>
      <c r="AC415" s="68">
        <f t="shared" si="260"/>
        <v>123.985</v>
      </c>
      <c r="AD415" s="68">
        <f t="shared" si="261"/>
        <v>913.7928125</v>
      </c>
      <c r="AE415" s="68">
        <f t="shared" si="262"/>
        <v>236.2071875</v>
      </c>
    </row>
    <row r="416" customFormat="1" spans="1:31">
      <c r="A416" s="18"/>
      <c r="B416" s="19"/>
      <c r="C416" s="20">
        <v>240617000009</v>
      </c>
      <c r="D416" s="21">
        <v>45462</v>
      </c>
      <c r="E416" s="21" t="s">
        <v>264</v>
      </c>
      <c r="F416" s="19" t="s">
        <v>37</v>
      </c>
      <c r="G416" s="19" t="s">
        <v>265</v>
      </c>
      <c r="H416" s="19">
        <v>0.7</v>
      </c>
      <c r="I416" s="38">
        <v>160</v>
      </c>
      <c r="J416" s="39"/>
      <c r="K416" s="40"/>
      <c r="L416" s="19"/>
      <c r="M416" s="40"/>
      <c r="N416" s="41"/>
      <c r="O416" s="42">
        <f t="shared" si="268"/>
        <v>160</v>
      </c>
      <c r="P416" s="44"/>
      <c r="Q416" s="44"/>
      <c r="R416" s="68">
        <f t="shared" si="263"/>
        <v>54.6875</v>
      </c>
      <c r="S416" s="68"/>
      <c r="T416" s="69">
        <f t="shared" si="264"/>
        <v>0.599046875</v>
      </c>
      <c r="U416" s="68"/>
      <c r="V416" s="68"/>
      <c r="W416" s="68">
        <f t="shared" si="258"/>
        <v>55.286546875</v>
      </c>
      <c r="X416" s="70">
        <f t="shared" si="265"/>
        <v>1.19875</v>
      </c>
      <c r="Y416" s="70"/>
      <c r="Z416" s="70"/>
      <c r="AA416" s="70">
        <f t="shared" si="259"/>
        <v>1.19875</v>
      </c>
      <c r="AB416" s="80">
        <v>7.24</v>
      </c>
      <c r="AC416" s="68">
        <f t="shared" si="260"/>
        <v>8.67895</v>
      </c>
      <c r="AD416" s="68">
        <f t="shared" si="261"/>
        <v>63.965496875</v>
      </c>
      <c r="AE416" s="68">
        <f t="shared" si="262"/>
        <v>96.034503125</v>
      </c>
    </row>
    <row r="417" customFormat="1" spans="1:31">
      <c r="A417" s="18"/>
      <c r="B417" s="19"/>
      <c r="C417" s="20">
        <v>240617000030</v>
      </c>
      <c r="D417" s="21">
        <v>45462</v>
      </c>
      <c r="E417" s="21" t="s">
        <v>48</v>
      </c>
      <c r="F417" s="19" t="s">
        <v>49</v>
      </c>
      <c r="G417" s="19" t="s">
        <v>335</v>
      </c>
      <c r="H417" s="19">
        <v>5.5</v>
      </c>
      <c r="I417" s="38">
        <v>660</v>
      </c>
      <c r="J417" s="39"/>
      <c r="K417" s="40"/>
      <c r="L417" s="19"/>
      <c r="M417" s="40"/>
      <c r="N417" s="41"/>
      <c r="O417" s="42">
        <f t="shared" si="268"/>
        <v>660</v>
      </c>
      <c r="P417" s="44"/>
      <c r="Q417" s="44"/>
      <c r="R417" s="68">
        <f t="shared" si="263"/>
        <v>429.6875</v>
      </c>
      <c r="S417" s="68"/>
      <c r="T417" s="69">
        <f t="shared" si="264"/>
        <v>4.706796875</v>
      </c>
      <c r="U417" s="68"/>
      <c r="V417" s="68"/>
      <c r="W417" s="68">
        <f t="shared" si="258"/>
        <v>434.394296875</v>
      </c>
      <c r="X417" s="70">
        <f t="shared" si="265"/>
        <v>9.41875</v>
      </c>
      <c r="Y417" s="70"/>
      <c r="Z417" s="70"/>
      <c r="AA417" s="70">
        <f t="shared" si="259"/>
        <v>9.41875</v>
      </c>
      <c r="AB417" s="80">
        <v>7.24</v>
      </c>
      <c r="AC417" s="68">
        <f t="shared" si="260"/>
        <v>68.19175</v>
      </c>
      <c r="AD417" s="68">
        <f t="shared" si="261"/>
        <v>502.586046875</v>
      </c>
      <c r="AE417" s="68">
        <f t="shared" si="262"/>
        <v>157.413953125</v>
      </c>
    </row>
    <row r="418" customFormat="1" spans="1:31">
      <c r="A418" s="18"/>
      <c r="B418" s="19"/>
      <c r="C418" s="20">
        <v>240618000006</v>
      </c>
      <c r="D418" s="21">
        <v>45462</v>
      </c>
      <c r="E418" s="21" t="s">
        <v>41</v>
      </c>
      <c r="F418" s="19" t="s">
        <v>42</v>
      </c>
      <c r="G418" s="19" t="s">
        <v>354</v>
      </c>
      <c r="H418" s="19">
        <v>1.5</v>
      </c>
      <c r="I418" s="38">
        <v>225</v>
      </c>
      <c r="J418" s="39"/>
      <c r="K418" s="40"/>
      <c r="L418" s="19"/>
      <c r="M418" s="40"/>
      <c r="N418" s="41"/>
      <c r="O418" s="42">
        <f t="shared" si="268"/>
        <v>225</v>
      </c>
      <c r="P418" s="44"/>
      <c r="Q418" s="44"/>
      <c r="R418" s="68">
        <f t="shared" si="263"/>
        <v>117.1875</v>
      </c>
      <c r="S418" s="68"/>
      <c r="T418" s="69">
        <f t="shared" si="264"/>
        <v>1.283671875</v>
      </c>
      <c r="U418" s="68"/>
      <c r="V418" s="68"/>
      <c r="W418" s="68">
        <f t="shared" si="258"/>
        <v>118.471171875</v>
      </c>
      <c r="X418" s="70">
        <f t="shared" si="265"/>
        <v>2.56875</v>
      </c>
      <c r="Y418" s="70"/>
      <c r="Z418" s="70"/>
      <c r="AA418" s="70">
        <f t="shared" si="259"/>
        <v>2.56875</v>
      </c>
      <c r="AB418" s="80">
        <v>7.24</v>
      </c>
      <c r="AC418" s="68">
        <f t="shared" si="260"/>
        <v>18.59775</v>
      </c>
      <c r="AD418" s="68">
        <f t="shared" si="261"/>
        <v>137.068921875</v>
      </c>
      <c r="AE418" s="68">
        <f t="shared" si="262"/>
        <v>87.931078125</v>
      </c>
    </row>
    <row r="419" customFormat="1" spans="1:31">
      <c r="A419" s="18"/>
      <c r="B419" s="19"/>
      <c r="C419" s="20">
        <v>240618000043</v>
      </c>
      <c r="D419" s="21">
        <v>45462</v>
      </c>
      <c r="E419" s="21" t="s">
        <v>44</v>
      </c>
      <c r="F419" s="19" t="s">
        <v>45</v>
      </c>
      <c r="G419" s="19" t="s">
        <v>351</v>
      </c>
      <c r="H419" s="19">
        <v>2</v>
      </c>
      <c r="I419" s="38">
        <v>230</v>
      </c>
      <c r="J419" s="39"/>
      <c r="K419" s="40"/>
      <c r="L419" s="19"/>
      <c r="M419" s="40"/>
      <c r="N419" s="41"/>
      <c r="O419" s="42">
        <f t="shared" si="268"/>
        <v>230</v>
      </c>
      <c r="P419" s="44"/>
      <c r="Q419" s="44"/>
      <c r="R419" s="68">
        <f t="shared" si="263"/>
        <v>156.25</v>
      </c>
      <c r="S419" s="68"/>
      <c r="T419" s="69">
        <f t="shared" si="264"/>
        <v>1.7115625</v>
      </c>
      <c r="U419" s="68"/>
      <c r="V419" s="68"/>
      <c r="W419" s="68">
        <f t="shared" si="258"/>
        <v>157.9615625</v>
      </c>
      <c r="X419" s="70">
        <f t="shared" si="265"/>
        <v>3.425</v>
      </c>
      <c r="Y419" s="70"/>
      <c r="Z419" s="70"/>
      <c r="AA419" s="70">
        <f t="shared" si="259"/>
        <v>3.425</v>
      </c>
      <c r="AB419" s="80">
        <v>7.24</v>
      </c>
      <c r="AC419" s="68">
        <f t="shared" si="260"/>
        <v>24.797</v>
      </c>
      <c r="AD419" s="68">
        <f t="shared" si="261"/>
        <v>182.7585625</v>
      </c>
      <c r="AE419" s="68">
        <f t="shared" si="262"/>
        <v>47.2414375</v>
      </c>
    </row>
    <row r="420" customFormat="1" spans="1:31">
      <c r="A420" s="18"/>
      <c r="B420" s="19"/>
      <c r="C420" s="20">
        <v>240618000053</v>
      </c>
      <c r="D420" s="21">
        <v>45462</v>
      </c>
      <c r="E420" s="21" t="s">
        <v>37</v>
      </c>
      <c r="F420" s="19" t="s">
        <v>37</v>
      </c>
      <c r="G420" s="19" t="s">
        <v>299</v>
      </c>
      <c r="H420" s="19">
        <v>0.56</v>
      </c>
      <c r="I420" s="38">
        <v>115</v>
      </c>
      <c r="J420" s="39"/>
      <c r="K420" s="40"/>
      <c r="L420" s="19"/>
      <c r="M420" s="40"/>
      <c r="N420" s="41"/>
      <c r="O420" s="42">
        <f t="shared" si="268"/>
        <v>115</v>
      </c>
      <c r="P420" s="44"/>
      <c r="Q420" s="44"/>
      <c r="R420" s="68">
        <f t="shared" si="263"/>
        <v>43.75</v>
      </c>
      <c r="S420" s="68"/>
      <c r="T420" s="69">
        <f t="shared" si="264"/>
        <v>0.4792375</v>
      </c>
      <c r="U420" s="68"/>
      <c r="V420" s="68"/>
      <c r="W420" s="68">
        <f t="shared" ref="W420:W434" si="269">SUM(R420:V420)</f>
        <v>44.2292375</v>
      </c>
      <c r="X420" s="70">
        <f t="shared" si="265"/>
        <v>0.959</v>
      </c>
      <c r="Y420" s="70"/>
      <c r="Z420" s="70"/>
      <c r="AA420" s="70">
        <f t="shared" si="259"/>
        <v>0.959</v>
      </c>
      <c r="AB420" s="80">
        <v>7.24</v>
      </c>
      <c r="AC420" s="68">
        <f t="shared" si="260"/>
        <v>6.94316</v>
      </c>
      <c r="AD420" s="68">
        <f t="shared" si="261"/>
        <v>51.1723975</v>
      </c>
      <c r="AE420" s="68">
        <f t="shared" si="262"/>
        <v>63.8276025</v>
      </c>
    </row>
    <row r="421" customFormat="1" spans="1:31">
      <c r="A421" s="18"/>
      <c r="B421" s="19"/>
      <c r="C421" s="20">
        <v>240619000012</v>
      </c>
      <c r="D421" s="21">
        <v>45462</v>
      </c>
      <c r="E421" s="21" t="s">
        <v>44</v>
      </c>
      <c r="F421" s="19" t="s">
        <v>45</v>
      </c>
      <c r="G421" s="19" t="s">
        <v>318</v>
      </c>
      <c r="H421" s="19">
        <v>2</v>
      </c>
      <c r="I421" s="38">
        <v>230</v>
      </c>
      <c r="J421" s="39"/>
      <c r="K421" s="40"/>
      <c r="L421" s="19"/>
      <c r="M421" s="40"/>
      <c r="N421" s="96"/>
      <c r="O421" s="42">
        <f t="shared" si="268"/>
        <v>230</v>
      </c>
      <c r="P421" s="49"/>
      <c r="Q421" s="49"/>
      <c r="R421" s="68">
        <f t="shared" si="263"/>
        <v>156.25</v>
      </c>
      <c r="S421" s="68"/>
      <c r="T421" s="69">
        <f t="shared" si="264"/>
        <v>1.7115625</v>
      </c>
      <c r="U421" s="68"/>
      <c r="V421" s="68"/>
      <c r="W421" s="68">
        <f t="shared" si="269"/>
        <v>157.9615625</v>
      </c>
      <c r="X421" s="70">
        <f t="shared" si="265"/>
        <v>3.425</v>
      </c>
      <c r="Y421" s="70"/>
      <c r="Z421" s="70"/>
      <c r="AA421" s="70">
        <f t="shared" si="259"/>
        <v>3.425</v>
      </c>
      <c r="AB421" s="80">
        <v>7.24</v>
      </c>
      <c r="AC421" s="68">
        <f t="shared" si="260"/>
        <v>24.797</v>
      </c>
      <c r="AD421" s="68">
        <f t="shared" si="261"/>
        <v>182.7585625</v>
      </c>
      <c r="AE421" s="68">
        <f t="shared" si="262"/>
        <v>47.2414375</v>
      </c>
    </row>
    <row r="422" customFormat="1" spans="1:31">
      <c r="A422" s="99" t="s">
        <v>355</v>
      </c>
      <c r="B422" s="100" t="s">
        <v>356</v>
      </c>
      <c r="C422" s="101">
        <v>240226000039</v>
      </c>
      <c r="D422" s="21">
        <v>45464</v>
      </c>
      <c r="E422" s="21" t="s">
        <v>136</v>
      </c>
      <c r="F422" s="100" t="s">
        <v>137</v>
      </c>
      <c r="G422" s="100" t="s">
        <v>305</v>
      </c>
      <c r="H422" s="100">
        <v>4.13</v>
      </c>
      <c r="I422" s="105"/>
      <c r="J422" s="46">
        <v>2985976</v>
      </c>
      <c r="K422" s="106"/>
      <c r="L422" s="100"/>
      <c r="M422" s="107">
        <v>1987.999</v>
      </c>
      <c r="N422" s="88">
        <v>7.24</v>
      </c>
      <c r="O422" s="89">
        <f>SUM(M422*N422)</f>
        <v>14393.11276</v>
      </c>
      <c r="P422" s="90">
        <f t="shared" ref="P422:P434" si="270">SUM(O422)</f>
        <v>14393.11276</v>
      </c>
      <c r="Q422" s="90" t="s">
        <v>229</v>
      </c>
      <c r="R422" s="92">
        <v>8499.54</v>
      </c>
      <c r="S422" s="92"/>
      <c r="T422" s="90">
        <v>202.8</v>
      </c>
      <c r="U422" s="92">
        <f>SUM(370+440)</f>
        <v>810</v>
      </c>
      <c r="V422" s="92">
        <v>90</v>
      </c>
      <c r="W422" s="68">
        <f t="shared" si="269"/>
        <v>9602.34</v>
      </c>
      <c r="X422" s="93"/>
      <c r="Y422" s="93"/>
      <c r="Z422" s="93"/>
      <c r="AA422" s="70">
        <f t="shared" si="259"/>
        <v>0</v>
      </c>
      <c r="AB422" s="80">
        <v>7.24</v>
      </c>
      <c r="AC422" s="68">
        <f t="shared" si="260"/>
        <v>0</v>
      </c>
      <c r="AD422" s="68">
        <f t="shared" si="261"/>
        <v>9602.34</v>
      </c>
      <c r="AE422" s="68">
        <f t="shared" si="262"/>
        <v>4790.77276</v>
      </c>
    </row>
    <row r="423" customFormat="1" spans="1:31">
      <c r="A423" s="18" t="s">
        <v>357</v>
      </c>
      <c r="B423" s="19" t="s">
        <v>358</v>
      </c>
      <c r="C423" s="20">
        <v>240314000029</v>
      </c>
      <c r="D423" s="21">
        <v>45464</v>
      </c>
      <c r="E423" s="21" t="s">
        <v>37</v>
      </c>
      <c r="F423" s="19" t="s">
        <v>37</v>
      </c>
      <c r="G423" s="19" t="s">
        <v>359</v>
      </c>
      <c r="H423" s="19">
        <v>0.0453</v>
      </c>
      <c r="I423" s="38">
        <v>233</v>
      </c>
      <c r="J423" s="39"/>
      <c r="K423" s="40"/>
      <c r="L423" s="19"/>
      <c r="M423" s="40"/>
      <c r="N423" s="41"/>
      <c r="O423" s="89">
        <f t="shared" ref="O423:O428" si="271">SUM(I423)</f>
        <v>233</v>
      </c>
      <c r="P423" s="90">
        <f t="shared" si="270"/>
        <v>233</v>
      </c>
      <c r="Q423" s="90" t="s">
        <v>229</v>
      </c>
      <c r="R423" s="92">
        <v>73.28</v>
      </c>
      <c r="S423" s="92"/>
      <c r="T423" s="90"/>
      <c r="U423" s="92"/>
      <c r="V423" s="92">
        <v>35</v>
      </c>
      <c r="W423" s="68">
        <f t="shared" si="269"/>
        <v>108.28</v>
      </c>
      <c r="X423" s="93"/>
      <c r="Y423" s="93"/>
      <c r="Z423" s="93"/>
      <c r="AA423" s="70">
        <f t="shared" si="259"/>
        <v>0</v>
      </c>
      <c r="AB423" s="80">
        <v>7.24</v>
      </c>
      <c r="AC423" s="68">
        <f t="shared" si="260"/>
        <v>0</v>
      </c>
      <c r="AD423" s="68">
        <f t="shared" si="261"/>
        <v>108.28</v>
      </c>
      <c r="AE423" s="68">
        <f t="shared" si="262"/>
        <v>124.72</v>
      </c>
    </row>
    <row r="424" customFormat="1" spans="1:31">
      <c r="A424" s="18"/>
      <c r="B424" s="19"/>
      <c r="C424" s="20">
        <v>240409000026</v>
      </c>
      <c r="D424" s="21">
        <v>45464</v>
      </c>
      <c r="E424" s="21" t="s">
        <v>37</v>
      </c>
      <c r="F424" s="19" t="s">
        <v>37</v>
      </c>
      <c r="G424" s="19" t="s">
        <v>228</v>
      </c>
      <c r="H424" s="19">
        <v>8.1034</v>
      </c>
      <c r="I424" s="38">
        <v>19851.2</v>
      </c>
      <c r="J424" s="39"/>
      <c r="K424" s="40"/>
      <c r="L424" s="19"/>
      <c r="M424" s="40"/>
      <c r="N424" s="41"/>
      <c r="O424" s="89">
        <f t="shared" si="271"/>
        <v>19851.2</v>
      </c>
      <c r="P424" s="90">
        <f t="shared" si="270"/>
        <v>19851.2</v>
      </c>
      <c r="Q424" s="90" t="s">
        <v>229</v>
      </c>
      <c r="R424" s="92">
        <v>15485.57</v>
      </c>
      <c r="S424" s="92"/>
      <c r="T424" s="90">
        <v>202.8</v>
      </c>
      <c r="U424" s="92"/>
      <c r="V424" s="92"/>
      <c r="W424" s="68">
        <f t="shared" si="269"/>
        <v>15688.37</v>
      </c>
      <c r="X424" s="93">
        <v>276.3</v>
      </c>
      <c r="Y424" s="93"/>
      <c r="Z424" s="93"/>
      <c r="AA424" s="70">
        <f t="shared" si="259"/>
        <v>276.3</v>
      </c>
      <c r="AB424" s="80">
        <v>7.24</v>
      </c>
      <c r="AC424" s="68">
        <f t="shared" si="260"/>
        <v>2000.412</v>
      </c>
      <c r="AD424" s="68">
        <f t="shared" si="261"/>
        <v>17688.782</v>
      </c>
      <c r="AE424" s="68">
        <f t="shared" si="262"/>
        <v>2162.418</v>
      </c>
    </row>
    <row r="425" customFormat="1" spans="1:31">
      <c r="A425" s="18"/>
      <c r="B425" s="19"/>
      <c r="C425" s="20">
        <v>240604000024</v>
      </c>
      <c r="D425" s="21">
        <v>45464</v>
      </c>
      <c r="E425" s="21" t="s">
        <v>37</v>
      </c>
      <c r="F425" s="19" t="s">
        <v>37</v>
      </c>
      <c r="G425" s="19" t="s">
        <v>360</v>
      </c>
      <c r="H425" s="19">
        <v>0.8146</v>
      </c>
      <c r="I425" s="38">
        <v>2387.56</v>
      </c>
      <c r="J425" s="39"/>
      <c r="K425" s="40"/>
      <c r="L425" s="19"/>
      <c r="M425" s="40"/>
      <c r="N425" s="41"/>
      <c r="O425" s="89">
        <f t="shared" si="271"/>
        <v>2387.56</v>
      </c>
      <c r="P425" s="90">
        <f t="shared" si="270"/>
        <v>2387.56</v>
      </c>
      <c r="Q425" s="90" t="s">
        <v>229</v>
      </c>
      <c r="R425" s="92">
        <v>1317.19</v>
      </c>
      <c r="S425" s="92"/>
      <c r="T425" s="90"/>
      <c r="U425" s="92"/>
      <c r="V425" s="92"/>
      <c r="W425" s="68">
        <f t="shared" si="269"/>
        <v>1317.19</v>
      </c>
      <c r="X425" s="93"/>
      <c r="Y425" s="93"/>
      <c r="Z425" s="93"/>
      <c r="AA425" s="70">
        <f t="shared" si="259"/>
        <v>0</v>
      </c>
      <c r="AB425" s="80">
        <v>7.24</v>
      </c>
      <c r="AC425" s="68">
        <f t="shared" si="260"/>
        <v>0</v>
      </c>
      <c r="AD425" s="68">
        <f t="shared" si="261"/>
        <v>1317.19</v>
      </c>
      <c r="AE425" s="68">
        <f t="shared" si="262"/>
        <v>1070.37</v>
      </c>
    </row>
    <row r="426" customFormat="1" spans="1:31">
      <c r="A426" s="18"/>
      <c r="B426" s="19"/>
      <c r="C426" s="20">
        <v>240620000011</v>
      </c>
      <c r="D426" s="21">
        <v>45464</v>
      </c>
      <c r="E426" s="21" t="s">
        <v>37</v>
      </c>
      <c r="F426" s="19" t="s">
        <v>37</v>
      </c>
      <c r="G426" s="19" t="s">
        <v>228</v>
      </c>
      <c r="H426" s="19">
        <v>1.7372</v>
      </c>
      <c r="I426" s="38">
        <v>5934</v>
      </c>
      <c r="J426" s="39"/>
      <c r="K426" s="40"/>
      <c r="L426" s="19"/>
      <c r="M426" s="40"/>
      <c r="N426" s="41"/>
      <c r="O426" s="89">
        <f t="shared" si="271"/>
        <v>5934</v>
      </c>
      <c r="P426" s="90">
        <f t="shared" si="270"/>
        <v>5934</v>
      </c>
      <c r="Q426" s="90" t="s">
        <v>229</v>
      </c>
      <c r="R426" s="92">
        <v>4724.28</v>
      </c>
      <c r="S426" s="92"/>
      <c r="T426" s="90"/>
      <c r="U426" s="92"/>
      <c r="V426" s="92"/>
      <c r="W426" s="68">
        <f t="shared" si="269"/>
        <v>4724.28</v>
      </c>
      <c r="X426" s="93"/>
      <c r="Y426" s="93"/>
      <c r="Z426" s="93"/>
      <c r="AA426" s="70">
        <f t="shared" si="259"/>
        <v>0</v>
      </c>
      <c r="AB426" s="80">
        <v>7.24</v>
      </c>
      <c r="AC426" s="68">
        <f t="shared" si="260"/>
        <v>0</v>
      </c>
      <c r="AD426" s="68">
        <f t="shared" si="261"/>
        <v>4724.28</v>
      </c>
      <c r="AE426" s="68">
        <f t="shared" si="262"/>
        <v>1209.72</v>
      </c>
    </row>
    <row r="427" customFormat="1" spans="1:31">
      <c r="A427" s="18" t="s">
        <v>361</v>
      </c>
      <c r="B427" s="19" t="s">
        <v>362</v>
      </c>
      <c r="C427" s="20">
        <v>240401000053</v>
      </c>
      <c r="D427" s="21">
        <v>45464</v>
      </c>
      <c r="E427" s="21" t="s">
        <v>48</v>
      </c>
      <c r="F427" s="19" t="s">
        <v>49</v>
      </c>
      <c r="G427" s="19" t="s">
        <v>63</v>
      </c>
      <c r="H427" s="19">
        <v>3.8318</v>
      </c>
      <c r="I427" s="45"/>
      <c r="J427" s="46">
        <v>2398398</v>
      </c>
      <c r="K427" s="40"/>
      <c r="L427" s="47">
        <f>SUM(J427/M427)</f>
        <v>1643.48129976565</v>
      </c>
      <c r="M427" s="48">
        <v>1459.34</v>
      </c>
      <c r="N427" s="41">
        <v>7.24</v>
      </c>
      <c r="O427" s="89">
        <f>SUM(M427*N427)</f>
        <v>10565.6216</v>
      </c>
      <c r="P427" s="90">
        <f t="shared" si="270"/>
        <v>10565.6216</v>
      </c>
      <c r="Q427" s="90" t="s">
        <v>229</v>
      </c>
      <c r="R427" s="92">
        <v>7885.82</v>
      </c>
      <c r="S427" s="92"/>
      <c r="T427" s="90">
        <v>194.06</v>
      </c>
      <c r="U427" s="92">
        <v>510</v>
      </c>
      <c r="V427" s="92"/>
      <c r="W427" s="68">
        <f t="shared" si="269"/>
        <v>8589.88</v>
      </c>
      <c r="X427" s="93"/>
      <c r="Y427" s="93"/>
      <c r="Z427" s="93"/>
      <c r="AA427" s="70">
        <f t="shared" si="259"/>
        <v>0</v>
      </c>
      <c r="AB427" s="80">
        <v>7.24</v>
      </c>
      <c r="AC427" s="68">
        <f t="shared" si="260"/>
        <v>0</v>
      </c>
      <c r="AD427" s="68">
        <f t="shared" si="261"/>
        <v>8589.88</v>
      </c>
      <c r="AE427" s="68">
        <f t="shared" si="262"/>
        <v>1975.7416</v>
      </c>
    </row>
    <row r="428" customFormat="1" spans="1:31">
      <c r="A428" s="18"/>
      <c r="B428" s="19"/>
      <c r="C428" s="20">
        <v>240611000040</v>
      </c>
      <c r="D428" s="21">
        <v>45464</v>
      </c>
      <c r="E428" s="21" t="s">
        <v>48</v>
      </c>
      <c r="F428" s="19" t="s">
        <v>49</v>
      </c>
      <c r="G428" s="19" t="s">
        <v>363</v>
      </c>
      <c r="H428" s="19">
        <v>34.9903</v>
      </c>
      <c r="I428" s="38">
        <v>62388.25</v>
      </c>
      <c r="J428" s="39"/>
      <c r="K428" s="40"/>
      <c r="L428" s="19"/>
      <c r="M428" s="40"/>
      <c r="N428" s="41"/>
      <c r="O428" s="89">
        <f t="shared" si="271"/>
        <v>62388.25</v>
      </c>
      <c r="P428" s="90">
        <f t="shared" si="270"/>
        <v>62388.25</v>
      </c>
      <c r="Q428" s="90" t="s">
        <v>229</v>
      </c>
      <c r="R428" s="92">
        <v>51435.74</v>
      </c>
      <c r="S428" s="92"/>
      <c r="T428" s="90"/>
      <c r="U428" s="92"/>
      <c r="V428" s="92"/>
      <c r="W428" s="68">
        <f t="shared" si="269"/>
        <v>51435.74</v>
      </c>
      <c r="X428" s="93">
        <v>739.01</v>
      </c>
      <c r="Y428" s="93"/>
      <c r="Z428" s="93"/>
      <c r="AA428" s="70">
        <f t="shared" si="259"/>
        <v>739.01</v>
      </c>
      <c r="AB428" s="80">
        <v>7.24</v>
      </c>
      <c r="AC428" s="68">
        <f t="shared" si="260"/>
        <v>5350.4324</v>
      </c>
      <c r="AD428" s="68">
        <f t="shared" si="261"/>
        <v>56786.1724</v>
      </c>
      <c r="AE428" s="68">
        <f t="shared" si="262"/>
        <v>5602.0776</v>
      </c>
    </row>
    <row r="429" customFormat="1" spans="1:31">
      <c r="A429" s="18"/>
      <c r="B429" s="19"/>
      <c r="C429" s="20">
        <v>240614000049</v>
      </c>
      <c r="D429" s="21">
        <v>45464</v>
      </c>
      <c r="E429" s="21" t="s">
        <v>48</v>
      </c>
      <c r="F429" s="19" t="s">
        <v>49</v>
      </c>
      <c r="G429" s="19" t="s">
        <v>364</v>
      </c>
      <c r="H429" s="19">
        <v>2.8917</v>
      </c>
      <c r="I429" s="45"/>
      <c r="J429" s="46">
        <v>1838550</v>
      </c>
      <c r="K429" s="40"/>
      <c r="L429" s="47">
        <f>SUM(J429/M429)</f>
        <v>1578.33062916892</v>
      </c>
      <c r="M429" s="48">
        <v>1164.87</v>
      </c>
      <c r="N429" s="41">
        <v>7.24</v>
      </c>
      <c r="O429" s="89">
        <f t="shared" ref="O429:O434" si="272">SUM(M429*N429)</f>
        <v>8433.6588</v>
      </c>
      <c r="P429" s="90">
        <f t="shared" si="270"/>
        <v>8433.6588</v>
      </c>
      <c r="Q429" s="90" t="s">
        <v>229</v>
      </c>
      <c r="R429" s="92">
        <v>4675.85</v>
      </c>
      <c r="S429" s="92"/>
      <c r="T429" s="90"/>
      <c r="U429" s="92"/>
      <c r="V429" s="92"/>
      <c r="W429" s="68">
        <f t="shared" si="269"/>
        <v>4675.85</v>
      </c>
      <c r="X429" s="93"/>
      <c r="Y429" s="93"/>
      <c r="Z429" s="93"/>
      <c r="AA429" s="70">
        <f t="shared" si="259"/>
        <v>0</v>
      </c>
      <c r="AB429" s="80">
        <v>7.24</v>
      </c>
      <c r="AC429" s="68">
        <f t="shared" si="260"/>
        <v>0</v>
      </c>
      <c r="AD429" s="68">
        <f t="shared" si="261"/>
        <v>4675.85</v>
      </c>
      <c r="AE429" s="68">
        <f t="shared" si="262"/>
        <v>3757.8088</v>
      </c>
    </row>
    <row r="430" customFormat="1" spans="1:31">
      <c r="A430" s="18"/>
      <c r="B430" s="19"/>
      <c r="C430" s="20">
        <v>240614000050</v>
      </c>
      <c r="D430" s="21">
        <v>45464</v>
      </c>
      <c r="E430" s="21" t="s">
        <v>48</v>
      </c>
      <c r="F430" s="19" t="s">
        <v>49</v>
      </c>
      <c r="G430" s="19" t="s">
        <v>365</v>
      </c>
      <c r="H430" s="19">
        <v>0.7392</v>
      </c>
      <c r="I430" s="38">
        <v>3984.5</v>
      </c>
      <c r="J430" s="39"/>
      <c r="K430" s="40"/>
      <c r="L430" s="19"/>
      <c r="M430" s="40"/>
      <c r="N430" s="96"/>
      <c r="O430" s="89">
        <f t="shared" ref="O430:O432" si="273">SUM(I430)</f>
        <v>3984.5</v>
      </c>
      <c r="P430" s="90">
        <f t="shared" si="270"/>
        <v>3984.5</v>
      </c>
      <c r="Q430" s="90" t="s">
        <v>229</v>
      </c>
      <c r="R430" s="92">
        <v>1195.25</v>
      </c>
      <c r="S430" s="92"/>
      <c r="T430" s="90"/>
      <c r="U430" s="92"/>
      <c r="V430" s="92"/>
      <c r="W430" s="68">
        <f t="shared" si="269"/>
        <v>1195.25</v>
      </c>
      <c r="X430" s="93"/>
      <c r="Y430" s="93"/>
      <c r="Z430" s="93"/>
      <c r="AA430" s="70">
        <f t="shared" si="259"/>
        <v>0</v>
      </c>
      <c r="AB430" s="80">
        <v>7.24</v>
      </c>
      <c r="AC430" s="68">
        <f t="shared" si="260"/>
        <v>0</v>
      </c>
      <c r="AD430" s="68">
        <f t="shared" si="261"/>
        <v>1195.25</v>
      </c>
      <c r="AE430" s="68">
        <f t="shared" si="262"/>
        <v>2789.25</v>
      </c>
    </row>
    <row r="431" customFormat="1" spans="1:31">
      <c r="A431" s="18" t="s">
        <v>366</v>
      </c>
      <c r="B431" s="19" t="s">
        <v>367</v>
      </c>
      <c r="C431" s="20">
        <v>240321000012</v>
      </c>
      <c r="D431" s="21">
        <v>45464</v>
      </c>
      <c r="E431" s="21" t="s">
        <v>51</v>
      </c>
      <c r="F431" s="19" t="s">
        <v>52</v>
      </c>
      <c r="G431" s="19" t="s">
        <v>368</v>
      </c>
      <c r="H431" s="19">
        <v>7.6214</v>
      </c>
      <c r="I431" s="38">
        <v>12725</v>
      </c>
      <c r="J431" s="39"/>
      <c r="K431" s="40"/>
      <c r="L431" s="19"/>
      <c r="M431" s="40"/>
      <c r="N431" s="41"/>
      <c r="O431" s="89">
        <f t="shared" si="273"/>
        <v>12725</v>
      </c>
      <c r="P431" s="90">
        <f t="shared" si="270"/>
        <v>12725</v>
      </c>
      <c r="Q431" s="90" t="s">
        <v>229</v>
      </c>
      <c r="R431" s="92">
        <v>12323.82</v>
      </c>
      <c r="S431" s="92"/>
      <c r="T431" s="90"/>
      <c r="U431" s="92"/>
      <c r="V431" s="92"/>
      <c r="W431" s="68">
        <f t="shared" si="269"/>
        <v>12323.82</v>
      </c>
      <c r="X431" s="93"/>
      <c r="Y431" s="93"/>
      <c r="Z431" s="93"/>
      <c r="AA431" s="70">
        <f t="shared" si="259"/>
        <v>0</v>
      </c>
      <c r="AB431" s="80">
        <v>7.24</v>
      </c>
      <c r="AC431" s="68">
        <f t="shared" si="260"/>
        <v>0</v>
      </c>
      <c r="AD431" s="68">
        <f t="shared" si="261"/>
        <v>12323.82</v>
      </c>
      <c r="AE431" s="68">
        <f t="shared" si="262"/>
        <v>401.18</v>
      </c>
    </row>
    <row r="432" customFormat="1" spans="1:31">
      <c r="A432" s="18"/>
      <c r="B432" s="19"/>
      <c r="C432" s="20">
        <v>240401000043</v>
      </c>
      <c r="D432" s="21">
        <v>45464</v>
      </c>
      <c r="E432" s="21" t="s">
        <v>51</v>
      </c>
      <c r="F432" s="19" t="s">
        <v>52</v>
      </c>
      <c r="G432" s="19" t="s">
        <v>369</v>
      </c>
      <c r="H432" s="19">
        <v>3.9013</v>
      </c>
      <c r="I432" s="38">
        <v>9600</v>
      </c>
      <c r="J432" s="39"/>
      <c r="K432" s="40"/>
      <c r="L432" s="19"/>
      <c r="M432" s="40"/>
      <c r="N432" s="96"/>
      <c r="O432" s="89">
        <f t="shared" si="273"/>
        <v>9600</v>
      </c>
      <c r="P432" s="90">
        <f t="shared" si="270"/>
        <v>9600</v>
      </c>
      <c r="Q432" s="90" t="s">
        <v>229</v>
      </c>
      <c r="R432" s="92">
        <v>6308.43</v>
      </c>
      <c r="S432" s="92"/>
      <c r="T432" s="90"/>
      <c r="U432" s="92"/>
      <c r="V432" s="92"/>
      <c r="W432" s="68">
        <f t="shared" si="269"/>
        <v>6308.43</v>
      </c>
      <c r="X432" s="93">
        <v>292.94</v>
      </c>
      <c r="Y432" s="93"/>
      <c r="Z432" s="93"/>
      <c r="AA432" s="70">
        <f t="shared" si="259"/>
        <v>292.94</v>
      </c>
      <c r="AB432" s="80">
        <v>7.24</v>
      </c>
      <c r="AC432" s="68">
        <f t="shared" si="260"/>
        <v>2120.8856</v>
      </c>
      <c r="AD432" s="68">
        <f t="shared" ref="AD432:AD440" si="274">SUM(W432+AC432)</f>
        <v>8429.3156</v>
      </c>
      <c r="AE432" s="68">
        <f t="shared" ref="AE432:AE440" si="275">SUM(O432-AD432)</f>
        <v>1170.6844</v>
      </c>
    </row>
    <row r="433" customFormat="1" spans="1:31">
      <c r="A433" s="18" t="s">
        <v>370</v>
      </c>
      <c r="B433" s="19" t="s">
        <v>371</v>
      </c>
      <c r="C433" s="20">
        <v>240306000025</v>
      </c>
      <c r="D433" s="21">
        <v>45464</v>
      </c>
      <c r="E433" s="21" t="s">
        <v>66</v>
      </c>
      <c r="F433" s="19" t="s">
        <v>256</v>
      </c>
      <c r="G433" s="19" t="s">
        <v>118</v>
      </c>
      <c r="H433" s="19">
        <v>0.5623</v>
      </c>
      <c r="I433" s="42"/>
      <c r="J433" s="39"/>
      <c r="K433" s="40"/>
      <c r="L433" s="19"/>
      <c r="M433" s="40">
        <v>147.5</v>
      </c>
      <c r="N433" s="41">
        <v>7.24</v>
      </c>
      <c r="O433" s="89">
        <f t="shared" si="272"/>
        <v>1067.9</v>
      </c>
      <c r="P433" s="90">
        <f t="shared" si="270"/>
        <v>1067.9</v>
      </c>
      <c r="Q433" s="90" t="s">
        <v>229</v>
      </c>
      <c r="R433" s="92">
        <v>909.26</v>
      </c>
      <c r="S433" s="92"/>
      <c r="T433" s="90"/>
      <c r="U433" s="92"/>
      <c r="V433" s="92"/>
      <c r="W433" s="68">
        <f t="shared" si="269"/>
        <v>909.26</v>
      </c>
      <c r="X433" s="93"/>
      <c r="Y433" s="93"/>
      <c r="Z433" s="93"/>
      <c r="AA433" s="70">
        <f t="shared" ref="AA433:AA440" si="276">SUM(X433:Z433)</f>
        <v>0</v>
      </c>
      <c r="AB433" s="80">
        <v>7.24</v>
      </c>
      <c r="AC433" s="68">
        <f t="shared" ref="AC433:AC440" si="277">SUM(AA433*AB433)</f>
        <v>0</v>
      </c>
      <c r="AD433" s="68">
        <f t="shared" si="274"/>
        <v>909.26</v>
      </c>
      <c r="AE433" s="68">
        <f t="shared" si="275"/>
        <v>158.64</v>
      </c>
    </row>
    <row r="434" customFormat="1" spans="1:31">
      <c r="A434" s="18"/>
      <c r="B434" s="19"/>
      <c r="C434" s="20">
        <v>240402000023</v>
      </c>
      <c r="D434" s="21">
        <v>45464</v>
      </c>
      <c r="E434" s="21" t="s">
        <v>44</v>
      </c>
      <c r="F434" s="19" t="s">
        <v>45</v>
      </c>
      <c r="G434" s="19" t="s">
        <v>243</v>
      </c>
      <c r="H434" s="19">
        <v>2.557</v>
      </c>
      <c r="I434" s="42"/>
      <c r="J434" s="39"/>
      <c r="K434" s="48">
        <v>480</v>
      </c>
      <c r="L434" s="19"/>
      <c r="M434" s="48">
        <v>480</v>
      </c>
      <c r="N434" s="41">
        <v>7.24</v>
      </c>
      <c r="O434" s="89">
        <f t="shared" si="272"/>
        <v>3475.2</v>
      </c>
      <c r="P434" s="90">
        <f t="shared" si="270"/>
        <v>3475.2</v>
      </c>
      <c r="Q434" s="90" t="s">
        <v>229</v>
      </c>
      <c r="R434" s="92">
        <v>4134.67</v>
      </c>
      <c r="S434" s="92"/>
      <c r="T434" s="90"/>
      <c r="U434" s="92"/>
      <c r="V434" s="92"/>
      <c r="W434" s="68">
        <f t="shared" ref="W434:W441" si="278">SUM(R434:V434)</f>
        <v>4134.67</v>
      </c>
      <c r="X434" s="93"/>
      <c r="Y434" s="93"/>
      <c r="Z434" s="93"/>
      <c r="AA434" s="70">
        <f t="shared" si="276"/>
        <v>0</v>
      </c>
      <c r="AB434" s="80">
        <v>7.24</v>
      </c>
      <c r="AC434" s="68">
        <f t="shared" si="277"/>
        <v>0</v>
      </c>
      <c r="AD434" s="68">
        <f t="shared" si="274"/>
        <v>4134.67</v>
      </c>
      <c r="AE434" s="68">
        <f t="shared" si="275"/>
        <v>-659.47</v>
      </c>
    </row>
    <row r="435" customFormat="1" spans="1:31">
      <c r="A435" s="102" t="s">
        <v>372</v>
      </c>
      <c r="B435" s="103" t="s">
        <v>373</v>
      </c>
      <c r="C435" s="104">
        <v>240617000052</v>
      </c>
      <c r="D435" s="21">
        <v>45464</v>
      </c>
      <c r="E435" s="21" t="s">
        <v>44</v>
      </c>
      <c r="F435" s="103" t="s">
        <v>45</v>
      </c>
      <c r="G435" s="103" t="s">
        <v>374</v>
      </c>
      <c r="H435" s="103">
        <v>2</v>
      </c>
      <c r="I435" s="108">
        <v>240</v>
      </c>
      <c r="J435" s="39"/>
      <c r="K435" s="109"/>
      <c r="L435" s="110"/>
      <c r="M435" s="111"/>
      <c r="N435" s="97"/>
      <c r="O435" s="112">
        <f t="shared" ref="O435:O437" si="279">SUM(I435)</f>
        <v>240</v>
      </c>
      <c r="P435" s="43">
        <f>SUM(O435:O440)</f>
        <v>11753.4068</v>
      </c>
      <c r="Q435" s="43" t="s">
        <v>40</v>
      </c>
      <c r="R435" s="68">
        <f t="shared" ref="R435:R440" si="280">SUM(7950/96)*H435</f>
        <v>165.625</v>
      </c>
      <c r="S435" s="68"/>
      <c r="T435" s="69">
        <f t="shared" ref="T435:T440" si="281">SUM(44.77/96)*H435</f>
        <v>0.932708333333333</v>
      </c>
      <c r="U435" s="68"/>
      <c r="V435" s="68"/>
      <c r="W435" s="68">
        <f t="shared" si="278"/>
        <v>166.557708333333</v>
      </c>
      <c r="X435" s="70">
        <f t="shared" ref="X435:X440" si="282">SUM(108.38/96)*H435</f>
        <v>2.25791666666667</v>
      </c>
      <c r="Y435" s="70"/>
      <c r="Z435" s="70"/>
      <c r="AA435" s="70">
        <f t="shared" si="276"/>
        <v>2.25791666666667</v>
      </c>
      <c r="AB435" s="80">
        <v>7.24</v>
      </c>
      <c r="AC435" s="68">
        <f t="shared" si="277"/>
        <v>16.3473166666667</v>
      </c>
      <c r="AD435" s="68">
        <f t="shared" si="274"/>
        <v>182.905025</v>
      </c>
      <c r="AE435" s="68">
        <f t="shared" si="275"/>
        <v>57.094975</v>
      </c>
    </row>
    <row r="436" customFormat="1" spans="1:31">
      <c r="A436" s="102"/>
      <c r="B436" s="103"/>
      <c r="C436" s="104">
        <v>240618000051</v>
      </c>
      <c r="D436" s="21">
        <v>45464</v>
      </c>
      <c r="E436" s="21" t="s">
        <v>44</v>
      </c>
      <c r="F436" s="103" t="s">
        <v>45</v>
      </c>
      <c r="G436" s="103" t="s">
        <v>306</v>
      </c>
      <c r="H436" s="103">
        <v>3.5</v>
      </c>
      <c r="I436" s="108">
        <v>420</v>
      </c>
      <c r="J436" s="39"/>
      <c r="K436" s="109"/>
      <c r="L436" s="110"/>
      <c r="M436" s="111"/>
      <c r="N436" s="97"/>
      <c r="O436" s="112">
        <f t="shared" si="279"/>
        <v>420</v>
      </c>
      <c r="P436" s="44"/>
      <c r="Q436" s="44"/>
      <c r="R436" s="68">
        <f t="shared" si="280"/>
        <v>289.84375</v>
      </c>
      <c r="S436" s="68"/>
      <c r="T436" s="69">
        <f t="shared" si="281"/>
        <v>1.63223958333333</v>
      </c>
      <c r="U436" s="68"/>
      <c r="V436" s="68"/>
      <c r="W436" s="68">
        <f t="shared" si="278"/>
        <v>291.475989583333</v>
      </c>
      <c r="X436" s="70">
        <f t="shared" si="282"/>
        <v>3.95135416666667</v>
      </c>
      <c r="Y436" s="70"/>
      <c r="Z436" s="70"/>
      <c r="AA436" s="70">
        <f t="shared" si="276"/>
        <v>3.95135416666667</v>
      </c>
      <c r="AB436" s="80">
        <v>7.24</v>
      </c>
      <c r="AC436" s="68">
        <f t="shared" si="277"/>
        <v>28.6078041666667</v>
      </c>
      <c r="AD436" s="68">
        <f t="shared" si="274"/>
        <v>320.08379375</v>
      </c>
      <c r="AE436" s="68">
        <f t="shared" si="275"/>
        <v>99.91620625</v>
      </c>
    </row>
    <row r="437" customFormat="1" spans="1:31">
      <c r="A437" s="102"/>
      <c r="B437" s="103"/>
      <c r="C437" s="104">
        <v>240618000052</v>
      </c>
      <c r="D437" s="21">
        <v>45464</v>
      </c>
      <c r="E437" s="21" t="s">
        <v>44</v>
      </c>
      <c r="F437" s="103" t="s">
        <v>45</v>
      </c>
      <c r="G437" s="103" t="s">
        <v>374</v>
      </c>
      <c r="H437" s="103">
        <v>2</v>
      </c>
      <c r="I437" s="108">
        <v>240</v>
      </c>
      <c r="J437" s="39"/>
      <c r="K437" s="109"/>
      <c r="L437" s="110"/>
      <c r="M437" s="111"/>
      <c r="N437" s="97"/>
      <c r="O437" s="112">
        <f t="shared" si="279"/>
        <v>240</v>
      </c>
      <c r="P437" s="44"/>
      <c r="Q437" s="44"/>
      <c r="R437" s="68">
        <f t="shared" si="280"/>
        <v>165.625</v>
      </c>
      <c r="S437" s="68"/>
      <c r="T437" s="69">
        <f t="shared" si="281"/>
        <v>0.932708333333333</v>
      </c>
      <c r="U437" s="68"/>
      <c r="V437" s="68"/>
      <c r="W437" s="68">
        <f t="shared" si="278"/>
        <v>166.557708333333</v>
      </c>
      <c r="X437" s="70">
        <f t="shared" si="282"/>
        <v>2.25791666666667</v>
      </c>
      <c r="Y437" s="70"/>
      <c r="Z437" s="70"/>
      <c r="AA437" s="70">
        <f t="shared" si="276"/>
        <v>2.25791666666667</v>
      </c>
      <c r="AB437" s="80">
        <v>7.24</v>
      </c>
      <c r="AC437" s="68">
        <f t="shared" si="277"/>
        <v>16.3473166666667</v>
      </c>
      <c r="AD437" s="68">
        <f t="shared" si="274"/>
        <v>182.905025</v>
      </c>
      <c r="AE437" s="68">
        <f t="shared" si="275"/>
        <v>57.094975</v>
      </c>
    </row>
    <row r="438" customFormat="1" spans="1:31">
      <c r="A438" s="102"/>
      <c r="B438" s="103"/>
      <c r="C438" s="104">
        <v>240619000001</v>
      </c>
      <c r="D438" s="21">
        <v>45464</v>
      </c>
      <c r="E438" s="21" t="s">
        <v>51</v>
      </c>
      <c r="F438" s="103" t="s">
        <v>315</v>
      </c>
      <c r="G438" s="103" t="s">
        <v>316</v>
      </c>
      <c r="H438" s="103">
        <v>3</v>
      </c>
      <c r="I438" s="112"/>
      <c r="J438" s="46">
        <v>71976</v>
      </c>
      <c r="K438" s="109"/>
      <c r="L438" s="47">
        <f>SUM(J438/M438)</f>
        <v>1502.00333889816</v>
      </c>
      <c r="M438" s="113">
        <v>47.92</v>
      </c>
      <c r="N438" s="97">
        <v>7.24</v>
      </c>
      <c r="O438" s="112">
        <f>SUM(M438*N438)</f>
        <v>346.9408</v>
      </c>
      <c r="P438" s="44"/>
      <c r="Q438" s="44"/>
      <c r="R438" s="68">
        <f t="shared" si="280"/>
        <v>248.4375</v>
      </c>
      <c r="S438" s="68"/>
      <c r="T438" s="69">
        <f t="shared" si="281"/>
        <v>1.3990625</v>
      </c>
      <c r="U438" s="68"/>
      <c r="V438" s="68"/>
      <c r="W438" s="68">
        <f t="shared" si="278"/>
        <v>249.8365625</v>
      </c>
      <c r="X438" s="70">
        <f t="shared" si="282"/>
        <v>3.386875</v>
      </c>
      <c r="Y438" s="70"/>
      <c r="Z438" s="70"/>
      <c r="AA438" s="70">
        <f t="shared" si="276"/>
        <v>3.386875</v>
      </c>
      <c r="AB438" s="80">
        <v>7.24</v>
      </c>
      <c r="AC438" s="68">
        <f t="shared" ref="AC438:AC469" si="283">SUM(AA438*AB438)</f>
        <v>24.520975</v>
      </c>
      <c r="AD438" s="68">
        <f t="shared" si="274"/>
        <v>274.3575375</v>
      </c>
      <c r="AE438" s="68">
        <f t="shared" si="275"/>
        <v>72.5832625</v>
      </c>
    </row>
    <row r="439" customFormat="1" spans="1:31">
      <c r="A439" s="102"/>
      <c r="B439" s="103"/>
      <c r="C439" s="104">
        <v>240619000020</v>
      </c>
      <c r="D439" s="21">
        <v>45464</v>
      </c>
      <c r="E439" s="21" t="s">
        <v>136</v>
      </c>
      <c r="F439" s="103" t="s">
        <v>137</v>
      </c>
      <c r="G439" s="103" t="s">
        <v>375</v>
      </c>
      <c r="H439" s="103">
        <v>4.5</v>
      </c>
      <c r="I439" s="108">
        <v>735</v>
      </c>
      <c r="J439" s="39"/>
      <c r="K439" s="109"/>
      <c r="L439" s="110"/>
      <c r="M439" s="111"/>
      <c r="N439" s="97"/>
      <c r="O439" s="112">
        <f t="shared" ref="O439:O444" si="284">SUM(I439)</f>
        <v>735</v>
      </c>
      <c r="P439" s="44"/>
      <c r="Q439" s="44"/>
      <c r="R439" s="68">
        <f t="shared" si="280"/>
        <v>372.65625</v>
      </c>
      <c r="S439" s="68"/>
      <c r="T439" s="69">
        <f t="shared" si="281"/>
        <v>2.09859375</v>
      </c>
      <c r="U439" s="68"/>
      <c r="V439" s="68"/>
      <c r="W439" s="68">
        <f t="shared" si="278"/>
        <v>374.75484375</v>
      </c>
      <c r="X439" s="70">
        <f t="shared" si="282"/>
        <v>5.0803125</v>
      </c>
      <c r="Y439" s="70"/>
      <c r="Z439" s="70"/>
      <c r="AA439" s="70">
        <f t="shared" si="276"/>
        <v>5.0803125</v>
      </c>
      <c r="AB439" s="80">
        <v>7.24</v>
      </c>
      <c r="AC439" s="68">
        <f t="shared" si="283"/>
        <v>36.7814625</v>
      </c>
      <c r="AD439" s="68">
        <f t="shared" ref="AD439:AD470" si="285">SUM(W439+AC439)</f>
        <v>411.53630625</v>
      </c>
      <c r="AE439" s="68">
        <f t="shared" si="275"/>
        <v>323.46369375</v>
      </c>
    </row>
    <row r="440" customFormat="1" spans="1:31">
      <c r="A440" s="102"/>
      <c r="B440" s="103"/>
      <c r="C440" s="104">
        <v>240619000022</v>
      </c>
      <c r="D440" s="21">
        <v>45464</v>
      </c>
      <c r="E440" s="21" t="s">
        <v>44</v>
      </c>
      <c r="F440" s="103" t="s">
        <v>45</v>
      </c>
      <c r="G440" s="103" t="s">
        <v>62</v>
      </c>
      <c r="H440" s="103">
        <v>84.5</v>
      </c>
      <c r="I440" s="112"/>
      <c r="J440" s="46">
        <v>2032572.9</v>
      </c>
      <c r="K440" s="109"/>
      <c r="L440" s="47">
        <f>SUM(J440/M440)</f>
        <v>1506</v>
      </c>
      <c r="M440" s="113">
        <v>1349.65</v>
      </c>
      <c r="N440" s="97">
        <v>7.24</v>
      </c>
      <c r="O440" s="112">
        <f>SUM(M440*N440)</f>
        <v>9771.466</v>
      </c>
      <c r="P440" s="49"/>
      <c r="Q440" s="49"/>
      <c r="R440" s="68">
        <f t="shared" si="280"/>
        <v>6997.65625</v>
      </c>
      <c r="S440" s="68"/>
      <c r="T440" s="69">
        <f t="shared" si="281"/>
        <v>39.4069270833333</v>
      </c>
      <c r="U440" s="68"/>
      <c r="V440" s="68"/>
      <c r="W440" s="68">
        <f t="shared" ref="W440:W471" si="286">SUM(R440:V440)</f>
        <v>7037.06317708333</v>
      </c>
      <c r="X440" s="70">
        <f t="shared" si="282"/>
        <v>95.3969791666667</v>
      </c>
      <c r="Y440" s="70"/>
      <c r="Z440" s="70"/>
      <c r="AA440" s="70">
        <f t="shared" ref="AA440:AA471" si="287">SUM(X440:Z440)</f>
        <v>95.3969791666667</v>
      </c>
      <c r="AB440" s="80">
        <v>7.24</v>
      </c>
      <c r="AC440" s="68">
        <f t="shared" si="283"/>
        <v>690.674129166667</v>
      </c>
      <c r="AD440" s="68">
        <f t="shared" si="285"/>
        <v>7727.73730625</v>
      </c>
      <c r="AE440" s="68">
        <f t="shared" ref="AE440:AE471" si="288">SUM(O440-AD440)</f>
        <v>2043.72869375</v>
      </c>
    </row>
    <row r="441" customFormat="1" ht="23" customHeight="1" spans="1:31">
      <c r="A441" s="99" t="s">
        <v>376</v>
      </c>
      <c r="B441" s="100" t="s">
        <v>377</v>
      </c>
      <c r="C441" s="20">
        <v>240621000012</v>
      </c>
      <c r="D441" s="21">
        <v>45464</v>
      </c>
      <c r="E441" s="21" t="s">
        <v>37</v>
      </c>
      <c r="F441" s="100" t="s">
        <v>37</v>
      </c>
      <c r="G441" s="100" t="s">
        <v>378</v>
      </c>
      <c r="H441" s="100">
        <v>6084</v>
      </c>
      <c r="I441" s="114">
        <v>184236</v>
      </c>
      <c r="J441" s="39"/>
      <c r="K441" s="40"/>
      <c r="L441" s="19"/>
      <c r="M441" s="106"/>
      <c r="N441" s="88"/>
      <c r="O441" s="112">
        <f t="shared" si="284"/>
        <v>184236</v>
      </c>
      <c r="P441" s="90">
        <f>SUM(O441)</f>
        <v>184236</v>
      </c>
      <c r="Q441" s="90" t="s">
        <v>379</v>
      </c>
      <c r="R441" s="90">
        <v>0</v>
      </c>
      <c r="S441" s="90"/>
      <c r="T441" s="90"/>
      <c r="U441" s="90"/>
      <c r="V441" s="90"/>
      <c r="W441" s="68">
        <f t="shared" si="286"/>
        <v>0</v>
      </c>
      <c r="X441" s="93">
        <v>19733.02</v>
      </c>
      <c r="Y441" s="93"/>
      <c r="Z441" s="93"/>
      <c r="AA441" s="70">
        <f t="shared" si="287"/>
        <v>19733.02</v>
      </c>
      <c r="AB441" s="80">
        <v>7.24</v>
      </c>
      <c r="AC441" s="68">
        <f t="shared" si="283"/>
        <v>142867.0648</v>
      </c>
      <c r="AD441" s="68">
        <f t="shared" si="285"/>
        <v>142867.0648</v>
      </c>
      <c r="AE441" s="68">
        <f t="shared" si="288"/>
        <v>41368.9352</v>
      </c>
    </row>
    <row r="442" customFormat="1" spans="1:31">
      <c r="A442" s="18" t="s">
        <v>380</v>
      </c>
      <c r="B442" s="19" t="s">
        <v>381</v>
      </c>
      <c r="C442" s="20">
        <v>240608000003</v>
      </c>
      <c r="D442" s="21">
        <v>45465</v>
      </c>
      <c r="E442" s="21" t="s">
        <v>51</v>
      </c>
      <c r="F442" s="19" t="s">
        <v>52</v>
      </c>
      <c r="G442" s="19" t="s">
        <v>111</v>
      </c>
      <c r="H442" s="19">
        <v>0.88</v>
      </c>
      <c r="I442" s="38">
        <v>133</v>
      </c>
      <c r="J442" s="39"/>
      <c r="K442" s="40"/>
      <c r="L442" s="19"/>
      <c r="M442" s="40"/>
      <c r="N442" s="41"/>
      <c r="O442" s="112">
        <f t="shared" si="284"/>
        <v>133</v>
      </c>
      <c r="P442" s="43">
        <f>SUM(O442:O507)</f>
        <v>219239.432324</v>
      </c>
      <c r="Q442" s="43" t="s">
        <v>59</v>
      </c>
      <c r="R442" s="68">
        <f>SUM(172242/4000)*H442</f>
        <v>37.89324</v>
      </c>
      <c r="S442" s="68"/>
      <c r="T442" s="69">
        <f>SUM(156.35/4000)*H442</f>
        <v>0.034397</v>
      </c>
      <c r="U442" s="68"/>
      <c r="V442" s="68"/>
      <c r="W442" s="68">
        <f t="shared" si="286"/>
        <v>37.927637</v>
      </c>
      <c r="X442" s="70">
        <f>SUM(3467.57/4000)*H442</f>
        <v>0.7628654</v>
      </c>
      <c r="Y442" s="70">
        <v>9.66</v>
      </c>
      <c r="Z442" s="70"/>
      <c r="AA442" s="70">
        <f t="shared" si="287"/>
        <v>10.4228654</v>
      </c>
      <c r="AB442" s="80">
        <v>7.24</v>
      </c>
      <c r="AC442" s="68">
        <f t="shared" si="283"/>
        <v>75.461545496</v>
      </c>
      <c r="AD442" s="68">
        <f t="shared" si="285"/>
        <v>113.389182496</v>
      </c>
      <c r="AE442" s="68">
        <f t="shared" si="288"/>
        <v>19.610817504</v>
      </c>
    </row>
    <row r="443" customFormat="1" spans="1:31">
      <c r="A443" s="18"/>
      <c r="B443" s="19"/>
      <c r="C443" s="20">
        <v>240612000022</v>
      </c>
      <c r="D443" s="21">
        <v>45465</v>
      </c>
      <c r="E443" s="21" t="s">
        <v>51</v>
      </c>
      <c r="F443" s="19" t="s">
        <v>52</v>
      </c>
      <c r="G443" s="19" t="s">
        <v>382</v>
      </c>
      <c r="H443" s="19">
        <v>26.5</v>
      </c>
      <c r="I443" s="38">
        <v>1431</v>
      </c>
      <c r="J443" s="39"/>
      <c r="K443" s="40"/>
      <c r="L443" s="19"/>
      <c r="M443" s="40"/>
      <c r="N443" s="41"/>
      <c r="O443" s="112">
        <f t="shared" si="284"/>
        <v>1431</v>
      </c>
      <c r="P443" s="44"/>
      <c r="Q443" s="44"/>
      <c r="R443" s="68">
        <f t="shared" ref="R443:R474" si="289">SUM(172242/4000)*H443</f>
        <v>1141.10325</v>
      </c>
      <c r="S443" s="68"/>
      <c r="T443" s="69">
        <f t="shared" ref="T443:T474" si="290">SUM(156.35/4000)*H443</f>
        <v>1.03581875</v>
      </c>
      <c r="U443" s="68"/>
      <c r="V443" s="68"/>
      <c r="W443" s="68">
        <f t="shared" si="286"/>
        <v>1142.13906875</v>
      </c>
      <c r="X443" s="70">
        <f t="shared" ref="X443:X474" si="291">SUM(3467.57/4000)*H443</f>
        <v>22.97265125</v>
      </c>
      <c r="Y443" s="70"/>
      <c r="Z443" s="70"/>
      <c r="AA443" s="70">
        <f t="shared" si="287"/>
        <v>22.97265125</v>
      </c>
      <c r="AB443" s="80">
        <v>7.24</v>
      </c>
      <c r="AC443" s="68">
        <f t="shared" si="283"/>
        <v>166.32199505</v>
      </c>
      <c r="AD443" s="68">
        <f t="shared" si="285"/>
        <v>1308.4610638</v>
      </c>
      <c r="AE443" s="68">
        <f t="shared" si="288"/>
        <v>122.5389362</v>
      </c>
    </row>
    <row r="444" customFormat="1" spans="1:31">
      <c r="A444" s="18"/>
      <c r="B444" s="19"/>
      <c r="C444" s="20">
        <v>240612000036</v>
      </c>
      <c r="D444" s="21">
        <v>45465</v>
      </c>
      <c r="E444" s="21" t="s">
        <v>48</v>
      </c>
      <c r="F444" s="19" t="s">
        <v>49</v>
      </c>
      <c r="G444" s="19" t="s">
        <v>61</v>
      </c>
      <c r="H444" s="19">
        <v>25.5</v>
      </c>
      <c r="I444" s="38">
        <v>1300.5</v>
      </c>
      <c r="J444" s="39"/>
      <c r="K444" s="40"/>
      <c r="L444" s="19"/>
      <c r="M444" s="40"/>
      <c r="N444" s="41"/>
      <c r="O444" s="112">
        <f t="shared" si="284"/>
        <v>1300.5</v>
      </c>
      <c r="P444" s="44"/>
      <c r="Q444" s="44"/>
      <c r="R444" s="68">
        <f t="shared" si="289"/>
        <v>1098.04275</v>
      </c>
      <c r="S444" s="68"/>
      <c r="T444" s="69">
        <f t="shared" si="290"/>
        <v>0.99673125</v>
      </c>
      <c r="U444" s="68"/>
      <c r="V444" s="68"/>
      <c r="W444" s="68">
        <f t="shared" si="286"/>
        <v>1099.03948125</v>
      </c>
      <c r="X444" s="70">
        <f t="shared" si="291"/>
        <v>22.10575875</v>
      </c>
      <c r="Y444" s="70"/>
      <c r="Z444" s="70"/>
      <c r="AA444" s="70">
        <f t="shared" si="287"/>
        <v>22.10575875</v>
      </c>
      <c r="AB444" s="80">
        <v>7.24</v>
      </c>
      <c r="AC444" s="68">
        <f t="shared" si="283"/>
        <v>160.04569335</v>
      </c>
      <c r="AD444" s="68">
        <f t="shared" si="285"/>
        <v>1259.0851746</v>
      </c>
      <c r="AE444" s="68">
        <f t="shared" si="288"/>
        <v>41.4148254000002</v>
      </c>
    </row>
    <row r="445" customFormat="1" spans="1:31">
      <c r="A445" s="18"/>
      <c r="B445" s="19"/>
      <c r="C445" s="20">
        <v>240613000001</v>
      </c>
      <c r="D445" s="21">
        <v>45465</v>
      </c>
      <c r="E445" s="21" t="s">
        <v>48</v>
      </c>
      <c r="F445" s="19" t="s">
        <v>49</v>
      </c>
      <c r="G445" s="19" t="s">
        <v>383</v>
      </c>
      <c r="H445" s="19">
        <v>93.5</v>
      </c>
      <c r="I445" s="45"/>
      <c r="J445" s="46">
        <v>1119253.75</v>
      </c>
      <c r="K445" s="40"/>
      <c r="L445" s="47">
        <f>SUM(J445/M445)</f>
        <v>1516.7889715548</v>
      </c>
      <c r="M445" s="48">
        <v>737.91</v>
      </c>
      <c r="N445" s="41">
        <v>7.24</v>
      </c>
      <c r="O445" s="112">
        <f>SUM(M445*N445)</f>
        <v>5342.4684</v>
      </c>
      <c r="P445" s="44"/>
      <c r="Q445" s="44"/>
      <c r="R445" s="68">
        <f t="shared" si="289"/>
        <v>4026.15675</v>
      </c>
      <c r="S445" s="68"/>
      <c r="T445" s="69">
        <f t="shared" si="290"/>
        <v>3.65468125</v>
      </c>
      <c r="U445" s="68"/>
      <c r="V445" s="69">
        <v>200</v>
      </c>
      <c r="W445" s="68">
        <f t="shared" si="286"/>
        <v>4229.81143125</v>
      </c>
      <c r="X445" s="70">
        <f t="shared" si="291"/>
        <v>81.05444875</v>
      </c>
      <c r="Y445" s="70"/>
      <c r="Z445" s="70"/>
      <c r="AA445" s="70">
        <f t="shared" si="287"/>
        <v>81.05444875</v>
      </c>
      <c r="AB445" s="80">
        <v>7.24</v>
      </c>
      <c r="AC445" s="68">
        <f t="shared" si="283"/>
        <v>586.83420895</v>
      </c>
      <c r="AD445" s="68">
        <f t="shared" si="285"/>
        <v>4816.6456402</v>
      </c>
      <c r="AE445" s="68">
        <f t="shared" si="288"/>
        <v>525.822759799999</v>
      </c>
    </row>
    <row r="446" customFormat="1" spans="1:31">
      <c r="A446" s="18"/>
      <c r="B446" s="19"/>
      <c r="C446" s="20">
        <v>240613000007</v>
      </c>
      <c r="D446" s="21">
        <v>45465</v>
      </c>
      <c r="E446" s="21" t="s">
        <v>51</v>
      </c>
      <c r="F446" s="19" t="s">
        <v>52</v>
      </c>
      <c r="G446" s="19" t="s">
        <v>384</v>
      </c>
      <c r="H446" s="19">
        <v>16</v>
      </c>
      <c r="I446" s="38">
        <v>1014</v>
      </c>
      <c r="J446" s="39"/>
      <c r="K446" s="40"/>
      <c r="L446" s="19"/>
      <c r="M446" s="40"/>
      <c r="N446" s="41"/>
      <c r="O446" s="112">
        <f t="shared" ref="O446:O449" si="292">SUM(I446)</f>
        <v>1014</v>
      </c>
      <c r="P446" s="44"/>
      <c r="Q446" s="44"/>
      <c r="R446" s="68">
        <f t="shared" si="289"/>
        <v>688.968</v>
      </c>
      <c r="S446" s="68"/>
      <c r="T446" s="69">
        <f t="shared" si="290"/>
        <v>0.6254</v>
      </c>
      <c r="U446" s="68"/>
      <c r="V446" s="68"/>
      <c r="W446" s="68">
        <f t="shared" si="286"/>
        <v>689.5934</v>
      </c>
      <c r="X446" s="70">
        <f t="shared" si="291"/>
        <v>13.87028</v>
      </c>
      <c r="Y446" s="70"/>
      <c r="Z446" s="70"/>
      <c r="AA446" s="70">
        <f t="shared" si="287"/>
        <v>13.87028</v>
      </c>
      <c r="AB446" s="80">
        <v>7.24</v>
      </c>
      <c r="AC446" s="68">
        <f t="shared" si="283"/>
        <v>100.4208272</v>
      </c>
      <c r="AD446" s="68">
        <f t="shared" si="285"/>
        <v>790.0142272</v>
      </c>
      <c r="AE446" s="68">
        <f t="shared" si="288"/>
        <v>223.9857728</v>
      </c>
    </row>
    <row r="447" customFormat="1" spans="1:31">
      <c r="A447" s="18"/>
      <c r="B447" s="19"/>
      <c r="C447" s="20">
        <v>240613000023</v>
      </c>
      <c r="D447" s="21">
        <v>45465</v>
      </c>
      <c r="E447" s="21" t="s">
        <v>48</v>
      </c>
      <c r="F447" s="19" t="s">
        <v>49</v>
      </c>
      <c r="G447" s="19" t="s">
        <v>61</v>
      </c>
      <c r="H447" s="19">
        <v>27.5</v>
      </c>
      <c r="I447" s="38">
        <v>1402.5</v>
      </c>
      <c r="J447" s="39"/>
      <c r="K447" s="40"/>
      <c r="L447" s="19"/>
      <c r="M447" s="40"/>
      <c r="N447" s="41"/>
      <c r="O447" s="112">
        <f t="shared" si="292"/>
        <v>1402.5</v>
      </c>
      <c r="P447" s="44"/>
      <c r="Q447" s="44"/>
      <c r="R447" s="68">
        <f t="shared" si="289"/>
        <v>1184.16375</v>
      </c>
      <c r="S447" s="68"/>
      <c r="T447" s="69">
        <f t="shared" si="290"/>
        <v>1.07490625</v>
      </c>
      <c r="U447" s="68"/>
      <c r="V447" s="68"/>
      <c r="W447" s="68">
        <f t="shared" si="286"/>
        <v>1185.23865625</v>
      </c>
      <c r="X447" s="70">
        <f t="shared" si="291"/>
        <v>23.83954375</v>
      </c>
      <c r="Y447" s="70"/>
      <c r="Z447" s="70"/>
      <c r="AA447" s="70">
        <f t="shared" si="287"/>
        <v>23.83954375</v>
      </c>
      <c r="AB447" s="80">
        <v>7.24</v>
      </c>
      <c r="AC447" s="68">
        <f t="shared" si="283"/>
        <v>172.59829675</v>
      </c>
      <c r="AD447" s="68">
        <f t="shared" si="285"/>
        <v>1357.836953</v>
      </c>
      <c r="AE447" s="68">
        <f t="shared" si="288"/>
        <v>44.6630470000002</v>
      </c>
    </row>
    <row r="448" customFormat="1" spans="1:31">
      <c r="A448" s="18"/>
      <c r="B448" s="19"/>
      <c r="C448" s="20">
        <v>240613000025</v>
      </c>
      <c r="D448" s="21">
        <v>45465</v>
      </c>
      <c r="E448" s="21" t="s">
        <v>37</v>
      </c>
      <c r="F448" s="19" t="s">
        <v>37</v>
      </c>
      <c r="G448" s="19" t="s">
        <v>385</v>
      </c>
      <c r="H448" s="19">
        <v>516.5</v>
      </c>
      <c r="I448" s="38">
        <v>28896</v>
      </c>
      <c r="J448" s="39"/>
      <c r="K448" s="40"/>
      <c r="L448" s="19"/>
      <c r="M448" s="40"/>
      <c r="N448" s="41"/>
      <c r="O448" s="112">
        <f t="shared" si="292"/>
        <v>28896</v>
      </c>
      <c r="P448" s="44"/>
      <c r="Q448" s="44"/>
      <c r="R448" s="68">
        <f t="shared" si="289"/>
        <v>22240.74825</v>
      </c>
      <c r="S448" s="68"/>
      <c r="T448" s="69">
        <f t="shared" si="290"/>
        <v>20.18869375</v>
      </c>
      <c r="U448" s="68"/>
      <c r="V448" s="68"/>
      <c r="W448" s="68">
        <f t="shared" si="286"/>
        <v>22260.93694375</v>
      </c>
      <c r="X448" s="70">
        <f t="shared" si="291"/>
        <v>447.74997625</v>
      </c>
      <c r="Y448" s="70"/>
      <c r="Z448" s="70"/>
      <c r="AA448" s="70">
        <f t="shared" si="287"/>
        <v>447.74997625</v>
      </c>
      <c r="AB448" s="80">
        <v>7.24</v>
      </c>
      <c r="AC448" s="68">
        <f t="shared" si="283"/>
        <v>3241.70982805</v>
      </c>
      <c r="AD448" s="68">
        <f t="shared" si="285"/>
        <v>25502.6467718</v>
      </c>
      <c r="AE448" s="68">
        <f t="shared" si="288"/>
        <v>3393.3532282</v>
      </c>
    </row>
    <row r="449" customFormat="1" spans="1:31">
      <c r="A449" s="18"/>
      <c r="B449" s="19"/>
      <c r="C449" s="20">
        <v>240614000002</v>
      </c>
      <c r="D449" s="21">
        <v>45465</v>
      </c>
      <c r="E449" s="21" t="s">
        <v>37</v>
      </c>
      <c r="F449" s="19" t="s">
        <v>38</v>
      </c>
      <c r="G449" s="19" t="s">
        <v>39</v>
      </c>
      <c r="H449" s="19">
        <v>4.5</v>
      </c>
      <c r="I449" s="38">
        <v>300</v>
      </c>
      <c r="J449" s="39"/>
      <c r="K449" s="40"/>
      <c r="L449" s="19"/>
      <c r="M449" s="40"/>
      <c r="N449" s="41"/>
      <c r="O449" s="112">
        <f t="shared" si="292"/>
        <v>300</v>
      </c>
      <c r="P449" s="44"/>
      <c r="Q449" s="44"/>
      <c r="R449" s="68">
        <f t="shared" si="289"/>
        <v>193.77225</v>
      </c>
      <c r="S449" s="68"/>
      <c r="T449" s="69">
        <f t="shared" si="290"/>
        <v>0.17589375</v>
      </c>
      <c r="U449" s="68"/>
      <c r="V449" s="68"/>
      <c r="W449" s="68">
        <f t="shared" si="286"/>
        <v>193.94814375</v>
      </c>
      <c r="X449" s="70">
        <f t="shared" si="291"/>
        <v>3.90101625</v>
      </c>
      <c r="Y449" s="70"/>
      <c r="Z449" s="70"/>
      <c r="AA449" s="70">
        <f t="shared" si="287"/>
        <v>3.90101625</v>
      </c>
      <c r="AB449" s="80">
        <v>7.24</v>
      </c>
      <c r="AC449" s="68">
        <f t="shared" si="283"/>
        <v>28.24335765</v>
      </c>
      <c r="AD449" s="68">
        <f t="shared" si="285"/>
        <v>222.1915014</v>
      </c>
      <c r="AE449" s="68">
        <f t="shared" si="288"/>
        <v>77.8084986</v>
      </c>
    </row>
    <row r="450" customFormat="1" spans="1:31">
      <c r="A450" s="18"/>
      <c r="B450" s="19"/>
      <c r="C450" s="20">
        <v>240614000008</v>
      </c>
      <c r="D450" s="21">
        <v>45465</v>
      </c>
      <c r="E450" s="21" t="s">
        <v>51</v>
      </c>
      <c r="F450" s="19" t="s">
        <v>52</v>
      </c>
      <c r="G450" s="19" t="s">
        <v>115</v>
      </c>
      <c r="H450" s="19">
        <v>3</v>
      </c>
      <c r="I450" s="45"/>
      <c r="J450" s="46">
        <v>34567.5</v>
      </c>
      <c r="K450" s="40"/>
      <c r="L450" s="47">
        <f>SUM(J450/M450)</f>
        <v>1516.78367705134</v>
      </c>
      <c r="M450" s="48">
        <v>22.79</v>
      </c>
      <c r="N450" s="41">
        <v>7.24</v>
      </c>
      <c r="O450" s="112">
        <f>SUM(M450*N450)</f>
        <v>164.9996</v>
      </c>
      <c r="P450" s="44"/>
      <c r="Q450" s="44"/>
      <c r="R450" s="68">
        <f t="shared" si="289"/>
        <v>129.1815</v>
      </c>
      <c r="S450" s="68"/>
      <c r="T450" s="69">
        <f t="shared" si="290"/>
        <v>0.1172625</v>
      </c>
      <c r="U450" s="68"/>
      <c r="V450" s="68"/>
      <c r="W450" s="68">
        <f t="shared" si="286"/>
        <v>129.2987625</v>
      </c>
      <c r="X450" s="70">
        <f t="shared" si="291"/>
        <v>2.6006775</v>
      </c>
      <c r="Y450" s="70"/>
      <c r="Z450" s="70"/>
      <c r="AA450" s="70">
        <f t="shared" si="287"/>
        <v>2.6006775</v>
      </c>
      <c r="AB450" s="80">
        <v>7.24</v>
      </c>
      <c r="AC450" s="68">
        <f t="shared" si="283"/>
        <v>18.8289051</v>
      </c>
      <c r="AD450" s="68">
        <f t="shared" si="285"/>
        <v>148.1276676</v>
      </c>
      <c r="AE450" s="68">
        <f t="shared" si="288"/>
        <v>16.8719324</v>
      </c>
    </row>
    <row r="451" customFormat="1" spans="1:31">
      <c r="A451" s="18"/>
      <c r="B451" s="19"/>
      <c r="C451" s="20">
        <v>240614000011</v>
      </c>
      <c r="D451" s="21">
        <v>45465</v>
      </c>
      <c r="E451" s="21" t="s">
        <v>41</v>
      </c>
      <c r="F451" s="19" t="s">
        <v>42</v>
      </c>
      <c r="G451" s="19" t="s">
        <v>386</v>
      </c>
      <c r="H451" s="19">
        <v>25</v>
      </c>
      <c r="I451" s="38">
        <v>1500</v>
      </c>
      <c r="J451" s="39"/>
      <c r="K451" s="40"/>
      <c r="L451" s="19"/>
      <c r="M451" s="40"/>
      <c r="N451" s="41"/>
      <c r="O451" s="112">
        <f t="shared" ref="O451:O454" si="293">SUM(I451)</f>
        <v>1500</v>
      </c>
      <c r="P451" s="44"/>
      <c r="Q451" s="44"/>
      <c r="R451" s="68">
        <f t="shared" si="289"/>
        <v>1076.5125</v>
      </c>
      <c r="S451" s="68"/>
      <c r="T451" s="69">
        <f t="shared" si="290"/>
        <v>0.9771875</v>
      </c>
      <c r="U451" s="68"/>
      <c r="V451" s="68"/>
      <c r="W451" s="68">
        <f t="shared" si="286"/>
        <v>1077.4896875</v>
      </c>
      <c r="X451" s="70">
        <f t="shared" si="291"/>
        <v>21.6723125</v>
      </c>
      <c r="Y451" s="70"/>
      <c r="Z451" s="70"/>
      <c r="AA451" s="70">
        <f t="shared" si="287"/>
        <v>21.6723125</v>
      </c>
      <c r="AB451" s="80">
        <v>7.24</v>
      </c>
      <c r="AC451" s="68">
        <f t="shared" si="283"/>
        <v>156.9075425</v>
      </c>
      <c r="AD451" s="68">
        <f t="shared" si="285"/>
        <v>1234.39723</v>
      </c>
      <c r="AE451" s="68">
        <f t="shared" si="288"/>
        <v>265.60277</v>
      </c>
    </row>
    <row r="452" customFormat="1" spans="1:31">
      <c r="A452" s="18"/>
      <c r="B452" s="19"/>
      <c r="C452" s="20">
        <v>240614000012</v>
      </c>
      <c r="D452" s="21">
        <v>45465</v>
      </c>
      <c r="E452" s="21" t="s">
        <v>41</v>
      </c>
      <c r="F452" s="19" t="s">
        <v>42</v>
      </c>
      <c r="G452" s="19" t="s">
        <v>386</v>
      </c>
      <c r="H452" s="19">
        <v>2.5</v>
      </c>
      <c r="I452" s="38">
        <v>163.5</v>
      </c>
      <c r="J452" s="39"/>
      <c r="K452" s="40"/>
      <c r="L452" s="19"/>
      <c r="M452" s="40"/>
      <c r="N452" s="41"/>
      <c r="O452" s="112">
        <f t="shared" si="293"/>
        <v>163.5</v>
      </c>
      <c r="P452" s="44"/>
      <c r="Q452" s="44"/>
      <c r="R452" s="68">
        <f t="shared" si="289"/>
        <v>107.65125</v>
      </c>
      <c r="S452" s="68"/>
      <c r="T452" s="69">
        <f t="shared" si="290"/>
        <v>0.09771875</v>
      </c>
      <c r="U452" s="68"/>
      <c r="V452" s="69">
        <v>26</v>
      </c>
      <c r="W452" s="68">
        <f t="shared" si="286"/>
        <v>133.74896875</v>
      </c>
      <c r="X452" s="70">
        <f t="shared" si="291"/>
        <v>2.16723125</v>
      </c>
      <c r="Y452" s="70"/>
      <c r="Z452" s="70"/>
      <c r="AA452" s="70">
        <f t="shared" si="287"/>
        <v>2.16723125</v>
      </c>
      <c r="AB452" s="80">
        <v>7.24</v>
      </c>
      <c r="AC452" s="68">
        <f t="shared" si="283"/>
        <v>15.69075425</v>
      </c>
      <c r="AD452" s="68">
        <f t="shared" si="285"/>
        <v>149.439723</v>
      </c>
      <c r="AE452" s="68">
        <f t="shared" si="288"/>
        <v>14.060277</v>
      </c>
    </row>
    <row r="453" customFormat="1" spans="1:31">
      <c r="A453" s="18"/>
      <c r="B453" s="19"/>
      <c r="C453" s="20">
        <v>240614000015</v>
      </c>
      <c r="D453" s="21">
        <v>45465</v>
      </c>
      <c r="E453" s="21" t="s">
        <v>41</v>
      </c>
      <c r="F453" s="19" t="s">
        <v>42</v>
      </c>
      <c r="G453" s="19" t="s">
        <v>387</v>
      </c>
      <c r="H453" s="19">
        <v>3</v>
      </c>
      <c r="I453" s="38">
        <v>263</v>
      </c>
      <c r="J453" s="39"/>
      <c r="K453" s="40"/>
      <c r="L453" s="19"/>
      <c r="M453" s="40"/>
      <c r="N453" s="41"/>
      <c r="O453" s="112">
        <f t="shared" si="293"/>
        <v>263</v>
      </c>
      <c r="P453" s="44"/>
      <c r="Q453" s="44"/>
      <c r="R453" s="68">
        <f t="shared" si="289"/>
        <v>129.1815</v>
      </c>
      <c r="S453" s="68"/>
      <c r="T453" s="69">
        <f t="shared" si="290"/>
        <v>0.1172625</v>
      </c>
      <c r="U453" s="68"/>
      <c r="V453" s="68"/>
      <c r="W453" s="68">
        <f t="shared" si="286"/>
        <v>129.2987625</v>
      </c>
      <c r="X453" s="70">
        <f t="shared" si="291"/>
        <v>2.6006775</v>
      </c>
      <c r="Y453" s="70"/>
      <c r="Z453" s="70"/>
      <c r="AA453" s="70">
        <f t="shared" si="287"/>
        <v>2.6006775</v>
      </c>
      <c r="AB453" s="80">
        <v>7.24</v>
      </c>
      <c r="AC453" s="68">
        <f t="shared" si="283"/>
        <v>18.8289051</v>
      </c>
      <c r="AD453" s="68">
        <f t="shared" si="285"/>
        <v>148.1276676</v>
      </c>
      <c r="AE453" s="68">
        <f t="shared" si="288"/>
        <v>114.8723324</v>
      </c>
    </row>
    <row r="454" customFormat="1" spans="1:31">
      <c r="A454" s="18"/>
      <c r="B454" s="19"/>
      <c r="C454" s="20">
        <v>240614000017</v>
      </c>
      <c r="D454" s="21">
        <v>45465</v>
      </c>
      <c r="E454" s="21" t="s">
        <v>51</v>
      </c>
      <c r="F454" s="19" t="s">
        <v>52</v>
      </c>
      <c r="G454" s="19" t="s">
        <v>112</v>
      </c>
      <c r="H454" s="19">
        <v>31.5</v>
      </c>
      <c r="I454" s="38">
        <v>1732.5</v>
      </c>
      <c r="J454" s="39"/>
      <c r="K454" s="40"/>
      <c r="L454" s="19"/>
      <c r="M454" s="40"/>
      <c r="N454" s="41"/>
      <c r="O454" s="112">
        <f t="shared" si="293"/>
        <v>1732.5</v>
      </c>
      <c r="P454" s="44"/>
      <c r="Q454" s="44"/>
      <c r="R454" s="68">
        <f t="shared" si="289"/>
        <v>1356.40575</v>
      </c>
      <c r="S454" s="68"/>
      <c r="T454" s="69">
        <f t="shared" si="290"/>
        <v>1.23125625</v>
      </c>
      <c r="U454" s="68"/>
      <c r="V454" s="68"/>
      <c r="W454" s="68">
        <f t="shared" si="286"/>
        <v>1357.63700625</v>
      </c>
      <c r="X454" s="70">
        <f t="shared" si="291"/>
        <v>27.30711375</v>
      </c>
      <c r="Y454" s="70"/>
      <c r="Z454" s="70"/>
      <c r="AA454" s="70">
        <f t="shared" si="287"/>
        <v>27.30711375</v>
      </c>
      <c r="AB454" s="80">
        <v>7.24</v>
      </c>
      <c r="AC454" s="68">
        <f t="shared" si="283"/>
        <v>197.70350355</v>
      </c>
      <c r="AD454" s="68">
        <f t="shared" si="285"/>
        <v>1555.3405098</v>
      </c>
      <c r="AE454" s="68">
        <f t="shared" si="288"/>
        <v>177.1594902</v>
      </c>
    </row>
    <row r="455" customFormat="1" spans="1:31">
      <c r="A455" s="18"/>
      <c r="B455" s="19"/>
      <c r="C455" s="20">
        <v>240614000018</v>
      </c>
      <c r="D455" s="21">
        <v>45465</v>
      </c>
      <c r="E455" s="21" t="s">
        <v>41</v>
      </c>
      <c r="F455" s="19" t="s">
        <v>42</v>
      </c>
      <c r="G455" s="19" t="s">
        <v>388</v>
      </c>
      <c r="H455" s="19">
        <v>49</v>
      </c>
      <c r="I455" s="45"/>
      <c r="J455" s="46">
        <v>617400</v>
      </c>
      <c r="K455" s="40"/>
      <c r="L455" s="47">
        <f t="shared" ref="L455:L459" si="294">SUM(J455/M455)</f>
        <v>1520.42751249785</v>
      </c>
      <c r="M455" s="48">
        <v>406.07</v>
      </c>
      <c r="N455" s="41">
        <v>7.24</v>
      </c>
      <c r="O455" s="112">
        <f t="shared" ref="O455:O459" si="295">SUM(M455*N455)</f>
        <v>2939.9468</v>
      </c>
      <c r="P455" s="44"/>
      <c r="Q455" s="44"/>
      <c r="R455" s="68">
        <f t="shared" si="289"/>
        <v>2109.9645</v>
      </c>
      <c r="S455" s="68"/>
      <c r="T455" s="69">
        <f t="shared" si="290"/>
        <v>1.9152875</v>
      </c>
      <c r="U455" s="68"/>
      <c r="V455" s="68"/>
      <c r="W455" s="68">
        <f t="shared" si="286"/>
        <v>2111.8797875</v>
      </c>
      <c r="X455" s="70">
        <f t="shared" si="291"/>
        <v>42.4777325</v>
      </c>
      <c r="Y455" s="70"/>
      <c r="Z455" s="70"/>
      <c r="AA455" s="70">
        <f t="shared" si="287"/>
        <v>42.4777325</v>
      </c>
      <c r="AB455" s="80">
        <v>7.24</v>
      </c>
      <c r="AC455" s="68">
        <f t="shared" si="283"/>
        <v>307.5387833</v>
      </c>
      <c r="AD455" s="68">
        <f t="shared" si="285"/>
        <v>2419.4185708</v>
      </c>
      <c r="AE455" s="68">
        <f t="shared" si="288"/>
        <v>520.5282292</v>
      </c>
    </row>
    <row r="456" customFormat="1" spans="1:31">
      <c r="A456" s="18"/>
      <c r="B456" s="19"/>
      <c r="C456" s="20">
        <v>240614000023</v>
      </c>
      <c r="D456" s="21">
        <v>45465</v>
      </c>
      <c r="E456" s="21" t="s">
        <v>51</v>
      </c>
      <c r="F456" s="19" t="s">
        <v>52</v>
      </c>
      <c r="G456" s="19" t="s">
        <v>161</v>
      </c>
      <c r="H456" s="19">
        <v>1.5</v>
      </c>
      <c r="I456" s="85">
        <v>71</v>
      </c>
      <c r="J456" s="39"/>
      <c r="K456" s="40"/>
      <c r="L456" s="19"/>
      <c r="M456" s="40"/>
      <c r="N456" s="41"/>
      <c r="O456" s="112">
        <f>SUBTOTAL(9,I456)</f>
        <v>71</v>
      </c>
      <c r="P456" s="44"/>
      <c r="Q456" s="44"/>
      <c r="R456" s="68">
        <f t="shared" si="289"/>
        <v>64.59075</v>
      </c>
      <c r="S456" s="68"/>
      <c r="T456" s="69">
        <f t="shared" si="290"/>
        <v>0.05863125</v>
      </c>
      <c r="U456" s="68"/>
      <c r="V456" s="68"/>
      <c r="W456" s="68">
        <f t="shared" si="286"/>
        <v>64.64938125</v>
      </c>
      <c r="X456" s="70">
        <f t="shared" si="291"/>
        <v>1.30033875</v>
      </c>
      <c r="Y456" s="70"/>
      <c r="Z456" s="70"/>
      <c r="AA456" s="70">
        <f t="shared" si="287"/>
        <v>1.30033875</v>
      </c>
      <c r="AB456" s="80">
        <v>7.24</v>
      </c>
      <c r="AC456" s="68">
        <f t="shared" si="283"/>
        <v>9.41445255</v>
      </c>
      <c r="AD456" s="68">
        <f t="shared" si="285"/>
        <v>74.0638338</v>
      </c>
      <c r="AE456" s="68">
        <f t="shared" si="288"/>
        <v>-3.0638338</v>
      </c>
    </row>
    <row r="457" customFormat="1" spans="1:31">
      <c r="A457" s="18"/>
      <c r="B457" s="19"/>
      <c r="C457" s="20">
        <v>240614000024</v>
      </c>
      <c r="D457" s="21">
        <v>45465</v>
      </c>
      <c r="E457" s="21" t="s">
        <v>44</v>
      </c>
      <c r="F457" s="19" t="s">
        <v>45</v>
      </c>
      <c r="G457" s="19" t="s">
        <v>62</v>
      </c>
      <c r="H457" s="19">
        <v>728</v>
      </c>
      <c r="I457" s="42"/>
      <c r="J457" s="46">
        <v>8981607.6</v>
      </c>
      <c r="K457" s="40"/>
      <c r="L457" s="47">
        <f t="shared" si="294"/>
        <v>1639.99991016308</v>
      </c>
      <c r="M457" s="48">
        <v>5476.5903</v>
      </c>
      <c r="N457" s="41">
        <v>7.24</v>
      </c>
      <c r="O457" s="112">
        <f t="shared" si="295"/>
        <v>39650.513772</v>
      </c>
      <c r="P457" s="44"/>
      <c r="Q457" s="44"/>
      <c r="R457" s="68">
        <f t="shared" si="289"/>
        <v>31348.044</v>
      </c>
      <c r="S457" s="68"/>
      <c r="T457" s="69">
        <f t="shared" si="290"/>
        <v>28.4557</v>
      </c>
      <c r="U457" s="68">
        <v>120</v>
      </c>
      <c r="V457" s="68"/>
      <c r="W457" s="68">
        <f t="shared" si="286"/>
        <v>31496.4997</v>
      </c>
      <c r="X457" s="70">
        <f t="shared" si="291"/>
        <v>631.09774</v>
      </c>
      <c r="Y457" s="70"/>
      <c r="Z457" s="70"/>
      <c r="AA457" s="70">
        <f t="shared" si="287"/>
        <v>631.09774</v>
      </c>
      <c r="AB457" s="80">
        <v>7.24</v>
      </c>
      <c r="AC457" s="68">
        <f t="shared" si="283"/>
        <v>4569.1476376</v>
      </c>
      <c r="AD457" s="68">
        <f t="shared" si="285"/>
        <v>36065.6473376</v>
      </c>
      <c r="AE457" s="68">
        <f t="shared" si="288"/>
        <v>3584.8664344</v>
      </c>
    </row>
    <row r="458" customFormat="1" spans="1:31">
      <c r="A458" s="18"/>
      <c r="B458" s="19"/>
      <c r="C458" s="20">
        <v>240614000028</v>
      </c>
      <c r="D458" s="21">
        <v>45465</v>
      </c>
      <c r="E458" s="21" t="s">
        <v>41</v>
      </c>
      <c r="F458" s="19" t="s">
        <v>42</v>
      </c>
      <c r="G458" s="19" t="s">
        <v>386</v>
      </c>
      <c r="H458" s="19">
        <v>75</v>
      </c>
      <c r="I458" s="38">
        <v>4050</v>
      </c>
      <c r="J458" s="39"/>
      <c r="K458" s="40"/>
      <c r="L458" s="19"/>
      <c r="M458" s="40"/>
      <c r="N458" s="41"/>
      <c r="O458" s="112">
        <f t="shared" ref="O458:O461" si="296">SUM(I458)</f>
        <v>4050</v>
      </c>
      <c r="P458" s="44"/>
      <c r="Q458" s="44"/>
      <c r="R458" s="68">
        <f t="shared" si="289"/>
        <v>3229.5375</v>
      </c>
      <c r="S458" s="68"/>
      <c r="T458" s="69">
        <f t="shared" si="290"/>
        <v>2.9315625</v>
      </c>
      <c r="U458" s="68"/>
      <c r="V458" s="68"/>
      <c r="W458" s="68">
        <f t="shared" si="286"/>
        <v>3232.4690625</v>
      </c>
      <c r="X458" s="70">
        <f t="shared" si="291"/>
        <v>65.0169375</v>
      </c>
      <c r="Y458" s="70"/>
      <c r="Z458" s="70"/>
      <c r="AA458" s="70">
        <f t="shared" si="287"/>
        <v>65.0169375</v>
      </c>
      <c r="AB458" s="80">
        <v>7.24</v>
      </c>
      <c r="AC458" s="68">
        <f t="shared" si="283"/>
        <v>470.7226275</v>
      </c>
      <c r="AD458" s="68">
        <f t="shared" si="285"/>
        <v>3703.19169</v>
      </c>
      <c r="AE458" s="68">
        <f t="shared" si="288"/>
        <v>346.80831</v>
      </c>
    </row>
    <row r="459" customFormat="1" spans="1:31">
      <c r="A459" s="18"/>
      <c r="B459" s="19"/>
      <c r="C459" s="20">
        <v>240614000035</v>
      </c>
      <c r="D459" s="21">
        <v>45465</v>
      </c>
      <c r="E459" s="21" t="s">
        <v>48</v>
      </c>
      <c r="F459" s="19" t="s">
        <v>49</v>
      </c>
      <c r="G459" s="19" t="s">
        <v>389</v>
      </c>
      <c r="H459" s="19">
        <v>2.5</v>
      </c>
      <c r="I459" s="45"/>
      <c r="J459" s="46">
        <v>32190</v>
      </c>
      <c r="K459" s="40"/>
      <c r="L459" s="47">
        <f t="shared" si="294"/>
        <v>1607.89210789211</v>
      </c>
      <c r="M459" s="48">
        <v>20.02</v>
      </c>
      <c r="N459" s="97">
        <v>7.24</v>
      </c>
      <c r="O459" s="112">
        <f t="shared" si="295"/>
        <v>144.9448</v>
      </c>
      <c r="P459" s="44"/>
      <c r="Q459" s="44"/>
      <c r="R459" s="68">
        <f t="shared" si="289"/>
        <v>107.65125</v>
      </c>
      <c r="S459" s="68"/>
      <c r="T459" s="69">
        <f t="shared" si="290"/>
        <v>0.09771875</v>
      </c>
      <c r="U459" s="68"/>
      <c r="V459" s="68"/>
      <c r="W459" s="68">
        <f t="shared" si="286"/>
        <v>107.74896875</v>
      </c>
      <c r="X459" s="70">
        <f t="shared" si="291"/>
        <v>2.16723125</v>
      </c>
      <c r="Y459" s="70"/>
      <c r="Z459" s="70"/>
      <c r="AA459" s="70">
        <f t="shared" si="287"/>
        <v>2.16723125</v>
      </c>
      <c r="AB459" s="80">
        <v>7.24</v>
      </c>
      <c r="AC459" s="68">
        <f t="shared" si="283"/>
        <v>15.69075425</v>
      </c>
      <c r="AD459" s="68">
        <f t="shared" si="285"/>
        <v>123.439723</v>
      </c>
      <c r="AE459" s="68">
        <f t="shared" si="288"/>
        <v>21.505077</v>
      </c>
    </row>
    <row r="460" customFormat="1" spans="1:31">
      <c r="A460" s="18"/>
      <c r="B460" s="19"/>
      <c r="C460" s="20">
        <v>240614000036</v>
      </c>
      <c r="D460" s="21">
        <v>45465</v>
      </c>
      <c r="E460" s="21" t="s">
        <v>66</v>
      </c>
      <c r="F460" s="19" t="s">
        <v>67</v>
      </c>
      <c r="G460" s="19" t="s">
        <v>67</v>
      </c>
      <c r="H460" s="19">
        <v>0.88</v>
      </c>
      <c r="I460" s="38">
        <v>63</v>
      </c>
      <c r="J460" s="39"/>
      <c r="K460" s="40"/>
      <c r="L460" s="19"/>
      <c r="M460" s="40"/>
      <c r="N460" s="41"/>
      <c r="O460" s="112">
        <f t="shared" si="296"/>
        <v>63</v>
      </c>
      <c r="P460" s="44"/>
      <c r="Q460" s="44"/>
      <c r="R460" s="68">
        <f t="shared" si="289"/>
        <v>37.89324</v>
      </c>
      <c r="S460" s="68"/>
      <c r="T460" s="69">
        <f t="shared" si="290"/>
        <v>0.034397</v>
      </c>
      <c r="U460" s="68"/>
      <c r="V460" s="68"/>
      <c r="W460" s="68">
        <f t="shared" si="286"/>
        <v>37.927637</v>
      </c>
      <c r="X460" s="70">
        <f t="shared" si="291"/>
        <v>0.7628654</v>
      </c>
      <c r="Y460" s="70"/>
      <c r="Z460" s="70"/>
      <c r="AA460" s="70">
        <f t="shared" si="287"/>
        <v>0.7628654</v>
      </c>
      <c r="AB460" s="80">
        <v>7.24</v>
      </c>
      <c r="AC460" s="68">
        <f t="shared" si="283"/>
        <v>5.523145496</v>
      </c>
      <c r="AD460" s="68">
        <f t="shared" si="285"/>
        <v>43.450782496</v>
      </c>
      <c r="AE460" s="68">
        <f t="shared" si="288"/>
        <v>19.549217504</v>
      </c>
    </row>
    <row r="461" customFormat="1" spans="1:31">
      <c r="A461" s="18"/>
      <c r="B461" s="19"/>
      <c r="C461" s="20">
        <v>240614000037</v>
      </c>
      <c r="D461" s="21">
        <v>45465</v>
      </c>
      <c r="E461" s="21" t="s">
        <v>48</v>
      </c>
      <c r="F461" s="19" t="s">
        <v>49</v>
      </c>
      <c r="G461" s="19" t="s">
        <v>390</v>
      </c>
      <c r="H461" s="19">
        <v>0.45</v>
      </c>
      <c r="I461" s="38">
        <v>69</v>
      </c>
      <c r="J461" s="39"/>
      <c r="K461" s="40"/>
      <c r="L461" s="19"/>
      <c r="M461" s="40"/>
      <c r="N461" s="41"/>
      <c r="O461" s="112">
        <f t="shared" si="296"/>
        <v>69</v>
      </c>
      <c r="P461" s="44"/>
      <c r="Q461" s="44"/>
      <c r="R461" s="68">
        <f t="shared" si="289"/>
        <v>19.377225</v>
      </c>
      <c r="S461" s="68"/>
      <c r="T461" s="69">
        <f t="shared" si="290"/>
        <v>0.017589375</v>
      </c>
      <c r="U461" s="68"/>
      <c r="V461" s="68"/>
      <c r="W461" s="68">
        <f t="shared" si="286"/>
        <v>19.394814375</v>
      </c>
      <c r="X461" s="70">
        <f t="shared" si="291"/>
        <v>0.390101625</v>
      </c>
      <c r="Y461" s="70"/>
      <c r="Z461" s="70"/>
      <c r="AA461" s="70">
        <f t="shared" si="287"/>
        <v>0.390101625</v>
      </c>
      <c r="AB461" s="80">
        <v>7.24</v>
      </c>
      <c r="AC461" s="68">
        <f t="shared" si="283"/>
        <v>2.824335765</v>
      </c>
      <c r="AD461" s="68">
        <f t="shared" si="285"/>
        <v>22.21915014</v>
      </c>
      <c r="AE461" s="68">
        <f t="shared" si="288"/>
        <v>46.78084986</v>
      </c>
    </row>
    <row r="462" customFormat="1" spans="1:31">
      <c r="A462" s="18"/>
      <c r="B462" s="19"/>
      <c r="C462" s="20">
        <v>240614000039</v>
      </c>
      <c r="D462" s="21">
        <v>45465</v>
      </c>
      <c r="E462" s="21" t="s">
        <v>51</v>
      </c>
      <c r="F462" s="19" t="s">
        <v>52</v>
      </c>
      <c r="G462" s="19" t="s">
        <v>53</v>
      </c>
      <c r="H462" s="19">
        <v>0.1</v>
      </c>
      <c r="I462" s="45"/>
      <c r="J462" s="46">
        <v>13230</v>
      </c>
      <c r="K462" s="40"/>
      <c r="L462" s="47">
        <f t="shared" ref="L462:L467" si="297">SUM(J462/M462)</f>
        <v>1520.68965517241</v>
      </c>
      <c r="M462" s="48">
        <v>8.7</v>
      </c>
      <c r="N462" s="41">
        <v>7.24</v>
      </c>
      <c r="O462" s="112">
        <f t="shared" ref="O462:O467" si="298">SUM(M462*N462)</f>
        <v>62.988</v>
      </c>
      <c r="P462" s="44"/>
      <c r="Q462" s="44"/>
      <c r="R462" s="68">
        <f t="shared" si="289"/>
        <v>4.30605</v>
      </c>
      <c r="S462" s="68"/>
      <c r="T462" s="69">
        <f t="shared" si="290"/>
        <v>0.00390875</v>
      </c>
      <c r="U462" s="68"/>
      <c r="V462" s="68"/>
      <c r="W462" s="68">
        <f t="shared" si="286"/>
        <v>4.30995875</v>
      </c>
      <c r="X462" s="70">
        <f t="shared" si="291"/>
        <v>0.08668925</v>
      </c>
      <c r="Y462" s="70"/>
      <c r="Z462" s="70"/>
      <c r="AA462" s="70">
        <f t="shared" si="287"/>
        <v>0.08668925</v>
      </c>
      <c r="AB462" s="80">
        <v>7.24</v>
      </c>
      <c r="AC462" s="68">
        <f t="shared" si="283"/>
        <v>0.62763017</v>
      </c>
      <c r="AD462" s="68">
        <f t="shared" si="285"/>
        <v>4.93758892</v>
      </c>
      <c r="AE462" s="68">
        <f t="shared" si="288"/>
        <v>58.05041108</v>
      </c>
    </row>
    <row r="463" customFormat="1" spans="1:31">
      <c r="A463" s="18"/>
      <c r="B463" s="19"/>
      <c r="C463" s="81">
        <v>240614000041</v>
      </c>
      <c r="D463" s="82">
        <v>45465</v>
      </c>
      <c r="E463" s="21" t="s">
        <v>48</v>
      </c>
      <c r="F463" s="83" t="s">
        <v>49</v>
      </c>
      <c r="G463" s="83" t="s">
        <v>391</v>
      </c>
      <c r="H463" s="83">
        <v>5</v>
      </c>
      <c r="I463" s="45">
        <v>-1430</v>
      </c>
      <c r="J463" s="39"/>
      <c r="K463" s="40"/>
      <c r="L463" s="19"/>
      <c r="M463" s="40"/>
      <c r="N463" s="41"/>
      <c r="O463" s="112">
        <f t="shared" ref="O463:O473" si="299">SUM(I463)</f>
        <v>-1430</v>
      </c>
      <c r="P463" s="44"/>
      <c r="Q463" s="44"/>
      <c r="R463" s="68">
        <f t="shared" si="289"/>
        <v>215.3025</v>
      </c>
      <c r="S463" s="68"/>
      <c r="T463" s="69">
        <f t="shared" si="290"/>
        <v>0.1954375</v>
      </c>
      <c r="U463" s="69">
        <v>500</v>
      </c>
      <c r="V463" s="69">
        <v>17</v>
      </c>
      <c r="W463" s="68">
        <f t="shared" si="286"/>
        <v>732.4979375</v>
      </c>
      <c r="X463" s="70">
        <f t="shared" si="291"/>
        <v>4.3344625</v>
      </c>
      <c r="Y463" s="70"/>
      <c r="Z463" s="70"/>
      <c r="AA463" s="70">
        <f t="shared" si="287"/>
        <v>4.3344625</v>
      </c>
      <c r="AB463" s="80">
        <v>7.24</v>
      </c>
      <c r="AC463" s="68">
        <f t="shared" si="283"/>
        <v>31.3815085</v>
      </c>
      <c r="AD463" s="68">
        <f t="shared" si="285"/>
        <v>763.879446</v>
      </c>
      <c r="AE463" s="68">
        <f t="shared" si="288"/>
        <v>-2193.879446</v>
      </c>
    </row>
    <row r="464" customFormat="1" spans="1:31">
      <c r="A464" s="18"/>
      <c r="B464" s="19"/>
      <c r="C464" s="20">
        <v>240614000047</v>
      </c>
      <c r="D464" s="21">
        <v>45465</v>
      </c>
      <c r="E464" s="21" t="s">
        <v>48</v>
      </c>
      <c r="F464" s="19" t="s">
        <v>49</v>
      </c>
      <c r="G464" s="19" t="s">
        <v>63</v>
      </c>
      <c r="H464" s="19">
        <v>1.5</v>
      </c>
      <c r="I464" s="38">
        <v>110</v>
      </c>
      <c r="J464" s="39"/>
      <c r="K464" s="40"/>
      <c r="L464" s="19"/>
      <c r="M464" s="40"/>
      <c r="N464" s="41"/>
      <c r="O464" s="112">
        <f t="shared" si="299"/>
        <v>110</v>
      </c>
      <c r="P464" s="44"/>
      <c r="Q464" s="44"/>
      <c r="R464" s="68">
        <f t="shared" si="289"/>
        <v>64.59075</v>
      </c>
      <c r="S464" s="68"/>
      <c r="T464" s="69">
        <f t="shared" si="290"/>
        <v>0.05863125</v>
      </c>
      <c r="U464" s="68"/>
      <c r="V464" s="69">
        <v>20</v>
      </c>
      <c r="W464" s="68">
        <f t="shared" si="286"/>
        <v>84.64938125</v>
      </c>
      <c r="X464" s="70">
        <f t="shared" si="291"/>
        <v>1.30033875</v>
      </c>
      <c r="Y464" s="70"/>
      <c r="Z464" s="70"/>
      <c r="AA464" s="70">
        <f t="shared" si="287"/>
        <v>1.30033875</v>
      </c>
      <c r="AB464" s="80">
        <v>7.24</v>
      </c>
      <c r="AC464" s="68">
        <f t="shared" si="283"/>
        <v>9.41445255</v>
      </c>
      <c r="AD464" s="68">
        <f t="shared" si="285"/>
        <v>94.0638338</v>
      </c>
      <c r="AE464" s="68">
        <f t="shared" si="288"/>
        <v>15.9361662</v>
      </c>
    </row>
    <row r="465" customFormat="1" spans="1:31">
      <c r="A465" s="18"/>
      <c r="B465" s="19"/>
      <c r="C465" s="20">
        <v>240614000056</v>
      </c>
      <c r="D465" s="21">
        <v>45465</v>
      </c>
      <c r="E465" s="21" t="s">
        <v>44</v>
      </c>
      <c r="F465" s="19" t="s">
        <v>45</v>
      </c>
      <c r="G465" s="19" t="s">
        <v>118</v>
      </c>
      <c r="H465" s="19">
        <v>0.45</v>
      </c>
      <c r="I465" s="42"/>
      <c r="J465" s="46">
        <v>13253</v>
      </c>
      <c r="K465" s="40"/>
      <c r="L465" s="47">
        <f t="shared" si="297"/>
        <v>1506.02272727273</v>
      </c>
      <c r="M465" s="48">
        <v>8.8</v>
      </c>
      <c r="N465" s="41">
        <v>7.24</v>
      </c>
      <c r="O465" s="112">
        <f t="shared" si="298"/>
        <v>63.712</v>
      </c>
      <c r="P465" s="44"/>
      <c r="Q465" s="44"/>
      <c r="R465" s="68">
        <f t="shared" si="289"/>
        <v>19.377225</v>
      </c>
      <c r="S465" s="68"/>
      <c r="T465" s="69">
        <f t="shared" si="290"/>
        <v>0.017589375</v>
      </c>
      <c r="U465" s="68"/>
      <c r="V465" s="68"/>
      <c r="W465" s="68">
        <f t="shared" si="286"/>
        <v>19.394814375</v>
      </c>
      <c r="X465" s="70">
        <f t="shared" si="291"/>
        <v>0.390101625</v>
      </c>
      <c r="Y465" s="70"/>
      <c r="Z465" s="70"/>
      <c r="AA465" s="70">
        <f t="shared" si="287"/>
        <v>0.390101625</v>
      </c>
      <c r="AB465" s="80">
        <v>7.24</v>
      </c>
      <c r="AC465" s="68">
        <f t="shared" si="283"/>
        <v>2.824335765</v>
      </c>
      <c r="AD465" s="68">
        <f t="shared" si="285"/>
        <v>22.21915014</v>
      </c>
      <c r="AE465" s="68">
        <f t="shared" si="288"/>
        <v>41.49284986</v>
      </c>
    </row>
    <row r="466" customFormat="1" spans="1:31">
      <c r="A466" s="18"/>
      <c r="B466" s="19"/>
      <c r="C466" s="20">
        <v>240614000061</v>
      </c>
      <c r="D466" s="21">
        <v>45465</v>
      </c>
      <c r="E466" s="21" t="s">
        <v>44</v>
      </c>
      <c r="F466" s="19" t="s">
        <v>45</v>
      </c>
      <c r="G466" s="19" t="s">
        <v>392</v>
      </c>
      <c r="H466" s="19">
        <v>6.5</v>
      </c>
      <c r="I466" s="38">
        <v>415</v>
      </c>
      <c r="J466" s="39"/>
      <c r="K466" s="40"/>
      <c r="L466" s="19"/>
      <c r="M466" s="40"/>
      <c r="N466" s="41"/>
      <c r="O466" s="112">
        <f t="shared" si="299"/>
        <v>415</v>
      </c>
      <c r="P466" s="44"/>
      <c r="Q466" s="44"/>
      <c r="R466" s="68">
        <f t="shared" si="289"/>
        <v>279.89325</v>
      </c>
      <c r="S466" s="68"/>
      <c r="T466" s="69">
        <f t="shared" si="290"/>
        <v>0.25406875</v>
      </c>
      <c r="U466" s="68"/>
      <c r="V466" s="68"/>
      <c r="W466" s="68">
        <f t="shared" si="286"/>
        <v>280.14731875</v>
      </c>
      <c r="X466" s="70">
        <f t="shared" si="291"/>
        <v>5.63480125</v>
      </c>
      <c r="Y466" s="70"/>
      <c r="Z466" s="70"/>
      <c r="AA466" s="70">
        <f t="shared" si="287"/>
        <v>5.63480125</v>
      </c>
      <c r="AB466" s="80">
        <v>7.24</v>
      </c>
      <c r="AC466" s="68">
        <f t="shared" si="283"/>
        <v>40.79596105</v>
      </c>
      <c r="AD466" s="68">
        <f t="shared" si="285"/>
        <v>320.9432798</v>
      </c>
      <c r="AE466" s="68">
        <f t="shared" si="288"/>
        <v>94.0567202</v>
      </c>
    </row>
    <row r="467" customFormat="1" spans="1:31">
      <c r="A467" s="18"/>
      <c r="B467" s="19"/>
      <c r="C467" s="20">
        <v>240614000064</v>
      </c>
      <c r="D467" s="21">
        <v>45465</v>
      </c>
      <c r="E467" s="21" t="s">
        <v>44</v>
      </c>
      <c r="F467" s="19" t="s">
        <v>45</v>
      </c>
      <c r="G467" s="19" t="s">
        <v>393</v>
      </c>
      <c r="H467" s="19">
        <v>20</v>
      </c>
      <c r="I467" s="45"/>
      <c r="J467" s="46">
        <v>236640</v>
      </c>
      <c r="K467" s="40"/>
      <c r="L467" s="47">
        <f t="shared" si="297"/>
        <v>1521.6049382716</v>
      </c>
      <c r="M467" s="48">
        <v>155.52</v>
      </c>
      <c r="N467" s="97">
        <v>7.24</v>
      </c>
      <c r="O467" s="112">
        <f t="shared" si="298"/>
        <v>1125.9648</v>
      </c>
      <c r="P467" s="44"/>
      <c r="Q467" s="44"/>
      <c r="R467" s="68">
        <f t="shared" si="289"/>
        <v>861.21</v>
      </c>
      <c r="S467" s="68"/>
      <c r="T467" s="69">
        <f t="shared" si="290"/>
        <v>0.78175</v>
      </c>
      <c r="U467" s="68"/>
      <c r="V467" s="68"/>
      <c r="W467" s="68">
        <f t="shared" si="286"/>
        <v>861.99175</v>
      </c>
      <c r="X467" s="70">
        <f t="shared" si="291"/>
        <v>17.33785</v>
      </c>
      <c r="Y467" s="70"/>
      <c r="Z467" s="70"/>
      <c r="AA467" s="70">
        <f t="shared" si="287"/>
        <v>17.33785</v>
      </c>
      <c r="AB467" s="80">
        <v>7.24</v>
      </c>
      <c r="AC467" s="68">
        <f t="shared" si="283"/>
        <v>125.526034</v>
      </c>
      <c r="AD467" s="68">
        <f t="shared" si="285"/>
        <v>987.517784</v>
      </c>
      <c r="AE467" s="68">
        <f t="shared" si="288"/>
        <v>138.447016</v>
      </c>
    </row>
    <row r="468" customFormat="1" spans="1:31">
      <c r="A468" s="18"/>
      <c r="B468" s="19"/>
      <c r="C468" s="20">
        <v>240615000007</v>
      </c>
      <c r="D468" s="21">
        <v>45465</v>
      </c>
      <c r="E468" s="21" t="s">
        <v>44</v>
      </c>
      <c r="F468" s="19" t="s">
        <v>45</v>
      </c>
      <c r="G468" s="19" t="s">
        <v>394</v>
      </c>
      <c r="H468" s="19">
        <v>1.5</v>
      </c>
      <c r="I468" s="38">
        <v>93</v>
      </c>
      <c r="J468" s="39"/>
      <c r="K468" s="40"/>
      <c r="L468" s="19"/>
      <c r="M468" s="40"/>
      <c r="N468" s="41"/>
      <c r="O468" s="112">
        <f t="shared" si="299"/>
        <v>93</v>
      </c>
      <c r="P468" s="44"/>
      <c r="Q468" s="44"/>
      <c r="R468" s="68">
        <f t="shared" si="289"/>
        <v>64.59075</v>
      </c>
      <c r="S468" s="68"/>
      <c r="T468" s="69">
        <f t="shared" si="290"/>
        <v>0.05863125</v>
      </c>
      <c r="U468" s="68"/>
      <c r="V468" s="68"/>
      <c r="W468" s="68">
        <f t="shared" si="286"/>
        <v>64.64938125</v>
      </c>
      <c r="X468" s="70">
        <f t="shared" si="291"/>
        <v>1.30033875</v>
      </c>
      <c r="Y468" s="70"/>
      <c r="Z468" s="70"/>
      <c r="AA468" s="70">
        <f t="shared" si="287"/>
        <v>1.30033875</v>
      </c>
      <c r="AB468" s="80">
        <v>7.24</v>
      </c>
      <c r="AC468" s="68">
        <f t="shared" si="283"/>
        <v>9.41445255</v>
      </c>
      <c r="AD468" s="68">
        <f t="shared" si="285"/>
        <v>74.0638338</v>
      </c>
      <c r="AE468" s="68">
        <f t="shared" si="288"/>
        <v>18.9361662</v>
      </c>
    </row>
    <row r="469" customFormat="1" spans="1:31">
      <c r="A469" s="18"/>
      <c r="B469" s="19"/>
      <c r="C469" s="20">
        <v>240615000009</v>
      </c>
      <c r="D469" s="21">
        <v>45465</v>
      </c>
      <c r="E469" s="21" t="s">
        <v>37</v>
      </c>
      <c r="F469" s="19" t="s">
        <v>37</v>
      </c>
      <c r="G469" s="19" t="s">
        <v>395</v>
      </c>
      <c r="H469" s="19">
        <v>109.5</v>
      </c>
      <c r="I469" s="38">
        <v>6150</v>
      </c>
      <c r="J469" s="39"/>
      <c r="K469" s="40"/>
      <c r="L469" s="19"/>
      <c r="M469" s="40"/>
      <c r="N469" s="41"/>
      <c r="O469" s="112">
        <f t="shared" si="299"/>
        <v>6150</v>
      </c>
      <c r="P469" s="44"/>
      <c r="Q469" s="44"/>
      <c r="R469" s="68">
        <f t="shared" si="289"/>
        <v>4715.12475</v>
      </c>
      <c r="S469" s="68"/>
      <c r="T469" s="69">
        <f t="shared" si="290"/>
        <v>4.28008125</v>
      </c>
      <c r="U469" s="69">
        <f>SUM(30+90)</f>
        <v>120</v>
      </c>
      <c r="V469" s="68"/>
      <c r="W469" s="68">
        <f t="shared" si="286"/>
        <v>4839.40483125</v>
      </c>
      <c r="X469" s="70">
        <f t="shared" si="291"/>
        <v>94.92472875</v>
      </c>
      <c r="Y469" s="70"/>
      <c r="Z469" s="70"/>
      <c r="AA469" s="70">
        <f t="shared" si="287"/>
        <v>94.92472875</v>
      </c>
      <c r="AB469" s="80">
        <v>7.24</v>
      </c>
      <c r="AC469" s="68">
        <f t="shared" si="283"/>
        <v>687.25503615</v>
      </c>
      <c r="AD469" s="68">
        <f t="shared" si="285"/>
        <v>5526.6598674</v>
      </c>
      <c r="AE469" s="68">
        <f t="shared" si="288"/>
        <v>623.3401326</v>
      </c>
    </row>
    <row r="470" customFormat="1" spans="1:31">
      <c r="A470" s="18"/>
      <c r="B470" s="19"/>
      <c r="C470" s="20">
        <v>240615000010</v>
      </c>
      <c r="D470" s="21">
        <v>45465</v>
      </c>
      <c r="E470" s="21" t="s">
        <v>37</v>
      </c>
      <c r="F470" s="19" t="s">
        <v>37</v>
      </c>
      <c r="G470" s="19" t="s">
        <v>396</v>
      </c>
      <c r="H470" s="19">
        <v>82.5</v>
      </c>
      <c r="I470" s="38">
        <v>4372.5</v>
      </c>
      <c r="J470" s="39"/>
      <c r="K470" s="40"/>
      <c r="L470" s="19"/>
      <c r="M470" s="40"/>
      <c r="N470" s="41"/>
      <c r="O470" s="112">
        <f t="shared" si="299"/>
        <v>4372.5</v>
      </c>
      <c r="P470" s="44"/>
      <c r="Q470" s="44"/>
      <c r="R470" s="68">
        <f t="shared" si="289"/>
        <v>3552.49125</v>
      </c>
      <c r="S470" s="68"/>
      <c r="T470" s="69">
        <f t="shared" si="290"/>
        <v>3.22471875</v>
      </c>
      <c r="U470" s="68"/>
      <c r="V470" s="68"/>
      <c r="W470" s="68">
        <f t="shared" si="286"/>
        <v>3555.71596875</v>
      </c>
      <c r="X470" s="70">
        <f t="shared" si="291"/>
        <v>71.51863125</v>
      </c>
      <c r="Y470" s="70"/>
      <c r="Z470" s="70"/>
      <c r="AA470" s="70">
        <f t="shared" si="287"/>
        <v>71.51863125</v>
      </c>
      <c r="AB470" s="80">
        <v>7.24</v>
      </c>
      <c r="AC470" s="68">
        <f t="shared" ref="AC470:AC505" si="300">SUM(AA470*AB470)</f>
        <v>517.79489025</v>
      </c>
      <c r="AD470" s="68">
        <f t="shared" si="285"/>
        <v>4073.510859</v>
      </c>
      <c r="AE470" s="68">
        <f t="shared" si="288"/>
        <v>298.989141</v>
      </c>
    </row>
    <row r="471" customFormat="1" spans="1:31">
      <c r="A471" s="18"/>
      <c r="B471" s="19"/>
      <c r="C471" s="20">
        <v>240616000001</v>
      </c>
      <c r="D471" s="21">
        <v>45465</v>
      </c>
      <c r="E471" s="21" t="s">
        <v>44</v>
      </c>
      <c r="F471" s="19" t="s">
        <v>45</v>
      </c>
      <c r="G471" s="19" t="s">
        <v>286</v>
      </c>
      <c r="H471" s="19">
        <v>5.5</v>
      </c>
      <c r="I471" s="38">
        <v>333</v>
      </c>
      <c r="J471" s="39"/>
      <c r="K471" s="40"/>
      <c r="L471" s="19"/>
      <c r="M471" s="40"/>
      <c r="N471" s="41"/>
      <c r="O471" s="112">
        <f t="shared" si="299"/>
        <v>333</v>
      </c>
      <c r="P471" s="44"/>
      <c r="Q471" s="44"/>
      <c r="R471" s="68">
        <f t="shared" si="289"/>
        <v>236.83275</v>
      </c>
      <c r="S471" s="68"/>
      <c r="T471" s="69">
        <f t="shared" si="290"/>
        <v>0.21498125</v>
      </c>
      <c r="U471" s="68"/>
      <c r="V471" s="68"/>
      <c r="W471" s="68">
        <f t="shared" si="286"/>
        <v>237.04773125</v>
      </c>
      <c r="X471" s="70">
        <f t="shared" si="291"/>
        <v>4.76790875</v>
      </c>
      <c r="Y471" s="70"/>
      <c r="Z471" s="70"/>
      <c r="AA471" s="70">
        <f t="shared" si="287"/>
        <v>4.76790875</v>
      </c>
      <c r="AB471" s="80">
        <v>7.24</v>
      </c>
      <c r="AC471" s="68">
        <f t="shared" si="300"/>
        <v>34.51965935</v>
      </c>
      <c r="AD471" s="68">
        <f t="shared" ref="AD471:AD502" si="301">SUM(W471+AC471)</f>
        <v>271.5673906</v>
      </c>
      <c r="AE471" s="68">
        <f t="shared" si="288"/>
        <v>61.4326094</v>
      </c>
    </row>
    <row r="472" customFormat="1" spans="1:31">
      <c r="A472" s="18"/>
      <c r="B472" s="19"/>
      <c r="C472" s="20">
        <v>240616000003</v>
      </c>
      <c r="D472" s="21">
        <v>45465</v>
      </c>
      <c r="E472" s="21" t="s">
        <v>51</v>
      </c>
      <c r="F472" s="19" t="s">
        <v>52</v>
      </c>
      <c r="G472" s="19" t="s">
        <v>397</v>
      </c>
      <c r="H472" s="19">
        <v>1.5</v>
      </c>
      <c r="I472" s="38">
        <v>93</v>
      </c>
      <c r="J472" s="39"/>
      <c r="K472" s="40"/>
      <c r="L472" s="19"/>
      <c r="M472" s="40"/>
      <c r="N472" s="41"/>
      <c r="O472" s="112">
        <f t="shared" si="299"/>
        <v>93</v>
      </c>
      <c r="P472" s="44"/>
      <c r="Q472" s="44"/>
      <c r="R472" s="68">
        <f t="shared" si="289"/>
        <v>64.59075</v>
      </c>
      <c r="S472" s="68"/>
      <c r="T472" s="69">
        <f t="shared" si="290"/>
        <v>0.05863125</v>
      </c>
      <c r="U472" s="68"/>
      <c r="V472" s="68"/>
      <c r="W472" s="68">
        <f t="shared" ref="W472:W506" si="302">SUM(R472:V472)</f>
        <v>64.64938125</v>
      </c>
      <c r="X472" s="70">
        <f t="shared" si="291"/>
        <v>1.30033875</v>
      </c>
      <c r="Y472" s="70"/>
      <c r="Z472" s="70"/>
      <c r="AA472" s="70">
        <f t="shared" ref="AA472:AA506" si="303">SUM(X472:Z472)</f>
        <v>1.30033875</v>
      </c>
      <c r="AB472" s="80">
        <v>7.24</v>
      </c>
      <c r="AC472" s="68">
        <f t="shared" si="300"/>
        <v>9.41445255</v>
      </c>
      <c r="AD472" s="68">
        <f t="shared" si="301"/>
        <v>74.0638338</v>
      </c>
      <c r="AE472" s="68">
        <f t="shared" ref="AE472:AE503" si="304">SUM(O472-AD472)</f>
        <v>18.9361662</v>
      </c>
    </row>
    <row r="473" customFormat="1" spans="1:31">
      <c r="A473" s="18"/>
      <c r="B473" s="19"/>
      <c r="C473" s="20">
        <v>240616000005</v>
      </c>
      <c r="D473" s="21">
        <v>45465</v>
      </c>
      <c r="E473" s="21" t="s">
        <v>51</v>
      </c>
      <c r="F473" s="19" t="s">
        <v>52</v>
      </c>
      <c r="G473" s="19" t="s">
        <v>398</v>
      </c>
      <c r="H473" s="19">
        <v>13.5</v>
      </c>
      <c r="I473" s="38">
        <v>775.5</v>
      </c>
      <c r="J473" s="39"/>
      <c r="K473" s="40"/>
      <c r="L473" s="19"/>
      <c r="M473" s="40"/>
      <c r="N473" s="41"/>
      <c r="O473" s="112">
        <f t="shared" si="299"/>
        <v>775.5</v>
      </c>
      <c r="P473" s="44"/>
      <c r="Q473" s="44"/>
      <c r="R473" s="68">
        <f t="shared" si="289"/>
        <v>581.31675</v>
      </c>
      <c r="S473" s="68"/>
      <c r="T473" s="69">
        <f t="shared" si="290"/>
        <v>0.52768125</v>
      </c>
      <c r="U473" s="68"/>
      <c r="V473" s="68"/>
      <c r="W473" s="68">
        <f t="shared" si="302"/>
        <v>581.84443125</v>
      </c>
      <c r="X473" s="70">
        <f t="shared" si="291"/>
        <v>11.70304875</v>
      </c>
      <c r="Y473" s="70"/>
      <c r="Z473" s="70"/>
      <c r="AA473" s="70">
        <f t="shared" si="303"/>
        <v>11.70304875</v>
      </c>
      <c r="AB473" s="80">
        <v>7.24</v>
      </c>
      <c r="AC473" s="68">
        <f t="shared" si="300"/>
        <v>84.73007295</v>
      </c>
      <c r="AD473" s="68">
        <f t="shared" si="301"/>
        <v>666.5745042</v>
      </c>
      <c r="AE473" s="68">
        <f t="shared" si="304"/>
        <v>108.9254958</v>
      </c>
    </row>
    <row r="474" customFormat="1" spans="1:31">
      <c r="A474" s="18"/>
      <c r="B474" s="19"/>
      <c r="C474" s="20">
        <v>240616000006</v>
      </c>
      <c r="D474" s="21">
        <v>45465</v>
      </c>
      <c r="E474" s="21" t="s">
        <v>51</v>
      </c>
      <c r="F474" s="19" t="s">
        <v>52</v>
      </c>
      <c r="G474" s="19" t="s">
        <v>399</v>
      </c>
      <c r="H474" s="19">
        <v>5</v>
      </c>
      <c r="I474" s="45"/>
      <c r="J474" s="46">
        <v>63630</v>
      </c>
      <c r="K474" s="40"/>
      <c r="L474" s="47">
        <f>SUM(J474/M474)</f>
        <v>1520.43010752688</v>
      </c>
      <c r="M474" s="48">
        <v>41.85</v>
      </c>
      <c r="N474" s="41">
        <v>7.24</v>
      </c>
      <c r="O474" s="112">
        <f t="shared" ref="O474:O478" si="305">SUM(M474*N474)</f>
        <v>302.994</v>
      </c>
      <c r="P474" s="44"/>
      <c r="Q474" s="44"/>
      <c r="R474" s="68">
        <f t="shared" si="289"/>
        <v>215.3025</v>
      </c>
      <c r="S474" s="68"/>
      <c r="T474" s="69">
        <f t="shared" si="290"/>
        <v>0.1954375</v>
      </c>
      <c r="U474" s="68"/>
      <c r="V474" s="68"/>
      <c r="W474" s="68">
        <f t="shared" si="302"/>
        <v>215.4979375</v>
      </c>
      <c r="X474" s="70">
        <f t="shared" si="291"/>
        <v>4.3344625</v>
      </c>
      <c r="Y474" s="70"/>
      <c r="Z474" s="70"/>
      <c r="AA474" s="70">
        <f t="shared" si="303"/>
        <v>4.3344625</v>
      </c>
      <c r="AB474" s="80">
        <v>7.24</v>
      </c>
      <c r="AC474" s="68">
        <f t="shared" si="300"/>
        <v>31.3815085</v>
      </c>
      <c r="AD474" s="68">
        <f t="shared" si="301"/>
        <v>246.879446</v>
      </c>
      <c r="AE474" s="68">
        <f t="shared" si="304"/>
        <v>56.1145540000001</v>
      </c>
    </row>
    <row r="475" customFormat="1" spans="1:31">
      <c r="A475" s="18"/>
      <c r="B475" s="19"/>
      <c r="C475" s="20">
        <v>240616000007</v>
      </c>
      <c r="D475" s="21">
        <v>45465</v>
      </c>
      <c r="E475" s="21" t="s">
        <v>44</v>
      </c>
      <c r="F475" s="19" t="s">
        <v>45</v>
      </c>
      <c r="G475" s="19" t="s">
        <v>62</v>
      </c>
      <c r="H475" s="19">
        <v>429.5</v>
      </c>
      <c r="I475" s="42"/>
      <c r="J475" s="46">
        <v>5478518.4</v>
      </c>
      <c r="K475" s="40"/>
      <c r="L475" s="47">
        <f>SUM(J475/M475)</f>
        <v>1640.00009818714</v>
      </c>
      <c r="M475" s="48">
        <v>3340.5598</v>
      </c>
      <c r="N475" s="97">
        <v>7.24</v>
      </c>
      <c r="O475" s="112">
        <f t="shared" si="305"/>
        <v>24185.652952</v>
      </c>
      <c r="P475" s="44"/>
      <c r="Q475" s="44"/>
      <c r="R475" s="68">
        <f t="shared" ref="R475:R507" si="306">SUM(172242/4000)*H475</f>
        <v>18494.48475</v>
      </c>
      <c r="S475" s="68"/>
      <c r="T475" s="69">
        <f t="shared" ref="T475:T507" si="307">SUM(156.35/4000)*H475</f>
        <v>16.78808125</v>
      </c>
      <c r="U475" s="68"/>
      <c r="V475" s="68"/>
      <c r="W475" s="68">
        <f t="shared" si="302"/>
        <v>18511.27283125</v>
      </c>
      <c r="X475" s="70">
        <f t="shared" ref="X475:X507" si="308">SUM(3467.57/4000)*H475</f>
        <v>372.33032875</v>
      </c>
      <c r="Y475" s="70"/>
      <c r="Z475" s="70"/>
      <c r="AA475" s="70">
        <f t="shared" si="303"/>
        <v>372.33032875</v>
      </c>
      <c r="AB475" s="80">
        <v>7.24</v>
      </c>
      <c r="AC475" s="68">
        <f t="shared" si="300"/>
        <v>2695.67158015</v>
      </c>
      <c r="AD475" s="68">
        <f t="shared" si="301"/>
        <v>21206.9444114</v>
      </c>
      <c r="AE475" s="68">
        <f t="shared" si="304"/>
        <v>2978.7085406</v>
      </c>
    </row>
    <row r="476" customFormat="1" spans="1:31">
      <c r="A476" s="18"/>
      <c r="B476" s="19"/>
      <c r="C476" s="20">
        <v>240616000008</v>
      </c>
      <c r="D476" s="21">
        <v>45465</v>
      </c>
      <c r="E476" s="21" t="s">
        <v>41</v>
      </c>
      <c r="F476" s="19" t="s">
        <v>42</v>
      </c>
      <c r="G476" s="19" t="s">
        <v>386</v>
      </c>
      <c r="H476" s="19">
        <v>0.14</v>
      </c>
      <c r="I476" s="38">
        <v>55</v>
      </c>
      <c r="J476" s="39"/>
      <c r="K476" s="40"/>
      <c r="L476" s="19"/>
      <c r="M476" s="40"/>
      <c r="N476" s="41"/>
      <c r="O476" s="112">
        <f t="shared" ref="O476:O484" si="309">SUM(I476)</f>
        <v>55</v>
      </c>
      <c r="P476" s="44"/>
      <c r="Q476" s="44"/>
      <c r="R476" s="68">
        <f t="shared" si="306"/>
        <v>6.02847</v>
      </c>
      <c r="S476" s="68"/>
      <c r="T476" s="69">
        <f t="shared" si="307"/>
        <v>0.00547225</v>
      </c>
      <c r="U476" s="68"/>
      <c r="V476" s="68"/>
      <c r="W476" s="68">
        <f t="shared" si="302"/>
        <v>6.03394225</v>
      </c>
      <c r="X476" s="70">
        <f t="shared" si="308"/>
        <v>0.12136495</v>
      </c>
      <c r="Y476" s="70"/>
      <c r="Z476" s="70"/>
      <c r="AA476" s="70">
        <f t="shared" si="303"/>
        <v>0.12136495</v>
      </c>
      <c r="AB476" s="80">
        <v>7.24</v>
      </c>
      <c r="AC476" s="68">
        <f t="shared" si="300"/>
        <v>0.878682238</v>
      </c>
      <c r="AD476" s="68">
        <f t="shared" si="301"/>
        <v>6.912624488</v>
      </c>
      <c r="AE476" s="68">
        <f t="shared" si="304"/>
        <v>48.087375512</v>
      </c>
    </row>
    <row r="477" customFormat="1" spans="1:31">
      <c r="A477" s="18"/>
      <c r="B477" s="19"/>
      <c r="C477" s="20">
        <v>240616000011</v>
      </c>
      <c r="D477" s="21">
        <v>45465</v>
      </c>
      <c r="E477" s="21" t="s">
        <v>41</v>
      </c>
      <c r="F477" s="19" t="s">
        <v>42</v>
      </c>
      <c r="G477" s="19" t="s">
        <v>74</v>
      </c>
      <c r="H477" s="19">
        <v>2.5</v>
      </c>
      <c r="I477" s="38">
        <v>171.25</v>
      </c>
      <c r="J477" s="39"/>
      <c r="K477" s="40"/>
      <c r="L477" s="19"/>
      <c r="M477" s="40"/>
      <c r="N477" s="41"/>
      <c r="O477" s="112">
        <f t="shared" si="309"/>
        <v>171.25</v>
      </c>
      <c r="P477" s="44"/>
      <c r="Q477" s="44"/>
      <c r="R477" s="68">
        <f t="shared" si="306"/>
        <v>107.65125</v>
      </c>
      <c r="S477" s="68"/>
      <c r="T477" s="69">
        <f t="shared" si="307"/>
        <v>0.09771875</v>
      </c>
      <c r="U477" s="68"/>
      <c r="V477" s="68"/>
      <c r="W477" s="68">
        <f t="shared" si="302"/>
        <v>107.74896875</v>
      </c>
      <c r="X477" s="70">
        <f t="shared" si="308"/>
        <v>2.16723125</v>
      </c>
      <c r="Y477" s="70"/>
      <c r="Z477" s="70"/>
      <c r="AA477" s="70">
        <f t="shared" si="303"/>
        <v>2.16723125</v>
      </c>
      <c r="AB477" s="80">
        <v>7.24</v>
      </c>
      <c r="AC477" s="68">
        <f t="shared" si="300"/>
        <v>15.69075425</v>
      </c>
      <c r="AD477" s="68">
        <f t="shared" si="301"/>
        <v>123.439723</v>
      </c>
      <c r="AE477" s="68">
        <f t="shared" si="304"/>
        <v>47.810277</v>
      </c>
    </row>
    <row r="478" customFormat="1" spans="1:31">
      <c r="A478" s="18"/>
      <c r="B478" s="19"/>
      <c r="C478" s="20">
        <v>240617000003</v>
      </c>
      <c r="D478" s="21">
        <v>45465</v>
      </c>
      <c r="E478" s="21" t="s">
        <v>66</v>
      </c>
      <c r="F478" s="19"/>
      <c r="G478" s="19" t="s">
        <v>304</v>
      </c>
      <c r="H478" s="19">
        <v>12</v>
      </c>
      <c r="I478" s="42"/>
      <c r="J478" s="46">
        <v>162738.36</v>
      </c>
      <c r="K478" s="40"/>
      <c r="L478" s="47">
        <f>SUM(J478/M478)</f>
        <v>1506</v>
      </c>
      <c r="M478" s="48">
        <v>108.06</v>
      </c>
      <c r="N478" s="41">
        <v>7.24</v>
      </c>
      <c r="O478" s="112">
        <f t="shared" si="305"/>
        <v>782.3544</v>
      </c>
      <c r="P478" s="44"/>
      <c r="Q478" s="44"/>
      <c r="R478" s="68">
        <f t="shared" si="306"/>
        <v>516.726</v>
      </c>
      <c r="S478" s="68"/>
      <c r="T478" s="69">
        <f t="shared" si="307"/>
        <v>0.46905</v>
      </c>
      <c r="U478" s="68"/>
      <c r="V478" s="69">
        <v>89</v>
      </c>
      <c r="W478" s="68">
        <f t="shared" si="302"/>
        <v>606.19505</v>
      </c>
      <c r="X478" s="70">
        <f t="shared" si="308"/>
        <v>10.40271</v>
      </c>
      <c r="Y478" s="70"/>
      <c r="Z478" s="70"/>
      <c r="AA478" s="70">
        <f t="shared" si="303"/>
        <v>10.40271</v>
      </c>
      <c r="AB478" s="80">
        <v>7.24</v>
      </c>
      <c r="AC478" s="68">
        <f t="shared" si="300"/>
        <v>75.3156204</v>
      </c>
      <c r="AD478" s="68">
        <f t="shared" si="301"/>
        <v>681.5106704</v>
      </c>
      <c r="AE478" s="68">
        <f t="shared" si="304"/>
        <v>100.8437296</v>
      </c>
    </row>
    <row r="479" customFormat="1" spans="1:31">
      <c r="A479" s="18"/>
      <c r="B479" s="19"/>
      <c r="C479" s="20">
        <v>240617000005</v>
      </c>
      <c r="D479" s="21">
        <v>45465</v>
      </c>
      <c r="E479" s="21" t="s">
        <v>48</v>
      </c>
      <c r="F479" s="19" t="s">
        <v>49</v>
      </c>
      <c r="G479" s="19" t="s">
        <v>400</v>
      </c>
      <c r="H479" s="19">
        <v>12.5</v>
      </c>
      <c r="I479" s="38">
        <v>825</v>
      </c>
      <c r="J479" s="39"/>
      <c r="K479" s="40"/>
      <c r="L479" s="19"/>
      <c r="M479" s="40"/>
      <c r="N479" s="41"/>
      <c r="O479" s="112">
        <f t="shared" si="309"/>
        <v>825</v>
      </c>
      <c r="P479" s="44"/>
      <c r="Q479" s="44"/>
      <c r="R479" s="68">
        <f t="shared" si="306"/>
        <v>538.25625</v>
      </c>
      <c r="S479" s="68"/>
      <c r="T479" s="69">
        <f t="shared" si="307"/>
        <v>0.48859375</v>
      </c>
      <c r="U479" s="68"/>
      <c r="V479" s="68"/>
      <c r="W479" s="68">
        <f t="shared" si="302"/>
        <v>538.74484375</v>
      </c>
      <c r="X479" s="70">
        <f t="shared" si="308"/>
        <v>10.83615625</v>
      </c>
      <c r="Y479" s="70"/>
      <c r="Z479" s="70"/>
      <c r="AA479" s="70">
        <f t="shared" si="303"/>
        <v>10.83615625</v>
      </c>
      <c r="AB479" s="80">
        <v>7.24</v>
      </c>
      <c r="AC479" s="68">
        <f t="shared" si="300"/>
        <v>78.45377125</v>
      </c>
      <c r="AD479" s="68">
        <f t="shared" si="301"/>
        <v>617.198615</v>
      </c>
      <c r="AE479" s="68">
        <f t="shared" si="304"/>
        <v>207.801385</v>
      </c>
    </row>
    <row r="480" customFormat="1" spans="1:31">
      <c r="A480" s="18"/>
      <c r="B480" s="19"/>
      <c r="C480" s="20">
        <v>240617000007</v>
      </c>
      <c r="D480" s="21">
        <v>45465</v>
      </c>
      <c r="E480" s="21" t="s">
        <v>264</v>
      </c>
      <c r="F480" s="19" t="s">
        <v>37</v>
      </c>
      <c r="G480" s="19" t="s">
        <v>265</v>
      </c>
      <c r="H480" s="19">
        <v>0.48</v>
      </c>
      <c r="I480" s="38">
        <v>63</v>
      </c>
      <c r="J480" s="39"/>
      <c r="K480" s="40"/>
      <c r="L480" s="19"/>
      <c r="M480" s="40"/>
      <c r="N480" s="41"/>
      <c r="O480" s="112">
        <f t="shared" si="309"/>
        <v>63</v>
      </c>
      <c r="P480" s="44"/>
      <c r="Q480" s="44"/>
      <c r="R480" s="68">
        <f t="shared" si="306"/>
        <v>20.66904</v>
      </c>
      <c r="S480" s="68"/>
      <c r="T480" s="69">
        <f t="shared" si="307"/>
        <v>0.018762</v>
      </c>
      <c r="U480" s="68"/>
      <c r="V480" s="68"/>
      <c r="W480" s="68">
        <f t="shared" si="302"/>
        <v>20.687802</v>
      </c>
      <c r="X480" s="70">
        <f t="shared" si="308"/>
        <v>0.4161084</v>
      </c>
      <c r="Y480" s="70"/>
      <c r="Z480" s="70"/>
      <c r="AA480" s="70">
        <f t="shared" si="303"/>
        <v>0.4161084</v>
      </c>
      <c r="AB480" s="80">
        <v>7.24</v>
      </c>
      <c r="AC480" s="68">
        <f t="shared" si="300"/>
        <v>3.012624816</v>
      </c>
      <c r="AD480" s="68">
        <f t="shared" si="301"/>
        <v>23.700426816</v>
      </c>
      <c r="AE480" s="68">
        <f t="shared" si="304"/>
        <v>39.299573184</v>
      </c>
    </row>
    <row r="481" customFormat="1" spans="1:31">
      <c r="A481" s="18"/>
      <c r="B481" s="19"/>
      <c r="C481" s="20">
        <v>240617000013</v>
      </c>
      <c r="D481" s="21">
        <v>45465</v>
      </c>
      <c r="E481" s="21" t="s">
        <v>48</v>
      </c>
      <c r="F481" s="19" t="s">
        <v>49</v>
      </c>
      <c r="G481" s="19" t="s">
        <v>183</v>
      </c>
      <c r="H481" s="19">
        <v>2</v>
      </c>
      <c r="I481" s="38">
        <v>120</v>
      </c>
      <c r="J481" s="39"/>
      <c r="K481" s="40"/>
      <c r="L481" s="19"/>
      <c r="M481" s="40"/>
      <c r="N481" s="41"/>
      <c r="O481" s="112">
        <f t="shared" si="309"/>
        <v>120</v>
      </c>
      <c r="P481" s="44"/>
      <c r="Q481" s="44"/>
      <c r="R481" s="68">
        <f t="shared" si="306"/>
        <v>86.121</v>
      </c>
      <c r="S481" s="68"/>
      <c r="T481" s="69">
        <f t="shared" si="307"/>
        <v>0.078175</v>
      </c>
      <c r="U481" s="68"/>
      <c r="V481" s="68"/>
      <c r="W481" s="68">
        <f t="shared" si="302"/>
        <v>86.199175</v>
      </c>
      <c r="X481" s="70">
        <f t="shared" si="308"/>
        <v>1.733785</v>
      </c>
      <c r="Y481" s="70"/>
      <c r="Z481" s="70"/>
      <c r="AA481" s="70">
        <f t="shared" si="303"/>
        <v>1.733785</v>
      </c>
      <c r="AB481" s="80">
        <v>7.24</v>
      </c>
      <c r="AC481" s="68">
        <f t="shared" si="300"/>
        <v>12.5526034</v>
      </c>
      <c r="AD481" s="68">
        <f t="shared" si="301"/>
        <v>98.7517784</v>
      </c>
      <c r="AE481" s="68">
        <f t="shared" si="304"/>
        <v>21.2482216</v>
      </c>
    </row>
    <row r="482" customFormat="1" spans="1:31">
      <c r="A482" s="18"/>
      <c r="B482" s="19"/>
      <c r="C482" s="20">
        <v>240617000015</v>
      </c>
      <c r="D482" s="21">
        <v>45465</v>
      </c>
      <c r="E482" s="21" t="s">
        <v>51</v>
      </c>
      <c r="F482" s="19" t="s">
        <v>52</v>
      </c>
      <c r="G482" s="19" t="s">
        <v>401</v>
      </c>
      <c r="H482" s="19">
        <v>0.2</v>
      </c>
      <c r="I482" s="38">
        <v>63</v>
      </c>
      <c r="J482" s="39"/>
      <c r="K482" s="40"/>
      <c r="L482" s="19"/>
      <c r="M482" s="40"/>
      <c r="N482" s="41"/>
      <c r="O482" s="112">
        <f t="shared" si="309"/>
        <v>63</v>
      </c>
      <c r="P482" s="44"/>
      <c r="Q482" s="44"/>
      <c r="R482" s="68">
        <f t="shared" si="306"/>
        <v>8.6121</v>
      </c>
      <c r="S482" s="68"/>
      <c r="T482" s="69">
        <f t="shared" si="307"/>
        <v>0.0078175</v>
      </c>
      <c r="U482" s="68"/>
      <c r="V482" s="68"/>
      <c r="W482" s="68">
        <f t="shared" si="302"/>
        <v>8.6199175</v>
      </c>
      <c r="X482" s="70">
        <f t="shared" si="308"/>
        <v>0.1733785</v>
      </c>
      <c r="Y482" s="70"/>
      <c r="Z482" s="70"/>
      <c r="AA482" s="70">
        <f t="shared" si="303"/>
        <v>0.1733785</v>
      </c>
      <c r="AB482" s="80">
        <v>7.24</v>
      </c>
      <c r="AC482" s="68">
        <f t="shared" si="300"/>
        <v>1.25526034</v>
      </c>
      <c r="AD482" s="68">
        <f t="shared" si="301"/>
        <v>9.87517784</v>
      </c>
      <c r="AE482" s="68">
        <f t="shared" si="304"/>
        <v>53.12482216</v>
      </c>
    </row>
    <row r="483" customFormat="1" spans="1:31">
      <c r="A483" s="18"/>
      <c r="B483" s="19"/>
      <c r="C483" s="20">
        <v>240617000018</v>
      </c>
      <c r="D483" s="21">
        <v>45465</v>
      </c>
      <c r="E483" s="21" t="s">
        <v>48</v>
      </c>
      <c r="F483" s="19" t="s">
        <v>49</v>
      </c>
      <c r="G483" s="19" t="s">
        <v>210</v>
      </c>
      <c r="H483" s="19">
        <v>21</v>
      </c>
      <c r="I483" s="38">
        <v>1155</v>
      </c>
      <c r="J483" s="39"/>
      <c r="K483" s="40"/>
      <c r="L483" s="19"/>
      <c r="M483" s="40"/>
      <c r="N483" s="41"/>
      <c r="O483" s="112">
        <f t="shared" si="309"/>
        <v>1155</v>
      </c>
      <c r="P483" s="44"/>
      <c r="Q483" s="44"/>
      <c r="R483" s="68">
        <f t="shared" si="306"/>
        <v>904.2705</v>
      </c>
      <c r="S483" s="68"/>
      <c r="T483" s="69">
        <f t="shared" si="307"/>
        <v>0.8208375</v>
      </c>
      <c r="U483" s="68"/>
      <c r="V483" s="68"/>
      <c r="W483" s="68">
        <f t="shared" si="302"/>
        <v>905.0913375</v>
      </c>
      <c r="X483" s="70">
        <f t="shared" si="308"/>
        <v>18.2047425</v>
      </c>
      <c r="Y483" s="70"/>
      <c r="Z483" s="70"/>
      <c r="AA483" s="70">
        <f t="shared" si="303"/>
        <v>18.2047425</v>
      </c>
      <c r="AB483" s="80">
        <v>7.24</v>
      </c>
      <c r="AC483" s="68">
        <f t="shared" si="300"/>
        <v>131.8023357</v>
      </c>
      <c r="AD483" s="68">
        <f t="shared" si="301"/>
        <v>1036.8936732</v>
      </c>
      <c r="AE483" s="68">
        <f t="shared" si="304"/>
        <v>118.1063268</v>
      </c>
    </row>
    <row r="484" customFormat="1" spans="1:31">
      <c r="A484" s="18"/>
      <c r="B484" s="19"/>
      <c r="C484" s="20">
        <v>240617000021</v>
      </c>
      <c r="D484" s="21">
        <v>45465</v>
      </c>
      <c r="E484" s="21" t="s">
        <v>136</v>
      </c>
      <c r="F484" s="19" t="s">
        <v>137</v>
      </c>
      <c r="G484" s="19" t="s">
        <v>402</v>
      </c>
      <c r="H484" s="19">
        <v>16</v>
      </c>
      <c r="I484" s="45"/>
      <c r="J484" s="46">
        <v>192780</v>
      </c>
      <c r="K484" s="40"/>
      <c r="L484" s="47">
        <f>SUM(J484/M484)</f>
        <v>1520.46691379446</v>
      </c>
      <c r="M484" s="48">
        <v>126.79</v>
      </c>
      <c r="N484" s="97">
        <v>7.24</v>
      </c>
      <c r="O484" s="112">
        <f>SUM(M484*N484)</f>
        <v>917.9596</v>
      </c>
      <c r="P484" s="44"/>
      <c r="Q484" s="44"/>
      <c r="R484" s="68">
        <f t="shared" si="306"/>
        <v>688.968</v>
      </c>
      <c r="S484" s="68"/>
      <c r="T484" s="69">
        <f t="shared" si="307"/>
        <v>0.6254</v>
      </c>
      <c r="U484" s="68"/>
      <c r="V484" s="68"/>
      <c r="W484" s="68">
        <f t="shared" si="302"/>
        <v>689.5934</v>
      </c>
      <c r="X484" s="70">
        <f t="shared" si="308"/>
        <v>13.87028</v>
      </c>
      <c r="Y484" s="70"/>
      <c r="Z484" s="70"/>
      <c r="AA484" s="70">
        <f t="shared" si="303"/>
        <v>13.87028</v>
      </c>
      <c r="AB484" s="80">
        <v>7.24</v>
      </c>
      <c r="AC484" s="68">
        <f t="shared" si="300"/>
        <v>100.4208272</v>
      </c>
      <c r="AD484" s="68">
        <f t="shared" si="301"/>
        <v>790.0142272</v>
      </c>
      <c r="AE484" s="68">
        <f t="shared" si="304"/>
        <v>127.9453728</v>
      </c>
    </row>
    <row r="485" customFormat="1" spans="1:31">
      <c r="A485" s="18"/>
      <c r="B485" s="19"/>
      <c r="C485" s="81">
        <v>240617000024</v>
      </c>
      <c r="D485" s="82">
        <v>45465</v>
      </c>
      <c r="E485" s="21" t="s">
        <v>48</v>
      </c>
      <c r="F485" s="83" t="s">
        <v>49</v>
      </c>
      <c r="G485" s="83" t="s">
        <v>150</v>
      </c>
      <c r="H485" s="83">
        <v>14</v>
      </c>
      <c r="I485" s="45"/>
      <c r="J485" s="46">
        <v>185724</v>
      </c>
      <c r="K485" s="40"/>
      <c r="L485" s="47">
        <f>SUM(J485/M485)</f>
        <v>1520.45845272206</v>
      </c>
      <c r="M485" s="48">
        <v>122.15</v>
      </c>
      <c r="N485" s="41">
        <v>7.24</v>
      </c>
      <c r="O485" s="112">
        <f>SUM(M485*N485)</f>
        <v>884.366</v>
      </c>
      <c r="P485" s="44"/>
      <c r="Q485" s="44"/>
      <c r="R485" s="68">
        <f t="shared" si="306"/>
        <v>602.847</v>
      </c>
      <c r="S485" s="68"/>
      <c r="T485" s="69">
        <f t="shared" si="307"/>
        <v>0.547225</v>
      </c>
      <c r="U485" s="68"/>
      <c r="V485" s="68"/>
      <c r="W485" s="68">
        <f t="shared" si="302"/>
        <v>603.394225</v>
      </c>
      <c r="X485" s="70">
        <f t="shared" si="308"/>
        <v>12.136495</v>
      </c>
      <c r="Y485" s="70"/>
      <c r="Z485" s="70"/>
      <c r="AA485" s="70">
        <f t="shared" si="303"/>
        <v>12.136495</v>
      </c>
      <c r="AB485" s="80">
        <v>7.24</v>
      </c>
      <c r="AC485" s="68">
        <f t="shared" si="300"/>
        <v>87.8682238</v>
      </c>
      <c r="AD485" s="68">
        <f t="shared" si="301"/>
        <v>691.2624488</v>
      </c>
      <c r="AE485" s="68">
        <f t="shared" si="304"/>
        <v>193.1035512</v>
      </c>
    </row>
    <row r="486" customFormat="1" spans="1:31">
      <c r="A486" s="18"/>
      <c r="B486" s="19"/>
      <c r="C486" s="20">
        <v>240617000026</v>
      </c>
      <c r="D486" s="21">
        <v>45465</v>
      </c>
      <c r="E486" s="21" t="s">
        <v>41</v>
      </c>
      <c r="F486" s="19" t="s">
        <v>42</v>
      </c>
      <c r="G486" s="19" t="s">
        <v>247</v>
      </c>
      <c r="H486" s="19">
        <v>3</v>
      </c>
      <c r="I486" s="38">
        <v>183</v>
      </c>
      <c r="J486" s="39"/>
      <c r="K486" s="40"/>
      <c r="L486" s="19"/>
      <c r="M486" s="40"/>
      <c r="N486" s="41"/>
      <c r="O486" s="112">
        <f t="shared" ref="O486:O490" si="310">SUM(I486)</f>
        <v>183</v>
      </c>
      <c r="P486" s="44"/>
      <c r="Q486" s="44"/>
      <c r="R486" s="68">
        <f t="shared" si="306"/>
        <v>129.1815</v>
      </c>
      <c r="S486" s="68"/>
      <c r="T486" s="69">
        <f t="shared" si="307"/>
        <v>0.1172625</v>
      </c>
      <c r="U486" s="68"/>
      <c r="V486" s="68"/>
      <c r="W486" s="68">
        <f t="shared" si="302"/>
        <v>129.2987625</v>
      </c>
      <c r="X486" s="70">
        <f t="shared" si="308"/>
        <v>2.6006775</v>
      </c>
      <c r="Y486" s="70"/>
      <c r="Z486" s="70"/>
      <c r="AA486" s="70">
        <f t="shared" si="303"/>
        <v>2.6006775</v>
      </c>
      <c r="AB486" s="80">
        <v>7.24</v>
      </c>
      <c r="AC486" s="68">
        <f t="shared" si="300"/>
        <v>18.8289051</v>
      </c>
      <c r="AD486" s="68">
        <f t="shared" si="301"/>
        <v>148.1276676</v>
      </c>
      <c r="AE486" s="68">
        <f t="shared" si="304"/>
        <v>34.8723324</v>
      </c>
    </row>
    <row r="487" customFormat="1" spans="1:31">
      <c r="A487" s="18"/>
      <c r="B487" s="19"/>
      <c r="C487" s="20">
        <v>240617000027</v>
      </c>
      <c r="D487" s="21">
        <v>45465</v>
      </c>
      <c r="E487" s="21" t="s">
        <v>41</v>
      </c>
      <c r="F487" s="19" t="s">
        <v>42</v>
      </c>
      <c r="G487" s="19" t="s">
        <v>247</v>
      </c>
      <c r="H487" s="19">
        <v>17</v>
      </c>
      <c r="I487" s="38">
        <v>1005</v>
      </c>
      <c r="J487" s="39"/>
      <c r="K487" s="40"/>
      <c r="L487" s="19"/>
      <c r="M487" s="40"/>
      <c r="N487" s="41"/>
      <c r="O487" s="112">
        <f t="shared" si="310"/>
        <v>1005</v>
      </c>
      <c r="P487" s="44"/>
      <c r="Q487" s="44"/>
      <c r="R487" s="68">
        <f t="shared" si="306"/>
        <v>732.0285</v>
      </c>
      <c r="S487" s="68"/>
      <c r="T487" s="69">
        <f t="shared" si="307"/>
        <v>0.6644875</v>
      </c>
      <c r="U487" s="68">
        <v>30</v>
      </c>
      <c r="V487" s="68"/>
      <c r="W487" s="68">
        <f t="shared" si="302"/>
        <v>762.6929875</v>
      </c>
      <c r="X487" s="70">
        <f t="shared" si="308"/>
        <v>14.7371725</v>
      </c>
      <c r="Y487" s="70"/>
      <c r="Z487" s="70"/>
      <c r="AA487" s="70">
        <f t="shared" si="303"/>
        <v>14.7371725</v>
      </c>
      <c r="AB487" s="80">
        <v>7.24</v>
      </c>
      <c r="AC487" s="68">
        <f t="shared" si="300"/>
        <v>106.6971289</v>
      </c>
      <c r="AD487" s="68">
        <f t="shared" si="301"/>
        <v>869.3901164</v>
      </c>
      <c r="AE487" s="68">
        <f t="shared" si="304"/>
        <v>135.6098836</v>
      </c>
    </row>
    <row r="488" customFormat="1" spans="1:31">
      <c r="A488" s="18"/>
      <c r="B488" s="19"/>
      <c r="C488" s="20">
        <v>240617000038</v>
      </c>
      <c r="D488" s="21">
        <v>45465</v>
      </c>
      <c r="E488" s="21" t="s">
        <v>48</v>
      </c>
      <c r="F488" s="19" t="s">
        <v>49</v>
      </c>
      <c r="G488" s="19" t="s">
        <v>403</v>
      </c>
      <c r="H488" s="19">
        <v>0.1</v>
      </c>
      <c r="I488" s="38">
        <v>63</v>
      </c>
      <c r="J488" s="39"/>
      <c r="K488" s="40"/>
      <c r="L488" s="19"/>
      <c r="M488" s="40"/>
      <c r="N488" s="41"/>
      <c r="O488" s="112">
        <f t="shared" si="310"/>
        <v>63</v>
      </c>
      <c r="P488" s="44"/>
      <c r="Q488" s="44"/>
      <c r="R488" s="68">
        <f t="shared" si="306"/>
        <v>4.30605</v>
      </c>
      <c r="S488" s="68"/>
      <c r="T488" s="69">
        <f t="shared" si="307"/>
        <v>0.00390875</v>
      </c>
      <c r="U488" s="68"/>
      <c r="V488" s="68"/>
      <c r="W488" s="68">
        <f t="shared" si="302"/>
        <v>4.30995875</v>
      </c>
      <c r="X488" s="70">
        <f t="shared" si="308"/>
        <v>0.08668925</v>
      </c>
      <c r="Y488" s="70"/>
      <c r="Z488" s="70"/>
      <c r="AA488" s="70">
        <f t="shared" si="303"/>
        <v>0.08668925</v>
      </c>
      <c r="AB488" s="80">
        <v>7.24</v>
      </c>
      <c r="AC488" s="68">
        <f t="shared" si="300"/>
        <v>0.62763017</v>
      </c>
      <c r="AD488" s="68">
        <f t="shared" si="301"/>
        <v>4.93758892</v>
      </c>
      <c r="AE488" s="68">
        <f t="shared" si="304"/>
        <v>58.06241108</v>
      </c>
    </row>
    <row r="489" customFormat="1" spans="1:31">
      <c r="A489" s="18"/>
      <c r="B489" s="19"/>
      <c r="C489" s="20">
        <v>240617000039</v>
      </c>
      <c r="D489" s="21">
        <v>45465</v>
      </c>
      <c r="E489" s="21" t="s">
        <v>37</v>
      </c>
      <c r="F489" s="19" t="s">
        <v>37</v>
      </c>
      <c r="G489" s="19" t="s">
        <v>169</v>
      </c>
      <c r="H489" s="19">
        <v>61.5</v>
      </c>
      <c r="I489" s="38">
        <v>3390.5</v>
      </c>
      <c r="J489" s="39"/>
      <c r="K489" s="40"/>
      <c r="L489" s="19"/>
      <c r="M489" s="40"/>
      <c r="N489" s="41"/>
      <c r="O489" s="112">
        <f t="shared" si="310"/>
        <v>3390.5</v>
      </c>
      <c r="P489" s="44"/>
      <c r="Q489" s="44"/>
      <c r="R489" s="68">
        <f t="shared" si="306"/>
        <v>2648.22075</v>
      </c>
      <c r="S489" s="68"/>
      <c r="T489" s="69">
        <f t="shared" si="307"/>
        <v>2.40388125</v>
      </c>
      <c r="U489" s="68"/>
      <c r="V489" s="68"/>
      <c r="W489" s="68">
        <f t="shared" si="302"/>
        <v>2650.62463125</v>
      </c>
      <c r="X489" s="70">
        <f t="shared" si="308"/>
        <v>53.31388875</v>
      </c>
      <c r="Y489" s="70"/>
      <c r="Z489" s="70"/>
      <c r="AA489" s="70">
        <f t="shared" si="303"/>
        <v>53.31388875</v>
      </c>
      <c r="AB489" s="80">
        <v>7.24</v>
      </c>
      <c r="AC489" s="68">
        <f t="shared" si="300"/>
        <v>385.99255455</v>
      </c>
      <c r="AD489" s="68">
        <f t="shared" si="301"/>
        <v>3036.6171858</v>
      </c>
      <c r="AE489" s="68">
        <f t="shared" si="304"/>
        <v>353.8828142</v>
      </c>
    </row>
    <row r="490" customFormat="1" spans="1:31">
      <c r="A490" s="18"/>
      <c r="B490" s="19"/>
      <c r="C490" s="20">
        <v>240617000042</v>
      </c>
      <c r="D490" s="21">
        <v>45465</v>
      </c>
      <c r="E490" s="21" t="s">
        <v>48</v>
      </c>
      <c r="F490" s="19" t="s">
        <v>49</v>
      </c>
      <c r="G490" s="19" t="s">
        <v>124</v>
      </c>
      <c r="H490" s="19">
        <v>2.5</v>
      </c>
      <c r="I490" s="38">
        <v>441</v>
      </c>
      <c r="J490" s="39"/>
      <c r="K490" s="40"/>
      <c r="L490" s="19"/>
      <c r="M490" s="40"/>
      <c r="N490" s="41"/>
      <c r="O490" s="112">
        <f t="shared" si="310"/>
        <v>441</v>
      </c>
      <c r="P490" s="44"/>
      <c r="Q490" s="44"/>
      <c r="R490" s="68">
        <f t="shared" si="306"/>
        <v>107.65125</v>
      </c>
      <c r="S490" s="68"/>
      <c r="T490" s="69">
        <f t="shared" si="307"/>
        <v>0.09771875</v>
      </c>
      <c r="U490" s="68"/>
      <c r="V490" s="68"/>
      <c r="W490" s="68">
        <f t="shared" si="302"/>
        <v>107.74896875</v>
      </c>
      <c r="X490" s="70">
        <f t="shared" si="308"/>
        <v>2.16723125</v>
      </c>
      <c r="Y490" s="70"/>
      <c r="Z490" s="70"/>
      <c r="AA490" s="70">
        <f t="shared" si="303"/>
        <v>2.16723125</v>
      </c>
      <c r="AB490" s="80">
        <v>7.24</v>
      </c>
      <c r="AC490" s="68">
        <f t="shared" si="300"/>
        <v>15.69075425</v>
      </c>
      <c r="AD490" s="68">
        <f t="shared" si="301"/>
        <v>123.439723</v>
      </c>
      <c r="AE490" s="68">
        <f t="shared" si="304"/>
        <v>317.560277</v>
      </c>
    </row>
    <row r="491" customFormat="1" spans="1:31">
      <c r="A491" s="18"/>
      <c r="B491" s="19"/>
      <c r="C491" s="20">
        <v>240617000043</v>
      </c>
      <c r="D491" s="21">
        <v>45465</v>
      </c>
      <c r="E491" s="21" t="s">
        <v>48</v>
      </c>
      <c r="F491" s="19" t="s">
        <v>49</v>
      </c>
      <c r="G491" s="19" t="s">
        <v>124</v>
      </c>
      <c r="H491" s="19">
        <v>5</v>
      </c>
      <c r="I491" s="86"/>
      <c r="J491" s="46">
        <v>160987.5</v>
      </c>
      <c r="K491" s="40"/>
      <c r="L491" s="47">
        <f t="shared" ref="L491:L494" si="311">SUM(J491/M491)</f>
        <v>1629.09836065574</v>
      </c>
      <c r="M491" s="48">
        <v>98.82</v>
      </c>
      <c r="N491" s="41">
        <v>7.24</v>
      </c>
      <c r="O491" s="112">
        <f t="shared" ref="O491:O494" si="312">SUM(M491*N491)</f>
        <v>715.4568</v>
      </c>
      <c r="P491" s="44"/>
      <c r="Q491" s="44"/>
      <c r="R491" s="68">
        <f t="shared" si="306"/>
        <v>215.3025</v>
      </c>
      <c r="S491" s="68"/>
      <c r="T491" s="69">
        <f t="shared" si="307"/>
        <v>0.1954375</v>
      </c>
      <c r="U491" s="68"/>
      <c r="V491" s="68"/>
      <c r="W491" s="68">
        <f t="shared" si="302"/>
        <v>215.4979375</v>
      </c>
      <c r="X491" s="70">
        <f t="shared" si="308"/>
        <v>4.3344625</v>
      </c>
      <c r="Y491" s="70"/>
      <c r="Z491" s="70"/>
      <c r="AA491" s="70">
        <f t="shared" si="303"/>
        <v>4.3344625</v>
      </c>
      <c r="AB491" s="80">
        <v>7.24</v>
      </c>
      <c r="AC491" s="68">
        <f t="shared" si="300"/>
        <v>31.3815085</v>
      </c>
      <c r="AD491" s="68">
        <f t="shared" si="301"/>
        <v>246.879446</v>
      </c>
      <c r="AE491" s="68">
        <f t="shared" si="304"/>
        <v>468.577354</v>
      </c>
    </row>
    <row r="492" customFormat="1" spans="1:31">
      <c r="A492" s="18"/>
      <c r="B492" s="19"/>
      <c r="C492" s="20">
        <v>240617000047</v>
      </c>
      <c r="D492" s="21">
        <v>45465</v>
      </c>
      <c r="E492" s="21" t="s">
        <v>48</v>
      </c>
      <c r="F492" s="19" t="s">
        <v>49</v>
      </c>
      <c r="G492" s="19" t="s">
        <v>73</v>
      </c>
      <c r="H492" s="19">
        <v>62</v>
      </c>
      <c r="I492" s="45"/>
      <c r="J492" s="46">
        <v>820116</v>
      </c>
      <c r="K492" s="40"/>
      <c r="L492" s="47">
        <f t="shared" si="311"/>
        <v>1578.32990127211</v>
      </c>
      <c r="M492" s="48">
        <v>519.61</v>
      </c>
      <c r="N492" s="41">
        <v>7.24</v>
      </c>
      <c r="O492" s="112">
        <f t="shared" si="312"/>
        <v>3761.9764</v>
      </c>
      <c r="P492" s="44"/>
      <c r="Q492" s="44"/>
      <c r="R492" s="68">
        <f t="shared" si="306"/>
        <v>2669.751</v>
      </c>
      <c r="S492" s="68"/>
      <c r="T492" s="69">
        <f t="shared" si="307"/>
        <v>2.423425</v>
      </c>
      <c r="U492" s="68"/>
      <c r="V492" s="69">
        <v>204</v>
      </c>
      <c r="W492" s="68">
        <f t="shared" si="302"/>
        <v>2876.174425</v>
      </c>
      <c r="X492" s="70">
        <f t="shared" si="308"/>
        <v>53.747335</v>
      </c>
      <c r="Y492" s="70"/>
      <c r="Z492" s="70"/>
      <c r="AA492" s="70">
        <f t="shared" si="303"/>
        <v>53.747335</v>
      </c>
      <c r="AB492" s="80">
        <v>7.24</v>
      </c>
      <c r="AC492" s="68">
        <f t="shared" si="300"/>
        <v>389.1307054</v>
      </c>
      <c r="AD492" s="68">
        <f t="shared" si="301"/>
        <v>3265.3051304</v>
      </c>
      <c r="AE492" s="68">
        <f t="shared" si="304"/>
        <v>496.6712696</v>
      </c>
    </row>
    <row r="493" customFormat="1" spans="1:31">
      <c r="A493" s="18"/>
      <c r="B493" s="19"/>
      <c r="C493" s="20">
        <v>240617000051</v>
      </c>
      <c r="D493" s="21">
        <v>45465</v>
      </c>
      <c r="E493" s="21" t="s">
        <v>41</v>
      </c>
      <c r="F493" s="19" t="s">
        <v>42</v>
      </c>
      <c r="G493" s="19" t="s">
        <v>125</v>
      </c>
      <c r="H493" s="19">
        <v>0.6</v>
      </c>
      <c r="I493" s="42"/>
      <c r="J493" s="46">
        <v>13252.8</v>
      </c>
      <c r="K493" s="40"/>
      <c r="L493" s="47">
        <f t="shared" si="311"/>
        <v>1506</v>
      </c>
      <c r="M493" s="48">
        <v>8.8</v>
      </c>
      <c r="N493" s="41">
        <v>7.24</v>
      </c>
      <c r="O493" s="112">
        <f t="shared" si="312"/>
        <v>63.712</v>
      </c>
      <c r="P493" s="44"/>
      <c r="Q493" s="44"/>
      <c r="R493" s="68">
        <f t="shared" si="306"/>
        <v>25.8363</v>
      </c>
      <c r="S493" s="68"/>
      <c r="T493" s="69">
        <f t="shared" si="307"/>
        <v>0.0234525</v>
      </c>
      <c r="U493" s="68"/>
      <c r="V493" s="68"/>
      <c r="W493" s="68">
        <f t="shared" si="302"/>
        <v>25.8597525</v>
      </c>
      <c r="X493" s="70">
        <f t="shared" si="308"/>
        <v>0.5201355</v>
      </c>
      <c r="Y493" s="70"/>
      <c r="Z493" s="70"/>
      <c r="AA493" s="70">
        <f t="shared" si="303"/>
        <v>0.5201355</v>
      </c>
      <c r="AB493" s="80">
        <v>7.24</v>
      </c>
      <c r="AC493" s="68">
        <f t="shared" si="300"/>
        <v>3.76578102</v>
      </c>
      <c r="AD493" s="68">
        <f t="shared" si="301"/>
        <v>29.62553352</v>
      </c>
      <c r="AE493" s="68">
        <f t="shared" si="304"/>
        <v>34.08646648</v>
      </c>
    </row>
    <row r="494" customFormat="1" spans="1:31">
      <c r="A494" s="18"/>
      <c r="B494" s="19"/>
      <c r="C494" s="20">
        <v>240618000004</v>
      </c>
      <c r="D494" s="21">
        <v>45465</v>
      </c>
      <c r="E494" s="21" t="s">
        <v>48</v>
      </c>
      <c r="F494" s="19" t="s">
        <v>49</v>
      </c>
      <c r="G494" s="19" t="s">
        <v>404</v>
      </c>
      <c r="H494" s="19">
        <v>2.5</v>
      </c>
      <c r="I494" s="45"/>
      <c r="J494" s="46">
        <v>32130</v>
      </c>
      <c r="K494" s="40"/>
      <c r="L494" s="47">
        <f t="shared" si="311"/>
        <v>1520.58684335069</v>
      </c>
      <c r="M494" s="48">
        <v>21.13</v>
      </c>
      <c r="N494" s="41">
        <v>7.24</v>
      </c>
      <c r="O494" s="112">
        <f t="shared" si="312"/>
        <v>152.9812</v>
      </c>
      <c r="P494" s="44"/>
      <c r="Q494" s="44"/>
      <c r="R494" s="68">
        <f t="shared" si="306"/>
        <v>107.65125</v>
      </c>
      <c r="S494" s="68"/>
      <c r="T494" s="69">
        <f t="shared" si="307"/>
        <v>0.09771875</v>
      </c>
      <c r="U494" s="68"/>
      <c r="V494" s="68"/>
      <c r="W494" s="68">
        <f t="shared" si="302"/>
        <v>107.74896875</v>
      </c>
      <c r="X494" s="70">
        <f t="shared" si="308"/>
        <v>2.16723125</v>
      </c>
      <c r="Y494" s="70"/>
      <c r="Z494" s="70"/>
      <c r="AA494" s="70">
        <f t="shared" si="303"/>
        <v>2.16723125</v>
      </c>
      <c r="AB494" s="80">
        <v>7.24</v>
      </c>
      <c r="AC494" s="68">
        <f t="shared" si="300"/>
        <v>15.69075425</v>
      </c>
      <c r="AD494" s="68">
        <f t="shared" si="301"/>
        <v>123.439723</v>
      </c>
      <c r="AE494" s="68">
        <f t="shared" si="304"/>
        <v>29.541477</v>
      </c>
    </row>
    <row r="495" customFormat="1" spans="1:31">
      <c r="A495" s="18"/>
      <c r="B495" s="19"/>
      <c r="C495" s="20">
        <v>240618000012</v>
      </c>
      <c r="D495" s="21">
        <v>45465</v>
      </c>
      <c r="E495" s="21" t="s">
        <v>41</v>
      </c>
      <c r="F495" s="19" t="s">
        <v>42</v>
      </c>
      <c r="G495" s="19" t="s">
        <v>74</v>
      </c>
      <c r="H495" s="19">
        <v>4</v>
      </c>
      <c r="I495" s="38">
        <v>274</v>
      </c>
      <c r="J495" s="39"/>
      <c r="K495" s="40"/>
      <c r="L495" s="19"/>
      <c r="M495" s="40"/>
      <c r="N495" s="41"/>
      <c r="O495" s="112">
        <f t="shared" ref="O495:O497" si="313">SUM(I495)</f>
        <v>274</v>
      </c>
      <c r="P495" s="44"/>
      <c r="Q495" s="44"/>
      <c r="R495" s="68">
        <f t="shared" si="306"/>
        <v>172.242</v>
      </c>
      <c r="S495" s="68"/>
      <c r="T495" s="69">
        <f t="shared" si="307"/>
        <v>0.15635</v>
      </c>
      <c r="U495" s="68"/>
      <c r="V495" s="68"/>
      <c r="W495" s="68">
        <f t="shared" si="302"/>
        <v>172.39835</v>
      </c>
      <c r="X495" s="70">
        <f t="shared" si="308"/>
        <v>3.46757</v>
      </c>
      <c r="Y495" s="70"/>
      <c r="Z495" s="70"/>
      <c r="AA495" s="70">
        <f t="shared" si="303"/>
        <v>3.46757</v>
      </c>
      <c r="AB495" s="80">
        <v>7.24</v>
      </c>
      <c r="AC495" s="68">
        <f t="shared" si="300"/>
        <v>25.1052068</v>
      </c>
      <c r="AD495" s="68">
        <f t="shared" si="301"/>
        <v>197.5035568</v>
      </c>
      <c r="AE495" s="68">
        <f t="shared" si="304"/>
        <v>76.4964432</v>
      </c>
    </row>
    <row r="496" customFormat="1" spans="1:31">
      <c r="A496" s="18"/>
      <c r="B496" s="19"/>
      <c r="C496" s="20">
        <v>240618000015</v>
      </c>
      <c r="D496" s="21">
        <v>45465</v>
      </c>
      <c r="E496" s="21" t="s">
        <v>48</v>
      </c>
      <c r="F496" s="19" t="s">
        <v>49</v>
      </c>
      <c r="G496" s="19" t="s">
        <v>126</v>
      </c>
      <c r="H496" s="19">
        <v>418.5</v>
      </c>
      <c r="I496" s="38">
        <v>22106</v>
      </c>
      <c r="J496" s="39"/>
      <c r="K496" s="40"/>
      <c r="L496" s="19"/>
      <c r="M496" s="40"/>
      <c r="N496" s="41"/>
      <c r="O496" s="112">
        <f t="shared" si="313"/>
        <v>22106</v>
      </c>
      <c r="P496" s="44"/>
      <c r="Q496" s="44"/>
      <c r="R496" s="68">
        <f t="shared" si="306"/>
        <v>18020.81925</v>
      </c>
      <c r="S496" s="68"/>
      <c r="T496" s="69">
        <f t="shared" si="307"/>
        <v>16.35811875</v>
      </c>
      <c r="U496" s="68"/>
      <c r="V496" s="68"/>
      <c r="W496" s="68">
        <f t="shared" si="302"/>
        <v>18037.17736875</v>
      </c>
      <c r="X496" s="70">
        <f t="shared" si="308"/>
        <v>362.79451125</v>
      </c>
      <c r="Y496" s="70"/>
      <c r="Z496" s="70"/>
      <c r="AA496" s="70">
        <f t="shared" si="303"/>
        <v>362.79451125</v>
      </c>
      <c r="AB496" s="80">
        <v>7.24</v>
      </c>
      <c r="AC496" s="68">
        <f t="shared" si="300"/>
        <v>2626.63226145</v>
      </c>
      <c r="AD496" s="68">
        <f t="shared" si="301"/>
        <v>20663.8096302</v>
      </c>
      <c r="AE496" s="68">
        <f t="shared" si="304"/>
        <v>1442.1903698</v>
      </c>
    </row>
    <row r="497" customFormat="1" spans="1:31">
      <c r="A497" s="18"/>
      <c r="B497" s="19"/>
      <c r="C497" s="20">
        <v>240618000017</v>
      </c>
      <c r="D497" s="21">
        <v>45465</v>
      </c>
      <c r="E497" s="21" t="s">
        <v>37</v>
      </c>
      <c r="F497" s="19" t="s">
        <v>37</v>
      </c>
      <c r="G497" s="19" t="s">
        <v>290</v>
      </c>
      <c r="H497" s="19">
        <v>2.5</v>
      </c>
      <c r="I497" s="38">
        <v>150</v>
      </c>
      <c r="J497" s="39"/>
      <c r="K497" s="40"/>
      <c r="L497" s="19"/>
      <c r="M497" s="40"/>
      <c r="N497" s="41"/>
      <c r="O497" s="112">
        <f t="shared" si="313"/>
        <v>150</v>
      </c>
      <c r="P497" s="44"/>
      <c r="Q497" s="44"/>
      <c r="R497" s="68">
        <f t="shared" si="306"/>
        <v>107.65125</v>
      </c>
      <c r="S497" s="68"/>
      <c r="T497" s="69">
        <f t="shared" si="307"/>
        <v>0.09771875</v>
      </c>
      <c r="U497" s="68"/>
      <c r="V497" s="68"/>
      <c r="W497" s="68">
        <f t="shared" si="302"/>
        <v>107.74896875</v>
      </c>
      <c r="X497" s="70">
        <f t="shared" si="308"/>
        <v>2.16723125</v>
      </c>
      <c r="Y497" s="70"/>
      <c r="Z497" s="70"/>
      <c r="AA497" s="70">
        <f t="shared" si="303"/>
        <v>2.16723125</v>
      </c>
      <c r="AB497" s="80">
        <v>7.24</v>
      </c>
      <c r="AC497" s="68">
        <f t="shared" si="300"/>
        <v>15.69075425</v>
      </c>
      <c r="AD497" s="68">
        <f t="shared" si="301"/>
        <v>123.439723</v>
      </c>
      <c r="AE497" s="68">
        <f t="shared" si="304"/>
        <v>26.560277</v>
      </c>
    </row>
    <row r="498" customFormat="1" spans="1:31">
      <c r="A498" s="18"/>
      <c r="B498" s="19"/>
      <c r="C498" s="20">
        <v>240618000025</v>
      </c>
      <c r="D498" s="21">
        <v>45465</v>
      </c>
      <c r="E498" s="21" t="s">
        <v>48</v>
      </c>
      <c r="F498" s="19" t="s">
        <v>49</v>
      </c>
      <c r="G498" s="19" t="s">
        <v>73</v>
      </c>
      <c r="H498" s="19">
        <v>69</v>
      </c>
      <c r="I498" s="45"/>
      <c r="J498" s="46">
        <v>827310</v>
      </c>
      <c r="K498" s="40"/>
      <c r="L498" s="47">
        <f>SUM(J498/M498)</f>
        <v>1578.32382623958</v>
      </c>
      <c r="M498" s="48">
        <v>524.17</v>
      </c>
      <c r="N498" s="41">
        <v>7.24</v>
      </c>
      <c r="O498" s="112">
        <f>SUM(M498*N498)</f>
        <v>3794.9908</v>
      </c>
      <c r="P498" s="44"/>
      <c r="Q498" s="44"/>
      <c r="R498" s="68">
        <f t="shared" si="306"/>
        <v>2971.1745</v>
      </c>
      <c r="S498" s="68"/>
      <c r="T498" s="69">
        <f t="shared" si="307"/>
        <v>2.6970375</v>
      </c>
      <c r="U498" s="68"/>
      <c r="V498" s="68"/>
      <c r="W498" s="68">
        <f t="shared" si="302"/>
        <v>2973.8715375</v>
      </c>
      <c r="X498" s="70">
        <f t="shared" si="308"/>
        <v>59.8155825</v>
      </c>
      <c r="Y498" s="70"/>
      <c r="Z498" s="70"/>
      <c r="AA498" s="70">
        <f t="shared" si="303"/>
        <v>59.8155825</v>
      </c>
      <c r="AB498" s="80">
        <v>7.24</v>
      </c>
      <c r="AC498" s="68">
        <f t="shared" si="300"/>
        <v>433.0648173</v>
      </c>
      <c r="AD498" s="68">
        <f t="shared" si="301"/>
        <v>3406.9363548</v>
      </c>
      <c r="AE498" s="68">
        <f t="shared" si="304"/>
        <v>388.0544452</v>
      </c>
    </row>
    <row r="499" customFormat="1" spans="1:31">
      <c r="A499" s="18"/>
      <c r="B499" s="19"/>
      <c r="C499" s="20">
        <v>240618000028</v>
      </c>
      <c r="D499" s="21">
        <v>45465</v>
      </c>
      <c r="E499" s="21" t="s">
        <v>44</v>
      </c>
      <c r="F499" s="19" t="s">
        <v>45</v>
      </c>
      <c r="G499" s="19" t="s">
        <v>405</v>
      </c>
      <c r="H499" s="19">
        <v>12.5</v>
      </c>
      <c r="I499" s="38">
        <v>793.5</v>
      </c>
      <c r="J499" s="39"/>
      <c r="K499" s="40"/>
      <c r="L499" s="19"/>
      <c r="M499" s="40"/>
      <c r="N499" s="41"/>
      <c r="O499" s="112">
        <f t="shared" ref="O499:O507" si="314">SUM(I499)</f>
        <v>793.5</v>
      </c>
      <c r="P499" s="44"/>
      <c r="Q499" s="44"/>
      <c r="R499" s="68">
        <f t="shared" si="306"/>
        <v>538.25625</v>
      </c>
      <c r="S499" s="68"/>
      <c r="T499" s="69">
        <f t="shared" si="307"/>
        <v>0.48859375</v>
      </c>
      <c r="U499" s="68"/>
      <c r="V499" s="68"/>
      <c r="W499" s="68">
        <f t="shared" si="302"/>
        <v>538.74484375</v>
      </c>
      <c r="X499" s="70">
        <f t="shared" si="308"/>
        <v>10.83615625</v>
      </c>
      <c r="Y499" s="70"/>
      <c r="Z499" s="70"/>
      <c r="AA499" s="70">
        <f t="shared" si="303"/>
        <v>10.83615625</v>
      </c>
      <c r="AB499" s="80">
        <v>7.24</v>
      </c>
      <c r="AC499" s="68">
        <f t="shared" si="300"/>
        <v>78.45377125</v>
      </c>
      <c r="AD499" s="68">
        <f t="shared" si="301"/>
        <v>617.198615</v>
      </c>
      <c r="AE499" s="68">
        <f t="shared" si="304"/>
        <v>176.301385</v>
      </c>
    </row>
    <row r="500" customFormat="1" spans="1:31">
      <c r="A500" s="18"/>
      <c r="B500" s="19"/>
      <c r="C500" s="20">
        <v>240618000033</v>
      </c>
      <c r="D500" s="21">
        <v>45465</v>
      </c>
      <c r="E500" s="21" t="s">
        <v>48</v>
      </c>
      <c r="F500" s="19" t="s">
        <v>49</v>
      </c>
      <c r="G500" s="19" t="s">
        <v>172</v>
      </c>
      <c r="H500" s="19">
        <v>45</v>
      </c>
      <c r="I500" s="38">
        <v>2475</v>
      </c>
      <c r="J500" s="39"/>
      <c r="K500" s="40"/>
      <c r="L500" s="19"/>
      <c r="M500" s="40"/>
      <c r="N500" s="41"/>
      <c r="O500" s="112">
        <f t="shared" si="314"/>
        <v>2475</v>
      </c>
      <c r="P500" s="44"/>
      <c r="Q500" s="44"/>
      <c r="R500" s="68">
        <f t="shared" si="306"/>
        <v>1937.7225</v>
      </c>
      <c r="S500" s="68"/>
      <c r="T500" s="69">
        <f t="shared" si="307"/>
        <v>1.7589375</v>
      </c>
      <c r="U500" s="68"/>
      <c r="V500" s="68"/>
      <c r="W500" s="68">
        <f t="shared" si="302"/>
        <v>1939.4814375</v>
      </c>
      <c r="X500" s="70">
        <f t="shared" si="308"/>
        <v>39.0101625</v>
      </c>
      <c r="Y500" s="70"/>
      <c r="Z500" s="70"/>
      <c r="AA500" s="70">
        <f t="shared" si="303"/>
        <v>39.0101625</v>
      </c>
      <c r="AB500" s="80">
        <v>7.24</v>
      </c>
      <c r="AC500" s="68">
        <f t="shared" si="300"/>
        <v>282.4335765</v>
      </c>
      <c r="AD500" s="68">
        <f t="shared" si="301"/>
        <v>2221.915014</v>
      </c>
      <c r="AE500" s="68">
        <f t="shared" si="304"/>
        <v>253.084986</v>
      </c>
    </row>
    <row r="501" customFormat="1" spans="1:31">
      <c r="A501" s="18"/>
      <c r="B501" s="19"/>
      <c r="C501" s="20">
        <v>240618000036</v>
      </c>
      <c r="D501" s="21">
        <v>45465</v>
      </c>
      <c r="E501" s="21" t="s">
        <v>44</v>
      </c>
      <c r="F501" s="19" t="s">
        <v>45</v>
      </c>
      <c r="G501" s="19" t="s">
        <v>406</v>
      </c>
      <c r="H501" s="19">
        <v>9</v>
      </c>
      <c r="I501" s="42"/>
      <c r="J501" s="46">
        <v>120480</v>
      </c>
      <c r="K501" s="40"/>
      <c r="L501" s="47">
        <f>SUM(J501/M501)</f>
        <v>1506</v>
      </c>
      <c r="M501" s="48">
        <v>80</v>
      </c>
      <c r="N501" s="41">
        <v>7.24</v>
      </c>
      <c r="O501" s="112">
        <f>SUM(M501*N501)</f>
        <v>579.2</v>
      </c>
      <c r="P501" s="44"/>
      <c r="Q501" s="44"/>
      <c r="R501" s="68">
        <f t="shared" si="306"/>
        <v>387.5445</v>
      </c>
      <c r="S501" s="68"/>
      <c r="T501" s="69">
        <f t="shared" si="307"/>
        <v>0.3517875</v>
      </c>
      <c r="U501" s="68"/>
      <c r="V501" s="68"/>
      <c r="W501" s="68">
        <f t="shared" si="302"/>
        <v>387.8962875</v>
      </c>
      <c r="X501" s="70">
        <f t="shared" si="308"/>
        <v>7.8020325</v>
      </c>
      <c r="Y501" s="70"/>
      <c r="Z501" s="70"/>
      <c r="AA501" s="70">
        <f t="shared" si="303"/>
        <v>7.8020325</v>
      </c>
      <c r="AB501" s="80">
        <v>7.24</v>
      </c>
      <c r="AC501" s="68">
        <f t="shared" si="300"/>
        <v>56.4867153</v>
      </c>
      <c r="AD501" s="68">
        <f t="shared" si="301"/>
        <v>444.3830028</v>
      </c>
      <c r="AE501" s="68">
        <f t="shared" si="304"/>
        <v>134.8169972</v>
      </c>
    </row>
    <row r="502" customFormat="1" spans="1:31">
      <c r="A502" s="18"/>
      <c r="B502" s="19"/>
      <c r="C502" s="20">
        <v>240618000041</v>
      </c>
      <c r="D502" s="21">
        <v>45465</v>
      </c>
      <c r="E502" s="21" t="s">
        <v>44</v>
      </c>
      <c r="F502" s="19" t="s">
        <v>45</v>
      </c>
      <c r="G502" s="19" t="s">
        <v>407</v>
      </c>
      <c r="H502" s="19">
        <v>134</v>
      </c>
      <c r="I502" s="38">
        <v>7772</v>
      </c>
      <c r="J502" s="39"/>
      <c r="K502" s="40"/>
      <c r="L502" s="19"/>
      <c r="M502" s="40"/>
      <c r="N502" s="41"/>
      <c r="O502" s="112">
        <f t="shared" si="314"/>
        <v>7772</v>
      </c>
      <c r="P502" s="44"/>
      <c r="Q502" s="44"/>
      <c r="R502" s="68">
        <f t="shared" si="306"/>
        <v>5770.107</v>
      </c>
      <c r="S502" s="68"/>
      <c r="T502" s="69">
        <f t="shared" si="307"/>
        <v>5.237725</v>
      </c>
      <c r="U502" s="68"/>
      <c r="V502" s="68"/>
      <c r="W502" s="68">
        <f t="shared" si="302"/>
        <v>5775.344725</v>
      </c>
      <c r="X502" s="70">
        <f t="shared" si="308"/>
        <v>116.163595</v>
      </c>
      <c r="Y502" s="70"/>
      <c r="Z502" s="70"/>
      <c r="AA502" s="70">
        <f t="shared" si="303"/>
        <v>116.163595</v>
      </c>
      <c r="AB502" s="80">
        <v>7.24</v>
      </c>
      <c r="AC502" s="68">
        <f t="shared" si="300"/>
        <v>841.0244278</v>
      </c>
      <c r="AD502" s="68">
        <f t="shared" si="301"/>
        <v>6616.3691528</v>
      </c>
      <c r="AE502" s="68">
        <f t="shared" si="304"/>
        <v>1155.6308472</v>
      </c>
    </row>
    <row r="503" customFormat="1" spans="1:31">
      <c r="A503" s="18"/>
      <c r="B503" s="19"/>
      <c r="C503" s="20">
        <v>240618000044</v>
      </c>
      <c r="D503" s="21">
        <v>45465</v>
      </c>
      <c r="E503" s="21" t="s">
        <v>37</v>
      </c>
      <c r="F503" s="19" t="s">
        <v>37</v>
      </c>
      <c r="G503" s="19" t="s">
        <v>408</v>
      </c>
      <c r="H503" s="19">
        <v>460</v>
      </c>
      <c r="I503" s="45">
        <v>25308</v>
      </c>
      <c r="J503" s="39"/>
      <c r="K503" s="40"/>
      <c r="L503" s="19"/>
      <c r="M503" s="40"/>
      <c r="N503" s="41"/>
      <c r="O503" s="112">
        <f t="shared" si="314"/>
        <v>25308</v>
      </c>
      <c r="P503" s="44"/>
      <c r="Q503" s="44"/>
      <c r="R503" s="68">
        <f t="shared" si="306"/>
        <v>19807.83</v>
      </c>
      <c r="S503" s="68"/>
      <c r="T503" s="69">
        <f t="shared" si="307"/>
        <v>17.98025</v>
      </c>
      <c r="U503" s="68"/>
      <c r="V503" s="68"/>
      <c r="W503" s="68">
        <f t="shared" si="302"/>
        <v>19825.81025</v>
      </c>
      <c r="X503" s="70">
        <f t="shared" si="308"/>
        <v>398.77055</v>
      </c>
      <c r="Y503" s="70"/>
      <c r="Z503" s="70"/>
      <c r="AA503" s="70">
        <f t="shared" si="303"/>
        <v>398.77055</v>
      </c>
      <c r="AB503" s="80">
        <v>7.24</v>
      </c>
      <c r="AC503" s="68">
        <f t="shared" si="300"/>
        <v>2887.098782</v>
      </c>
      <c r="AD503" s="68">
        <f t="shared" ref="AD503:AD534" si="315">SUM(W503+AC503)</f>
        <v>22712.909032</v>
      </c>
      <c r="AE503" s="68">
        <f t="shared" ref="AE503:AE534" si="316">SUM(O503-AD503)</f>
        <v>2595.090968</v>
      </c>
    </row>
    <row r="504" customFormat="1" spans="1:31">
      <c r="A504" s="18"/>
      <c r="B504" s="19"/>
      <c r="C504" s="20">
        <v>240618000054</v>
      </c>
      <c r="D504" s="21">
        <v>45465</v>
      </c>
      <c r="E504" s="21" t="s">
        <v>85</v>
      </c>
      <c r="F504" s="19" t="s">
        <v>86</v>
      </c>
      <c r="G504" s="19" t="s">
        <v>409</v>
      </c>
      <c r="H504" s="19">
        <v>17</v>
      </c>
      <c r="I504" s="38">
        <v>901</v>
      </c>
      <c r="J504" s="39"/>
      <c r="K504" s="40"/>
      <c r="L504" s="19"/>
      <c r="M504" s="40"/>
      <c r="N504" s="41"/>
      <c r="O504" s="112">
        <f t="shared" si="314"/>
        <v>901</v>
      </c>
      <c r="P504" s="44"/>
      <c r="Q504" s="44"/>
      <c r="R504" s="68">
        <f t="shared" si="306"/>
        <v>732.0285</v>
      </c>
      <c r="S504" s="68"/>
      <c r="T504" s="69">
        <f t="shared" si="307"/>
        <v>0.6644875</v>
      </c>
      <c r="U504" s="68"/>
      <c r="V504" s="68"/>
      <c r="W504" s="68">
        <f t="shared" si="302"/>
        <v>732.6929875</v>
      </c>
      <c r="X504" s="70">
        <f t="shared" si="308"/>
        <v>14.7371725</v>
      </c>
      <c r="Y504" s="70"/>
      <c r="Z504" s="70"/>
      <c r="AA504" s="70">
        <f t="shared" si="303"/>
        <v>14.7371725</v>
      </c>
      <c r="AB504" s="80">
        <v>7.24</v>
      </c>
      <c r="AC504" s="68">
        <f t="shared" si="300"/>
        <v>106.6971289</v>
      </c>
      <c r="AD504" s="68">
        <f t="shared" si="315"/>
        <v>839.3901164</v>
      </c>
      <c r="AE504" s="68">
        <f t="shared" si="316"/>
        <v>61.6098836</v>
      </c>
    </row>
    <row r="505" customFormat="1" spans="1:31">
      <c r="A505" s="18"/>
      <c r="B505" s="19"/>
      <c r="C505" s="20">
        <v>240618000055</v>
      </c>
      <c r="D505" s="21">
        <v>45465</v>
      </c>
      <c r="E505" s="21" t="s">
        <v>85</v>
      </c>
      <c r="F505" s="19" t="s">
        <v>86</v>
      </c>
      <c r="G505" s="19" t="s">
        <v>410</v>
      </c>
      <c r="H505" s="19">
        <v>78</v>
      </c>
      <c r="I505" s="38">
        <v>4220</v>
      </c>
      <c r="J505" s="39"/>
      <c r="K505" s="40"/>
      <c r="L505" s="19"/>
      <c r="M505" s="40"/>
      <c r="N505" s="41"/>
      <c r="O505" s="112">
        <f t="shared" si="314"/>
        <v>4220</v>
      </c>
      <c r="P505" s="44"/>
      <c r="Q505" s="44"/>
      <c r="R505" s="68">
        <f t="shared" si="306"/>
        <v>3358.719</v>
      </c>
      <c r="S505" s="68"/>
      <c r="T505" s="69">
        <f t="shared" si="307"/>
        <v>3.048825</v>
      </c>
      <c r="U505" s="68"/>
      <c r="V505" s="68"/>
      <c r="W505" s="68">
        <f t="shared" si="302"/>
        <v>3361.767825</v>
      </c>
      <c r="X505" s="70">
        <f t="shared" si="308"/>
        <v>67.617615</v>
      </c>
      <c r="Y505" s="70"/>
      <c r="Z505" s="70"/>
      <c r="AA505" s="70">
        <f t="shared" si="303"/>
        <v>67.617615</v>
      </c>
      <c r="AB505" s="80">
        <v>7.24</v>
      </c>
      <c r="AC505" s="68">
        <f t="shared" si="300"/>
        <v>489.5515326</v>
      </c>
      <c r="AD505" s="68">
        <f t="shared" si="315"/>
        <v>3851.3193576</v>
      </c>
      <c r="AE505" s="68">
        <f t="shared" si="316"/>
        <v>368.680642400001</v>
      </c>
    </row>
    <row r="506" customFormat="1" spans="1:31">
      <c r="A506" s="18"/>
      <c r="B506" s="19"/>
      <c r="C506" s="20">
        <v>240618000056</v>
      </c>
      <c r="D506" s="21">
        <v>45465</v>
      </c>
      <c r="E506" s="21" t="s">
        <v>85</v>
      </c>
      <c r="F506" s="19" t="s">
        <v>86</v>
      </c>
      <c r="G506" s="19" t="s">
        <v>411</v>
      </c>
      <c r="H506" s="19">
        <v>72</v>
      </c>
      <c r="I506" s="38">
        <v>4185</v>
      </c>
      <c r="J506" s="39"/>
      <c r="K506" s="40"/>
      <c r="L506" s="19"/>
      <c r="M506" s="40"/>
      <c r="N506" s="41"/>
      <c r="O506" s="112">
        <f t="shared" si="314"/>
        <v>4185</v>
      </c>
      <c r="P506" s="44"/>
      <c r="Q506" s="44"/>
      <c r="R506" s="68">
        <f t="shared" si="306"/>
        <v>3100.356</v>
      </c>
      <c r="S506" s="68"/>
      <c r="T506" s="69">
        <f t="shared" si="307"/>
        <v>2.8143</v>
      </c>
      <c r="U506" s="68"/>
      <c r="V506" s="68"/>
      <c r="W506" s="68">
        <f t="shared" si="302"/>
        <v>3103.1703</v>
      </c>
      <c r="X506" s="70">
        <f t="shared" si="308"/>
        <v>62.41626</v>
      </c>
      <c r="Y506" s="70">
        <v>50.9</v>
      </c>
      <c r="Z506" s="70"/>
      <c r="AA506" s="70">
        <f t="shared" si="303"/>
        <v>113.31626</v>
      </c>
      <c r="AB506" s="80">
        <v>7.24</v>
      </c>
      <c r="AC506" s="68">
        <f t="shared" ref="AC506:AC537" si="317">SUM(AA506*AB506)</f>
        <v>820.4097224</v>
      </c>
      <c r="AD506" s="68">
        <f t="shared" si="315"/>
        <v>3923.5800224</v>
      </c>
      <c r="AE506" s="68">
        <f t="shared" si="316"/>
        <v>261.4199776</v>
      </c>
    </row>
    <row r="507" customFormat="1" spans="1:31">
      <c r="A507" s="18"/>
      <c r="B507" s="19"/>
      <c r="C507" s="20">
        <v>240618000057</v>
      </c>
      <c r="D507" s="21">
        <v>45465</v>
      </c>
      <c r="E507" s="21" t="s">
        <v>85</v>
      </c>
      <c r="F507" s="19" t="s">
        <v>86</v>
      </c>
      <c r="G507" s="19" t="s">
        <v>412</v>
      </c>
      <c r="H507" s="19">
        <v>78</v>
      </c>
      <c r="I507" s="38">
        <v>4582</v>
      </c>
      <c r="J507" s="39"/>
      <c r="K507" s="40"/>
      <c r="L507" s="19"/>
      <c r="M507" s="40"/>
      <c r="N507" s="96"/>
      <c r="O507" s="112">
        <f t="shared" si="314"/>
        <v>4582</v>
      </c>
      <c r="P507" s="49"/>
      <c r="Q507" s="49"/>
      <c r="R507" s="68">
        <f t="shared" si="306"/>
        <v>3358.719</v>
      </c>
      <c r="S507" s="68"/>
      <c r="T507" s="69">
        <f t="shared" si="307"/>
        <v>3.048825</v>
      </c>
      <c r="U507" s="68"/>
      <c r="V507" s="68"/>
      <c r="W507" s="68">
        <f t="shared" ref="W507:W538" si="318">SUM(R507:V507)</f>
        <v>3361.767825</v>
      </c>
      <c r="X507" s="70">
        <f t="shared" si="308"/>
        <v>67.617615</v>
      </c>
      <c r="Y507" s="70">
        <v>61.8</v>
      </c>
      <c r="Z507" s="70"/>
      <c r="AA507" s="70">
        <f t="shared" ref="AA507:AA538" si="319">SUM(X507:Z507)</f>
        <v>129.417615</v>
      </c>
      <c r="AB507" s="80">
        <v>7.24</v>
      </c>
      <c r="AC507" s="68">
        <f t="shared" si="317"/>
        <v>936.9835326</v>
      </c>
      <c r="AD507" s="68">
        <f t="shared" si="315"/>
        <v>4298.7513576</v>
      </c>
      <c r="AE507" s="68">
        <f t="shared" si="316"/>
        <v>283.248642400001</v>
      </c>
    </row>
    <row r="508" customFormat="1" ht="27" spans="1:31">
      <c r="A508" s="18" t="s">
        <v>413</v>
      </c>
      <c r="B508" s="19" t="s">
        <v>414</v>
      </c>
      <c r="C508" s="20">
        <v>240604000022</v>
      </c>
      <c r="D508" s="21">
        <v>45465</v>
      </c>
      <c r="E508" s="21" t="s">
        <v>37</v>
      </c>
      <c r="F508" s="19" t="s">
        <v>83</v>
      </c>
      <c r="G508" s="19" t="s">
        <v>285</v>
      </c>
      <c r="H508" s="19">
        <v>317</v>
      </c>
      <c r="I508" s="42"/>
      <c r="J508" s="46">
        <v>9174703</v>
      </c>
      <c r="K508" s="40"/>
      <c r="L508" s="47">
        <f>SUM(J508/M508)</f>
        <v>1506.00016454097</v>
      </c>
      <c r="M508" s="48">
        <v>6092.0996</v>
      </c>
      <c r="N508" s="88">
        <v>7.24</v>
      </c>
      <c r="O508" s="112">
        <f>SUM(M508*N508)</f>
        <v>44106.801104</v>
      </c>
      <c r="P508" s="90">
        <f>SUM(O508)</f>
        <v>44106.801104</v>
      </c>
      <c r="Q508" s="115" t="s">
        <v>415</v>
      </c>
      <c r="R508" s="90">
        <v>28658</v>
      </c>
      <c r="S508" s="90"/>
      <c r="T508" s="98">
        <v>63</v>
      </c>
      <c r="U508" s="98">
        <v>370</v>
      </c>
      <c r="V508" s="90"/>
      <c r="W508" s="68">
        <f t="shared" si="318"/>
        <v>29091</v>
      </c>
      <c r="X508" s="93">
        <v>476.84</v>
      </c>
      <c r="Y508" s="93"/>
      <c r="Z508" s="93"/>
      <c r="AA508" s="70">
        <f t="shared" si="319"/>
        <v>476.84</v>
      </c>
      <c r="AB508" s="80">
        <v>7.24</v>
      </c>
      <c r="AC508" s="68">
        <f t="shared" si="317"/>
        <v>3452.3216</v>
      </c>
      <c r="AD508" s="68">
        <f t="shared" si="315"/>
        <v>32543.3216</v>
      </c>
      <c r="AE508" s="68">
        <f t="shared" si="316"/>
        <v>11563.479504</v>
      </c>
    </row>
    <row r="509" customFormat="1" spans="1:31">
      <c r="A509" s="18" t="s">
        <v>416</v>
      </c>
      <c r="B509" s="19" t="s">
        <v>417</v>
      </c>
      <c r="C509" s="20">
        <v>240614000051</v>
      </c>
      <c r="D509" s="21">
        <v>45467</v>
      </c>
      <c r="E509" s="21" t="s">
        <v>51</v>
      </c>
      <c r="F509" s="19" t="s">
        <v>52</v>
      </c>
      <c r="G509" s="19" t="s">
        <v>58</v>
      </c>
      <c r="H509" s="19">
        <v>279</v>
      </c>
      <c r="I509" s="38">
        <v>15903</v>
      </c>
      <c r="J509" s="39"/>
      <c r="K509" s="40"/>
      <c r="L509" s="19"/>
      <c r="M509" s="40"/>
      <c r="N509" s="41"/>
      <c r="O509" s="42">
        <f t="shared" ref="O509:O516" si="320">SUM(I509)</f>
        <v>15903</v>
      </c>
      <c r="P509" s="43">
        <f>SUM(O509:O561)</f>
        <v>150426.24000724</v>
      </c>
      <c r="Q509" s="43" t="s">
        <v>59</v>
      </c>
      <c r="R509" s="68">
        <f>SUM(113487/2594)*H509</f>
        <v>12206.1962220509</v>
      </c>
      <c r="S509" s="68"/>
      <c r="T509" s="69">
        <f>SUM(225.67/2594)*H509</f>
        <v>24.2721395528142</v>
      </c>
      <c r="U509" s="68"/>
      <c r="V509" s="68"/>
      <c r="W509" s="68">
        <f t="shared" si="318"/>
        <v>12230.4683616037</v>
      </c>
      <c r="X509" s="70">
        <f>SUM(1509.01/2594)*H509</f>
        <v>162.302925983038</v>
      </c>
      <c r="Y509" s="70"/>
      <c r="Z509" s="70"/>
      <c r="AA509" s="70">
        <f t="shared" si="319"/>
        <v>162.302925983038</v>
      </c>
      <c r="AB509" s="80">
        <v>7.24</v>
      </c>
      <c r="AC509" s="68">
        <f t="shared" si="317"/>
        <v>1175.07318411719</v>
      </c>
      <c r="AD509" s="68">
        <f t="shared" si="315"/>
        <v>13405.5415457209</v>
      </c>
      <c r="AE509" s="68">
        <f t="shared" si="316"/>
        <v>2497.45845427911</v>
      </c>
    </row>
    <row r="510" customFormat="1" spans="1:31">
      <c r="A510" s="18"/>
      <c r="B510" s="19"/>
      <c r="C510" s="20">
        <v>240615000002</v>
      </c>
      <c r="D510" s="21">
        <v>45467</v>
      </c>
      <c r="E510" s="21" t="s">
        <v>51</v>
      </c>
      <c r="F510" s="19" t="s">
        <v>52</v>
      </c>
      <c r="G510" s="19" t="s">
        <v>418</v>
      </c>
      <c r="H510" s="19">
        <v>1.5</v>
      </c>
      <c r="I510" s="38">
        <v>102</v>
      </c>
      <c r="J510" s="39"/>
      <c r="K510" s="40"/>
      <c r="L510" s="19"/>
      <c r="M510" s="40"/>
      <c r="N510" s="41"/>
      <c r="O510" s="42">
        <f t="shared" si="320"/>
        <v>102</v>
      </c>
      <c r="P510" s="44"/>
      <c r="Q510" s="44"/>
      <c r="R510" s="68">
        <f t="shared" ref="R510:R541" si="321">SUM(113487/2594)*H510</f>
        <v>65.6247108712413</v>
      </c>
      <c r="S510" s="68"/>
      <c r="T510" s="69">
        <f t="shared" ref="T510:T541" si="322">SUM(225.67/2594)*H510</f>
        <v>0.130495373939861</v>
      </c>
      <c r="U510" s="68"/>
      <c r="V510" s="68"/>
      <c r="W510" s="68">
        <f t="shared" si="318"/>
        <v>65.7552062451812</v>
      </c>
      <c r="X510" s="70">
        <f t="shared" ref="X510:X541" si="323">SUM(1509.01/2594)*H510</f>
        <v>0.872596376252891</v>
      </c>
      <c r="Y510" s="70"/>
      <c r="Z510" s="70"/>
      <c r="AA510" s="70">
        <f t="shared" si="319"/>
        <v>0.872596376252891</v>
      </c>
      <c r="AB510" s="80">
        <v>7.24</v>
      </c>
      <c r="AC510" s="68">
        <f t="shared" si="317"/>
        <v>6.31759776407093</v>
      </c>
      <c r="AD510" s="68">
        <f t="shared" si="315"/>
        <v>72.0728040092521</v>
      </c>
      <c r="AE510" s="68">
        <f t="shared" si="316"/>
        <v>29.9271959907479</v>
      </c>
    </row>
    <row r="511" customFormat="1" spans="1:31">
      <c r="A511" s="18"/>
      <c r="B511" s="19"/>
      <c r="C511" s="20">
        <v>240616000004</v>
      </c>
      <c r="D511" s="21">
        <v>45467</v>
      </c>
      <c r="E511" s="21" t="s">
        <v>51</v>
      </c>
      <c r="F511" s="19" t="s">
        <v>52</v>
      </c>
      <c r="G511" s="19" t="s">
        <v>419</v>
      </c>
      <c r="H511" s="19">
        <v>15.5</v>
      </c>
      <c r="I511" s="38">
        <v>883.5</v>
      </c>
      <c r="J511" s="39"/>
      <c r="K511" s="40"/>
      <c r="L511" s="19"/>
      <c r="M511" s="40"/>
      <c r="N511" s="41"/>
      <c r="O511" s="42">
        <f t="shared" si="320"/>
        <v>883.5</v>
      </c>
      <c r="P511" s="44"/>
      <c r="Q511" s="44"/>
      <c r="R511" s="68">
        <f t="shared" si="321"/>
        <v>678.12201233616</v>
      </c>
      <c r="S511" s="68"/>
      <c r="T511" s="69">
        <f t="shared" si="322"/>
        <v>1.34845219737857</v>
      </c>
      <c r="U511" s="68"/>
      <c r="V511" s="68"/>
      <c r="W511" s="68">
        <f t="shared" si="318"/>
        <v>679.470464533539</v>
      </c>
      <c r="X511" s="70">
        <f t="shared" si="323"/>
        <v>9.01682922127988</v>
      </c>
      <c r="Y511" s="70"/>
      <c r="Z511" s="70"/>
      <c r="AA511" s="70">
        <f t="shared" si="319"/>
        <v>9.01682922127988</v>
      </c>
      <c r="AB511" s="80">
        <v>7.24</v>
      </c>
      <c r="AC511" s="68">
        <f t="shared" si="317"/>
        <v>65.2818435620663</v>
      </c>
      <c r="AD511" s="68">
        <f t="shared" si="315"/>
        <v>744.752308095605</v>
      </c>
      <c r="AE511" s="68">
        <f t="shared" si="316"/>
        <v>138.747691904395</v>
      </c>
    </row>
    <row r="512" customFormat="1" spans="1:31">
      <c r="A512" s="18"/>
      <c r="B512" s="19"/>
      <c r="C512" s="20">
        <v>240617000010</v>
      </c>
      <c r="D512" s="21">
        <v>45467</v>
      </c>
      <c r="E512" s="21" t="s">
        <v>48</v>
      </c>
      <c r="F512" s="19" t="s">
        <v>49</v>
      </c>
      <c r="G512" s="19" t="s">
        <v>292</v>
      </c>
      <c r="H512" s="19">
        <v>22.5</v>
      </c>
      <c r="I512" s="38">
        <v>1237.5</v>
      </c>
      <c r="J512" s="39"/>
      <c r="K512" s="40"/>
      <c r="L512" s="19"/>
      <c r="M512" s="40"/>
      <c r="N512" s="41"/>
      <c r="O512" s="42">
        <f t="shared" si="320"/>
        <v>1237.5</v>
      </c>
      <c r="P512" s="44"/>
      <c r="Q512" s="44"/>
      <c r="R512" s="68">
        <f t="shared" si="321"/>
        <v>984.37066306862</v>
      </c>
      <c r="S512" s="68"/>
      <c r="T512" s="69">
        <f t="shared" si="322"/>
        <v>1.95743060909792</v>
      </c>
      <c r="U512" s="68"/>
      <c r="V512" s="68"/>
      <c r="W512" s="68">
        <f t="shared" si="318"/>
        <v>986.328093677718</v>
      </c>
      <c r="X512" s="70">
        <f t="shared" si="323"/>
        <v>13.0889456437934</v>
      </c>
      <c r="Y512" s="70"/>
      <c r="Z512" s="70"/>
      <c r="AA512" s="70">
        <f t="shared" si="319"/>
        <v>13.0889456437934</v>
      </c>
      <c r="AB512" s="80">
        <v>7.24</v>
      </c>
      <c r="AC512" s="68">
        <f t="shared" si="317"/>
        <v>94.763966461064</v>
      </c>
      <c r="AD512" s="68">
        <f t="shared" si="315"/>
        <v>1081.09206013878</v>
      </c>
      <c r="AE512" s="68">
        <f t="shared" si="316"/>
        <v>156.407939861218</v>
      </c>
    </row>
    <row r="513" customFormat="1" spans="1:31">
      <c r="A513" s="18"/>
      <c r="B513" s="19"/>
      <c r="C513" s="20">
        <v>240617000023</v>
      </c>
      <c r="D513" s="21">
        <v>45467</v>
      </c>
      <c r="E513" s="21" t="s">
        <v>48</v>
      </c>
      <c r="F513" s="19" t="s">
        <v>49</v>
      </c>
      <c r="G513" s="19" t="s">
        <v>420</v>
      </c>
      <c r="H513" s="19">
        <v>3</v>
      </c>
      <c r="I513" s="38">
        <v>240</v>
      </c>
      <c r="J513" s="39"/>
      <c r="K513" s="40"/>
      <c r="L513" s="19"/>
      <c r="M513" s="40"/>
      <c r="N513" s="41"/>
      <c r="O513" s="42">
        <f t="shared" si="320"/>
        <v>240</v>
      </c>
      <c r="P513" s="44"/>
      <c r="Q513" s="44"/>
      <c r="R513" s="68">
        <f t="shared" si="321"/>
        <v>131.249421742483</v>
      </c>
      <c r="S513" s="68"/>
      <c r="T513" s="69">
        <f t="shared" si="322"/>
        <v>0.260990747879722</v>
      </c>
      <c r="U513" s="68"/>
      <c r="V513" s="68"/>
      <c r="W513" s="68">
        <f t="shared" si="318"/>
        <v>131.510412490362</v>
      </c>
      <c r="X513" s="70">
        <f t="shared" si="323"/>
        <v>1.74519275250578</v>
      </c>
      <c r="Y513" s="70"/>
      <c r="Z513" s="70"/>
      <c r="AA513" s="70">
        <f t="shared" si="319"/>
        <v>1.74519275250578</v>
      </c>
      <c r="AB513" s="80">
        <v>7.24</v>
      </c>
      <c r="AC513" s="68">
        <f t="shared" si="317"/>
        <v>12.6351955281419</v>
      </c>
      <c r="AD513" s="68">
        <f t="shared" si="315"/>
        <v>144.145608018504</v>
      </c>
      <c r="AE513" s="68">
        <f t="shared" si="316"/>
        <v>95.8543919814958</v>
      </c>
    </row>
    <row r="514" customFormat="1" spans="1:31">
      <c r="A514" s="18"/>
      <c r="B514" s="19"/>
      <c r="C514" s="20">
        <v>240617000034</v>
      </c>
      <c r="D514" s="21">
        <v>45467</v>
      </c>
      <c r="E514" s="21" t="s">
        <v>37</v>
      </c>
      <c r="F514" s="19" t="s">
        <v>37</v>
      </c>
      <c r="G514" s="19" t="s">
        <v>254</v>
      </c>
      <c r="H514" s="19">
        <v>8</v>
      </c>
      <c r="I514" s="45">
        <v>492</v>
      </c>
      <c r="J514" s="39"/>
      <c r="K514" s="40"/>
      <c r="L514" s="19"/>
      <c r="M514" s="40"/>
      <c r="N514" s="41"/>
      <c r="O514" s="42">
        <f t="shared" si="320"/>
        <v>492</v>
      </c>
      <c r="P514" s="44"/>
      <c r="Q514" s="44"/>
      <c r="R514" s="68">
        <f t="shared" si="321"/>
        <v>349.998457979954</v>
      </c>
      <c r="S514" s="68"/>
      <c r="T514" s="69">
        <f t="shared" si="322"/>
        <v>0.69597532767926</v>
      </c>
      <c r="U514" s="68">
        <v>30</v>
      </c>
      <c r="V514" s="68"/>
      <c r="W514" s="68">
        <f t="shared" si="318"/>
        <v>380.694433307633</v>
      </c>
      <c r="X514" s="70">
        <f t="shared" si="323"/>
        <v>4.65384734001542</v>
      </c>
      <c r="Y514" s="70"/>
      <c r="Z514" s="70"/>
      <c r="AA514" s="70">
        <f t="shared" si="319"/>
        <v>4.65384734001542</v>
      </c>
      <c r="AB514" s="80">
        <v>7.24</v>
      </c>
      <c r="AC514" s="68">
        <f t="shared" si="317"/>
        <v>33.6938547417116</v>
      </c>
      <c r="AD514" s="68">
        <f t="shared" si="315"/>
        <v>414.388288049345</v>
      </c>
      <c r="AE514" s="68">
        <f t="shared" si="316"/>
        <v>77.6117119506554</v>
      </c>
    </row>
    <row r="515" customFormat="1" spans="1:31">
      <c r="A515" s="18"/>
      <c r="B515" s="19"/>
      <c r="C515" s="20">
        <v>240618000001</v>
      </c>
      <c r="D515" s="21">
        <v>45467</v>
      </c>
      <c r="E515" s="21" t="s">
        <v>51</v>
      </c>
      <c r="F515" s="19" t="s">
        <v>52</v>
      </c>
      <c r="G515" s="19" t="s">
        <v>160</v>
      </c>
      <c r="H515" s="19">
        <v>37.5</v>
      </c>
      <c r="I515" s="38">
        <v>2375</v>
      </c>
      <c r="J515" s="39"/>
      <c r="K515" s="40"/>
      <c r="L515" s="19"/>
      <c r="M515" s="40"/>
      <c r="N515" s="41"/>
      <c r="O515" s="42">
        <f t="shared" si="320"/>
        <v>2375</v>
      </c>
      <c r="P515" s="44"/>
      <c r="Q515" s="44"/>
      <c r="R515" s="68">
        <f t="shared" si="321"/>
        <v>1640.61777178103</v>
      </c>
      <c r="S515" s="68"/>
      <c r="T515" s="69">
        <f t="shared" si="322"/>
        <v>3.26238434849653</v>
      </c>
      <c r="U515" s="68"/>
      <c r="V515" s="68"/>
      <c r="W515" s="68">
        <f t="shared" si="318"/>
        <v>1643.88015612953</v>
      </c>
      <c r="X515" s="70">
        <f t="shared" si="323"/>
        <v>21.8149094063223</v>
      </c>
      <c r="Y515" s="70"/>
      <c r="Z515" s="70"/>
      <c r="AA515" s="70">
        <f t="shared" si="319"/>
        <v>21.8149094063223</v>
      </c>
      <c r="AB515" s="80">
        <v>7.24</v>
      </c>
      <c r="AC515" s="68">
        <f t="shared" si="317"/>
        <v>157.939944101773</v>
      </c>
      <c r="AD515" s="68">
        <f t="shared" si="315"/>
        <v>1801.8201002313</v>
      </c>
      <c r="AE515" s="68">
        <f t="shared" si="316"/>
        <v>573.179899768697</v>
      </c>
    </row>
    <row r="516" customFormat="1" spans="1:31">
      <c r="A516" s="18"/>
      <c r="B516" s="19"/>
      <c r="C516" s="20">
        <v>240618000003</v>
      </c>
      <c r="D516" s="21">
        <v>45467</v>
      </c>
      <c r="E516" s="21" t="s">
        <v>48</v>
      </c>
      <c r="F516" s="19" t="s">
        <v>49</v>
      </c>
      <c r="G516" s="19" t="s">
        <v>61</v>
      </c>
      <c r="H516" s="19">
        <v>14</v>
      </c>
      <c r="I516" s="38">
        <v>767</v>
      </c>
      <c r="J516" s="39"/>
      <c r="K516" s="40"/>
      <c r="L516" s="19"/>
      <c r="M516" s="40"/>
      <c r="N516" s="41"/>
      <c r="O516" s="42">
        <f t="shared" si="320"/>
        <v>767</v>
      </c>
      <c r="P516" s="44"/>
      <c r="Q516" s="44"/>
      <c r="R516" s="68">
        <f t="shared" si="321"/>
        <v>612.497301464919</v>
      </c>
      <c r="S516" s="68"/>
      <c r="T516" s="69">
        <f t="shared" si="322"/>
        <v>1.2179568234387</v>
      </c>
      <c r="U516" s="68"/>
      <c r="V516" s="68"/>
      <c r="W516" s="68">
        <f t="shared" si="318"/>
        <v>613.715258288358</v>
      </c>
      <c r="X516" s="70">
        <f t="shared" si="323"/>
        <v>8.14423284502699</v>
      </c>
      <c r="Y516" s="70"/>
      <c r="Z516" s="70"/>
      <c r="AA516" s="70">
        <f t="shared" si="319"/>
        <v>8.14423284502699</v>
      </c>
      <c r="AB516" s="80">
        <v>7.24</v>
      </c>
      <c r="AC516" s="68">
        <f t="shared" si="317"/>
        <v>58.9642457979954</v>
      </c>
      <c r="AD516" s="68">
        <f t="shared" si="315"/>
        <v>672.679504086353</v>
      </c>
      <c r="AE516" s="68">
        <f t="shared" si="316"/>
        <v>94.3204959136468</v>
      </c>
    </row>
    <row r="517" customFormat="1" spans="1:31">
      <c r="A517" s="18"/>
      <c r="B517" s="19"/>
      <c r="C517" s="20">
        <v>240618000011</v>
      </c>
      <c r="D517" s="21">
        <v>45467</v>
      </c>
      <c r="E517" s="21" t="s">
        <v>51</v>
      </c>
      <c r="F517" s="19" t="s">
        <v>52</v>
      </c>
      <c r="G517" s="19" t="s">
        <v>108</v>
      </c>
      <c r="H517" s="19">
        <v>7</v>
      </c>
      <c r="I517" s="45"/>
      <c r="J517" s="46">
        <v>94764</v>
      </c>
      <c r="K517" s="40"/>
      <c r="L517" s="47">
        <f t="shared" ref="L517:L521" si="324">SUM(J517/M517)</f>
        <v>1534.88824101069</v>
      </c>
      <c r="M517" s="48">
        <v>61.74</v>
      </c>
      <c r="N517" s="41">
        <v>7.24</v>
      </c>
      <c r="O517" s="42">
        <f t="shared" ref="O517:O521" si="325">SUM(M517*N517)</f>
        <v>446.9976</v>
      </c>
      <c r="P517" s="44"/>
      <c r="Q517" s="44"/>
      <c r="R517" s="68">
        <f t="shared" si="321"/>
        <v>306.24865073246</v>
      </c>
      <c r="S517" s="68"/>
      <c r="T517" s="69">
        <f t="shared" si="322"/>
        <v>0.608978411719352</v>
      </c>
      <c r="U517" s="68"/>
      <c r="V517" s="68"/>
      <c r="W517" s="68">
        <f t="shared" si="318"/>
        <v>306.857629144179</v>
      </c>
      <c r="X517" s="70">
        <f t="shared" si="323"/>
        <v>4.07211642251349</v>
      </c>
      <c r="Y517" s="70"/>
      <c r="Z517" s="70"/>
      <c r="AA517" s="70">
        <f t="shared" si="319"/>
        <v>4.07211642251349</v>
      </c>
      <c r="AB517" s="80">
        <v>7.24</v>
      </c>
      <c r="AC517" s="68">
        <f t="shared" si="317"/>
        <v>29.4821228989977</v>
      </c>
      <c r="AD517" s="68">
        <f t="shared" si="315"/>
        <v>336.339752043177</v>
      </c>
      <c r="AE517" s="68">
        <f t="shared" si="316"/>
        <v>110.657847956823</v>
      </c>
    </row>
    <row r="518" customFormat="1" spans="1:31">
      <c r="A518" s="18"/>
      <c r="B518" s="19"/>
      <c r="C518" s="20">
        <v>240618000014</v>
      </c>
      <c r="D518" s="21">
        <v>45467</v>
      </c>
      <c r="E518" s="21" t="s">
        <v>41</v>
      </c>
      <c r="F518" s="19" t="s">
        <v>42</v>
      </c>
      <c r="G518" s="19" t="s">
        <v>247</v>
      </c>
      <c r="H518" s="19">
        <v>2</v>
      </c>
      <c r="I518" s="38">
        <v>123</v>
      </c>
      <c r="J518" s="39"/>
      <c r="K518" s="40"/>
      <c r="L518" s="19"/>
      <c r="M518" s="40"/>
      <c r="N518" s="41"/>
      <c r="O518" s="42">
        <f>SUM(I518)</f>
        <v>123</v>
      </c>
      <c r="P518" s="44"/>
      <c r="Q518" s="44"/>
      <c r="R518" s="68">
        <f t="shared" si="321"/>
        <v>87.4996144949884</v>
      </c>
      <c r="S518" s="68"/>
      <c r="T518" s="69">
        <f t="shared" si="322"/>
        <v>0.173993831919815</v>
      </c>
      <c r="U518" s="68"/>
      <c r="V518" s="68"/>
      <c r="W518" s="68">
        <f t="shared" si="318"/>
        <v>87.6736083269083</v>
      </c>
      <c r="X518" s="70">
        <f t="shared" si="323"/>
        <v>1.16346183500386</v>
      </c>
      <c r="Y518" s="70"/>
      <c r="Z518" s="70"/>
      <c r="AA518" s="70">
        <f t="shared" si="319"/>
        <v>1.16346183500386</v>
      </c>
      <c r="AB518" s="80">
        <v>7.24</v>
      </c>
      <c r="AC518" s="68">
        <f t="shared" si="317"/>
        <v>8.42346368542791</v>
      </c>
      <c r="AD518" s="68">
        <f t="shared" si="315"/>
        <v>96.0970720123362</v>
      </c>
      <c r="AE518" s="68">
        <f t="shared" si="316"/>
        <v>26.9029279876638</v>
      </c>
    </row>
    <row r="519" customFormat="1" spans="1:31">
      <c r="A519" s="18"/>
      <c r="B519" s="19"/>
      <c r="C519" s="20">
        <v>240618000019</v>
      </c>
      <c r="D519" s="21">
        <v>45467</v>
      </c>
      <c r="E519" s="21" t="s">
        <v>48</v>
      </c>
      <c r="F519" s="19" t="s">
        <v>49</v>
      </c>
      <c r="G519" s="19" t="s">
        <v>421</v>
      </c>
      <c r="H519" s="19">
        <v>4</v>
      </c>
      <c r="I519" s="45"/>
      <c r="J519" s="46">
        <v>54000</v>
      </c>
      <c r="K519" s="40"/>
      <c r="L519" s="47">
        <f t="shared" si="324"/>
        <v>1629.45081472541</v>
      </c>
      <c r="M519" s="48">
        <v>33.14</v>
      </c>
      <c r="N519" s="41">
        <v>7.24</v>
      </c>
      <c r="O519" s="42">
        <f t="shared" si="325"/>
        <v>239.9336</v>
      </c>
      <c r="P519" s="44"/>
      <c r="Q519" s="44"/>
      <c r="R519" s="68">
        <f t="shared" si="321"/>
        <v>174.999228989977</v>
      </c>
      <c r="S519" s="68"/>
      <c r="T519" s="69">
        <f t="shared" si="322"/>
        <v>0.34798766383963</v>
      </c>
      <c r="U519" s="68"/>
      <c r="V519" s="68"/>
      <c r="W519" s="68">
        <f t="shared" si="318"/>
        <v>175.347216653817</v>
      </c>
      <c r="X519" s="70">
        <f t="shared" si="323"/>
        <v>2.32692367000771</v>
      </c>
      <c r="Y519" s="70"/>
      <c r="Z519" s="70"/>
      <c r="AA519" s="70">
        <f t="shared" si="319"/>
        <v>2.32692367000771</v>
      </c>
      <c r="AB519" s="80">
        <v>7.24</v>
      </c>
      <c r="AC519" s="68">
        <f t="shared" si="317"/>
        <v>16.8469273708558</v>
      </c>
      <c r="AD519" s="68">
        <f t="shared" si="315"/>
        <v>192.194144024672</v>
      </c>
      <c r="AE519" s="68">
        <f t="shared" si="316"/>
        <v>47.7394559753277</v>
      </c>
    </row>
    <row r="520" customFormat="1" spans="1:31">
      <c r="A520" s="18"/>
      <c r="B520" s="19"/>
      <c r="C520" s="20">
        <v>240618000022</v>
      </c>
      <c r="D520" s="21">
        <v>45467</v>
      </c>
      <c r="E520" s="21" t="s">
        <v>48</v>
      </c>
      <c r="F520" s="19" t="s">
        <v>49</v>
      </c>
      <c r="G520" s="19" t="s">
        <v>124</v>
      </c>
      <c r="H520" s="19">
        <v>11</v>
      </c>
      <c r="I520" s="45"/>
      <c r="J520" s="46">
        <v>148837.5</v>
      </c>
      <c r="K520" s="40"/>
      <c r="L520" s="47">
        <f t="shared" si="324"/>
        <v>1629.13200525394</v>
      </c>
      <c r="M520" s="48">
        <v>91.36</v>
      </c>
      <c r="N520" s="41">
        <v>7.24</v>
      </c>
      <c r="O520" s="42">
        <f t="shared" si="325"/>
        <v>661.4464</v>
      </c>
      <c r="P520" s="44"/>
      <c r="Q520" s="44"/>
      <c r="R520" s="68">
        <f t="shared" si="321"/>
        <v>481.247879722436</v>
      </c>
      <c r="S520" s="68"/>
      <c r="T520" s="69">
        <f t="shared" si="322"/>
        <v>0.956966075558982</v>
      </c>
      <c r="U520" s="68"/>
      <c r="V520" s="68"/>
      <c r="W520" s="68">
        <f t="shared" si="318"/>
        <v>482.204845797995</v>
      </c>
      <c r="X520" s="70">
        <f t="shared" si="323"/>
        <v>6.3990400925212</v>
      </c>
      <c r="Y520" s="70"/>
      <c r="Z520" s="70"/>
      <c r="AA520" s="70">
        <f t="shared" si="319"/>
        <v>6.3990400925212</v>
      </c>
      <c r="AB520" s="80">
        <v>7.24</v>
      </c>
      <c r="AC520" s="68">
        <f t="shared" si="317"/>
        <v>46.3290502698535</v>
      </c>
      <c r="AD520" s="68">
        <f t="shared" si="315"/>
        <v>528.533896067849</v>
      </c>
      <c r="AE520" s="68">
        <f t="shared" si="316"/>
        <v>132.912503932151</v>
      </c>
    </row>
    <row r="521" customFormat="1" spans="1:31">
      <c r="A521" s="18"/>
      <c r="B521" s="19"/>
      <c r="C521" s="20">
        <v>240618000023</v>
      </c>
      <c r="D521" s="21">
        <v>45467</v>
      </c>
      <c r="E521" s="21" t="s">
        <v>48</v>
      </c>
      <c r="F521" s="19" t="s">
        <v>49</v>
      </c>
      <c r="G521" s="19" t="s">
        <v>124</v>
      </c>
      <c r="H521" s="19">
        <v>6.5</v>
      </c>
      <c r="I521" s="45"/>
      <c r="J521" s="46">
        <v>92137.5</v>
      </c>
      <c r="K521" s="40"/>
      <c r="L521" s="47">
        <f t="shared" si="324"/>
        <v>1629.02227722772</v>
      </c>
      <c r="M521" s="48">
        <v>56.56</v>
      </c>
      <c r="N521" s="41">
        <v>7.24</v>
      </c>
      <c r="O521" s="42">
        <f t="shared" si="325"/>
        <v>409.4944</v>
      </c>
      <c r="P521" s="44"/>
      <c r="Q521" s="44"/>
      <c r="R521" s="68">
        <f t="shared" si="321"/>
        <v>284.373747108712</v>
      </c>
      <c r="S521" s="68"/>
      <c r="T521" s="69">
        <f t="shared" si="322"/>
        <v>0.565479953739399</v>
      </c>
      <c r="U521" s="68"/>
      <c r="V521" s="68"/>
      <c r="W521" s="68">
        <f t="shared" si="318"/>
        <v>284.939227062452</v>
      </c>
      <c r="X521" s="70">
        <f t="shared" si="323"/>
        <v>3.78125096376253</v>
      </c>
      <c r="Y521" s="70"/>
      <c r="Z521" s="70"/>
      <c r="AA521" s="70">
        <f t="shared" si="319"/>
        <v>3.78125096376253</v>
      </c>
      <c r="AB521" s="80">
        <v>7.24</v>
      </c>
      <c r="AC521" s="68">
        <f t="shared" si="317"/>
        <v>27.3762569776407</v>
      </c>
      <c r="AD521" s="68">
        <f t="shared" si="315"/>
        <v>312.315484040092</v>
      </c>
      <c r="AE521" s="68">
        <f t="shared" si="316"/>
        <v>97.1789159599075</v>
      </c>
    </row>
    <row r="522" customFormat="1" spans="1:31">
      <c r="A522" s="18"/>
      <c r="B522" s="19"/>
      <c r="C522" s="20">
        <v>240618000027</v>
      </c>
      <c r="D522" s="21">
        <v>45467</v>
      </c>
      <c r="E522" s="21" t="s">
        <v>37</v>
      </c>
      <c r="F522" s="19" t="s">
        <v>37</v>
      </c>
      <c r="G522" s="19" t="s">
        <v>385</v>
      </c>
      <c r="H522" s="19">
        <v>127.5</v>
      </c>
      <c r="I522" s="38">
        <v>8740</v>
      </c>
      <c r="J522" s="39"/>
      <c r="K522" s="40"/>
      <c r="L522" s="19"/>
      <c r="M522" s="40"/>
      <c r="N522" s="41"/>
      <c r="O522" s="42">
        <f t="shared" ref="O518:O525" si="326">SUM(I522)</f>
        <v>8740</v>
      </c>
      <c r="P522" s="44"/>
      <c r="Q522" s="44"/>
      <c r="R522" s="68">
        <f t="shared" si="321"/>
        <v>5578.10042405551</v>
      </c>
      <c r="S522" s="68"/>
      <c r="T522" s="69">
        <f t="shared" si="322"/>
        <v>11.0921067848882</v>
      </c>
      <c r="U522" s="68"/>
      <c r="V522" s="68"/>
      <c r="W522" s="68">
        <f t="shared" si="318"/>
        <v>5589.1925308404</v>
      </c>
      <c r="X522" s="70">
        <f t="shared" si="323"/>
        <v>74.1706919814958</v>
      </c>
      <c r="Y522" s="70"/>
      <c r="Z522" s="70"/>
      <c r="AA522" s="70">
        <f t="shared" si="319"/>
        <v>74.1706919814958</v>
      </c>
      <c r="AB522" s="80">
        <v>7.24</v>
      </c>
      <c r="AC522" s="68">
        <f t="shared" si="317"/>
        <v>536.995809946029</v>
      </c>
      <c r="AD522" s="68">
        <f t="shared" si="315"/>
        <v>6126.18834078643</v>
      </c>
      <c r="AE522" s="68">
        <f t="shared" si="316"/>
        <v>2613.81165921357</v>
      </c>
    </row>
    <row r="523" customFormat="1" spans="1:31">
      <c r="A523" s="18"/>
      <c r="B523" s="19"/>
      <c r="C523" s="20">
        <v>240618000031</v>
      </c>
      <c r="D523" s="21">
        <v>45467</v>
      </c>
      <c r="E523" s="21" t="s">
        <v>264</v>
      </c>
      <c r="F523" s="19" t="s">
        <v>37</v>
      </c>
      <c r="G523" s="19" t="s">
        <v>265</v>
      </c>
      <c r="H523" s="19">
        <v>2</v>
      </c>
      <c r="I523" s="38">
        <v>123</v>
      </c>
      <c r="J523" s="39"/>
      <c r="K523" s="40"/>
      <c r="L523" s="19"/>
      <c r="M523" s="40"/>
      <c r="N523" s="41"/>
      <c r="O523" s="42">
        <f t="shared" si="326"/>
        <v>123</v>
      </c>
      <c r="P523" s="44"/>
      <c r="Q523" s="44"/>
      <c r="R523" s="68">
        <f t="shared" si="321"/>
        <v>87.4996144949884</v>
      </c>
      <c r="S523" s="68"/>
      <c r="T523" s="69">
        <f t="shared" si="322"/>
        <v>0.173993831919815</v>
      </c>
      <c r="U523" s="68"/>
      <c r="V523" s="68"/>
      <c r="W523" s="68">
        <f t="shared" si="318"/>
        <v>87.6736083269083</v>
      </c>
      <c r="X523" s="70">
        <f t="shared" si="323"/>
        <v>1.16346183500386</v>
      </c>
      <c r="Y523" s="70"/>
      <c r="Z523" s="70"/>
      <c r="AA523" s="70">
        <f t="shared" si="319"/>
        <v>1.16346183500386</v>
      </c>
      <c r="AB523" s="80">
        <v>7.24</v>
      </c>
      <c r="AC523" s="68">
        <f t="shared" si="317"/>
        <v>8.42346368542791</v>
      </c>
      <c r="AD523" s="68">
        <f t="shared" si="315"/>
        <v>96.0970720123362</v>
      </c>
      <c r="AE523" s="68">
        <f t="shared" si="316"/>
        <v>26.9029279876638</v>
      </c>
    </row>
    <row r="524" customFormat="1" spans="1:31">
      <c r="A524" s="18"/>
      <c r="B524" s="19"/>
      <c r="C524" s="20">
        <v>240618000035</v>
      </c>
      <c r="D524" s="21">
        <v>45467</v>
      </c>
      <c r="E524" s="21" t="s">
        <v>48</v>
      </c>
      <c r="F524" s="19" t="s">
        <v>49</v>
      </c>
      <c r="G524" s="19" t="s">
        <v>172</v>
      </c>
      <c r="H524" s="19">
        <v>0.92</v>
      </c>
      <c r="I524" s="38">
        <v>63</v>
      </c>
      <c r="J524" s="39"/>
      <c r="K524" s="40"/>
      <c r="L524" s="19"/>
      <c r="M524" s="40"/>
      <c r="N524" s="41"/>
      <c r="O524" s="42">
        <f t="shared" si="326"/>
        <v>63</v>
      </c>
      <c r="P524" s="44"/>
      <c r="Q524" s="44"/>
      <c r="R524" s="68">
        <f t="shared" si="321"/>
        <v>40.2498226676947</v>
      </c>
      <c r="S524" s="68"/>
      <c r="T524" s="69">
        <f t="shared" si="322"/>
        <v>0.0800371626831149</v>
      </c>
      <c r="U524" s="68"/>
      <c r="V524" s="68"/>
      <c r="W524" s="68">
        <f t="shared" si="318"/>
        <v>40.3298598303778</v>
      </c>
      <c r="X524" s="70">
        <f t="shared" si="323"/>
        <v>0.535192444101773</v>
      </c>
      <c r="Y524" s="70"/>
      <c r="Z524" s="70"/>
      <c r="AA524" s="70">
        <f t="shared" si="319"/>
        <v>0.535192444101773</v>
      </c>
      <c r="AB524" s="80">
        <v>7.24</v>
      </c>
      <c r="AC524" s="68">
        <f t="shared" si="317"/>
        <v>3.87479329529684</v>
      </c>
      <c r="AD524" s="68">
        <f t="shared" si="315"/>
        <v>44.2046531256746</v>
      </c>
      <c r="AE524" s="68">
        <f t="shared" si="316"/>
        <v>18.7953468743254</v>
      </c>
    </row>
    <row r="525" customFormat="1" spans="1:31">
      <c r="A525" s="18"/>
      <c r="B525" s="19"/>
      <c r="C525" s="20">
        <v>240618000038</v>
      </c>
      <c r="D525" s="21">
        <v>45467</v>
      </c>
      <c r="E525" s="21" t="s">
        <v>85</v>
      </c>
      <c r="F525" s="19" t="s">
        <v>86</v>
      </c>
      <c r="G525" s="19" t="s">
        <v>422</v>
      </c>
      <c r="H525" s="19">
        <v>2.5</v>
      </c>
      <c r="I525" s="38">
        <v>183</v>
      </c>
      <c r="J525" s="39"/>
      <c r="K525" s="40"/>
      <c r="L525" s="19"/>
      <c r="M525" s="40"/>
      <c r="N525" s="41"/>
      <c r="O525" s="42">
        <f t="shared" si="326"/>
        <v>183</v>
      </c>
      <c r="P525" s="44"/>
      <c r="Q525" s="44"/>
      <c r="R525" s="68">
        <f t="shared" si="321"/>
        <v>109.374518118736</v>
      </c>
      <c r="S525" s="68"/>
      <c r="T525" s="69">
        <f t="shared" si="322"/>
        <v>0.217492289899769</v>
      </c>
      <c r="U525" s="68"/>
      <c r="V525" s="68"/>
      <c r="W525" s="68">
        <f t="shared" si="318"/>
        <v>109.592010408635</v>
      </c>
      <c r="X525" s="70">
        <f t="shared" si="323"/>
        <v>1.45432729375482</v>
      </c>
      <c r="Y525" s="70"/>
      <c r="Z525" s="70"/>
      <c r="AA525" s="70">
        <f t="shared" si="319"/>
        <v>1.45432729375482</v>
      </c>
      <c r="AB525" s="80">
        <v>7.24</v>
      </c>
      <c r="AC525" s="68">
        <f t="shared" si="317"/>
        <v>10.5293296067849</v>
      </c>
      <c r="AD525" s="68">
        <f t="shared" si="315"/>
        <v>120.12134001542</v>
      </c>
      <c r="AE525" s="68">
        <f t="shared" si="316"/>
        <v>62.8786599845798</v>
      </c>
    </row>
    <row r="526" customFormat="1" spans="1:31">
      <c r="A526" s="18"/>
      <c r="B526" s="19"/>
      <c r="C526" s="20">
        <v>240618000039</v>
      </c>
      <c r="D526" s="21">
        <v>45467</v>
      </c>
      <c r="E526" s="21" t="s">
        <v>51</v>
      </c>
      <c r="F526" s="19" t="s">
        <v>52</v>
      </c>
      <c r="G526" s="19" t="s">
        <v>423</v>
      </c>
      <c r="H526" s="19">
        <v>4</v>
      </c>
      <c r="I526" s="45"/>
      <c r="J526" s="46">
        <v>50400</v>
      </c>
      <c r="K526" s="40"/>
      <c r="L526" s="47">
        <f>SUM(J526/M526)</f>
        <v>1520.82076041038</v>
      </c>
      <c r="M526" s="48">
        <v>33.14</v>
      </c>
      <c r="N526" s="41">
        <v>7.24</v>
      </c>
      <c r="O526" s="42">
        <f>SUM(M526*N526)</f>
        <v>239.9336</v>
      </c>
      <c r="P526" s="44"/>
      <c r="Q526" s="44"/>
      <c r="R526" s="68">
        <f t="shared" si="321"/>
        <v>174.999228989977</v>
      </c>
      <c r="S526" s="68"/>
      <c r="T526" s="69">
        <f t="shared" si="322"/>
        <v>0.34798766383963</v>
      </c>
      <c r="U526" s="68"/>
      <c r="V526" s="68"/>
      <c r="W526" s="68">
        <f t="shared" si="318"/>
        <v>175.347216653817</v>
      </c>
      <c r="X526" s="70">
        <f t="shared" si="323"/>
        <v>2.32692367000771</v>
      </c>
      <c r="Y526" s="70"/>
      <c r="Z526" s="70"/>
      <c r="AA526" s="70">
        <f t="shared" si="319"/>
        <v>2.32692367000771</v>
      </c>
      <c r="AB526" s="80">
        <v>7.24</v>
      </c>
      <c r="AC526" s="68">
        <f t="shared" si="317"/>
        <v>16.8469273708558</v>
      </c>
      <c r="AD526" s="68">
        <f t="shared" si="315"/>
        <v>192.194144024672</v>
      </c>
      <c r="AE526" s="68">
        <f t="shared" si="316"/>
        <v>47.7394559753277</v>
      </c>
    </row>
    <row r="527" customFormat="1" spans="1:31">
      <c r="A527" s="18"/>
      <c r="B527" s="19"/>
      <c r="C527" s="20">
        <v>240618000042</v>
      </c>
      <c r="D527" s="21">
        <v>45467</v>
      </c>
      <c r="E527" s="21" t="s">
        <v>51</v>
      </c>
      <c r="F527" s="19" t="s">
        <v>52</v>
      </c>
      <c r="G527" s="19" t="s">
        <v>208</v>
      </c>
      <c r="H527" s="19">
        <v>10</v>
      </c>
      <c r="I527" s="38">
        <v>626</v>
      </c>
      <c r="J527" s="39"/>
      <c r="K527" s="40"/>
      <c r="L527" s="19"/>
      <c r="M527" s="40"/>
      <c r="N527" s="41"/>
      <c r="O527" s="42">
        <f t="shared" ref="O527:O536" si="327">SUM(I527)</f>
        <v>626</v>
      </c>
      <c r="P527" s="44"/>
      <c r="Q527" s="44"/>
      <c r="R527" s="68">
        <f t="shared" si="321"/>
        <v>437.498072474942</v>
      </c>
      <c r="S527" s="68"/>
      <c r="T527" s="69">
        <f t="shared" si="322"/>
        <v>0.869969159599075</v>
      </c>
      <c r="U527" s="68">
        <v>50</v>
      </c>
      <c r="V527" s="68"/>
      <c r="W527" s="68">
        <f t="shared" si="318"/>
        <v>488.368041634541</v>
      </c>
      <c r="X527" s="70">
        <f t="shared" si="323"/>
        <v>5.81730917501928</v>
      </c>
      <c r="Y527" s="70"/>
      <c r="Z527" s="70"/>
      <c r="AA527" s="70">
        <f t="shared" si="319"/>
        <v>5.81730917501928</v>
      </c>
      <c r="AB527" s="80">
        <v>7.24</v>
      </c>
      <c r="AC527" s="68">
        <f t="shared" si="317"/>
        <v>42.1173184271396</v>
      </c>
      <c r="AD527" s="68">
        <f t="shared" si="315"/>
        <v>530.485360061681</v>
      </c>
      <c r="AE527" s="68">
        <f t="shared" si="316"/>
        <v>95.514639938319</v>
      </c>
    </row>
    <row r="528" customFormat="1" spans="1:31">
      <c r="A528" s="18"/>
      <c r="B528" s="19"/>
      <c r="C528" s="20">
        <v>240619000003</v>
      </c>
      <c r="D528" s="21">
        <v>45467</v>
      </c>
      <c r="E528" s="21" t="s">
        <v>48</v>
      </c>
      <c r="F528" s="19" t="s">
        <v>49</v>
      </c>
      <c r="G528" s="19" t="s">
        <v>60</v>
      </c>
      <c r="H528" s="19">
        <v>47</v>
      </c>
      <c r="I528" s="45"/>
      <c r="J528" s="46">
        <v>542850</v>
      </c>
      <c r="K528" s="40"/>
      <c r="L528" s="47">
        <f>SUM(J528/M528)</f>
        <v>1520.41788034954</v>
      </c>
      <c r="M528" s="48">
        <v>357.04</v>
      </c>
      <c r="N528" s="41">
        <v>7.24</v>
      </c>
      <c r="O528" s="42">
        <f>SUM(M528*N528)</f>
        <v>2584.9696</v>
      </c>
      <c r="P528" s="44"/>
      <c r="Q528" s="44"/>
      <c r="R528" s="68">
        <f t="shared" si="321"/>
        <v>2056.24094063223</v>
      </c>
      <c r="S528" s="68"/>
      <c r="T528" s="69">
        <f t="shared" si="322"/>
        <v>4.08885505011565</v>
      </c>
      <c r="U528" s="68"/>
      <c r="V528" s="68"/>
      <c r="W528" s="68">
        <f t="shared" si="318"/>
        <v>2060.32979568234</v>
      </c>
      <c r="X528" s="70">
        <f t="shared" si="323"/>
        <v>27.3413531225906</v>
      </c>
      <c r="Y528" s="70"/>
      <c r="Z528" s="70"/>
      <c r="AA528" s="70">
        <f t="shared" si="319"/>
        <v>27.3413531225906</v>
      </c>
      <c r="AB528" s="80">
        <v>7.24</v>
      </c>
      <c r="AC528" s="68">
        <f t="shared" si="317"/>
        <v>197.951396607556</v>
      </c>
      <c r="AD528" s="68">
        <f t="shared" si="315"/>
        <v>2258.2811922899</v>
      </c>
      <c r="AE528" s="68">
        <f t="shared" si="316"/>
        <v>326.6884077101</v>
      </c>
    </row>
    <row r="529" customFormat="1" spans="1:31">
      <c r="A529" s="18"/>
      <c r="B529" s="19"/>
      <c r="C529" s="20">
        <v>240619000006</v>
      </c>
      <c r="D529" s="21">
        <v>45467</v>
      </c>
      <c r="E529" s="21" t="s">
        <v>41</v>
      </c>
      <c r="F529" s="19" t="s">
        <v>42</v>
      </c>
      <c r="G529" s="19" t="s">
        <v>424</v>
      </c>
      <c r="H529" s="19">
        <v>31</v>
      </c>
      <c r="I529" s="38">
        <v>1855</v>
      </c>
      <c r="J529" s="39"/>
      <c r="K529" s="40"/>
      <c r="L529" s="19"/>
      <c r="M529" s="40"/>
      <c r="N529" s="41"/>
      <c r="O529" s="42">
        <f t="shared" si="327"/>
        <v>1855</v>
      </c>
      <c r="P529" s="44"/>
      <c r="Q529" s="44"/>
      <c r="R529" s="68">
        <f t="shared" si="321"/>
        <v>1356.24402467232</v>
      </c>
      <c r="S529" s="68"/>
      <c r="T529" s="69">
        <f t="shared" si="322"/>
        <v>2.69690439475713</v>
      </c>
      <c r="U529" s="68"/>
      <c r="V529" s="68"/>
      <c r="W529" s="68">
        <f t="shared" si="318"/>
        <v>1358.94092906708</v>
      </c>
      <c r="X529" s="70">
        <f t="shared" si="323"/>
        <v>18.0336584425598</v>
      </c>
      <c r="Y529" s="70"/>
      <c r="Z529" s="70"/>
      <c r="AA529" s="70">
        <f t="shared" si="319"/>
        <v>18.0336584425598</v>
      </c>
      <c r="AB529" s="80">
        <v>7.24</v>
      </c>
      <c r="AC529" s="68">
        <f t="shared" si="317"/>
        <v>130.563687124133</v>
      </c>
      <c r="AD529" s="68">
        <f t="shared" si="315"/>
        <v>1489.50461619121</v>
      </c>
      <c r="AE529" s="68">
        <f t="shared" si="316"/>
        <v>365.49538380879</v>
      </c>
    </row>
    <row r="530" customFormat="1" spans="1:31">
      <c r="A530" s="18"/>
      <c r="B530" s="19"/>
      <c r="C530" s="81">
        <v>240619000008</v>
      </c>
      <c r="D530" s="82">
        <v>45467</v>
      </c>
      <c r="E530" s="21" t="s">
        <v>41</v>
      </c>
      <c r="F530" s="83" t="s">
        <v>42</v>
      </c>
      <c r="G530" s="83" t="s">
        <v>247</v>
      </c>
      <c r="H530" s="83">
        <v>7</v>
      </c>
      <c r="I530" s="38">
        <v>446</v>
      </c>
      <c r="J530" s="39"/>
      <c r="K530" s="40"/>
      <c r="L530" s="19"/>
      <c r="M530" s="40"/>
      <c r="N530" s="41"/>
      <c r="O530" s="42">
        <f t="shared" si="327"/>
        <v>446</v>
      </c>
      <c r="P530" s="44"/>
      <c r="Q530" s="44"/>
      <c r="R530" s="68">
        <f t="shared" si="321"/>
        <v>306.24865073246</v>
      </c>
      <c r="S530" s="68"/>
      <c r="T530" s="69">
        <f t="shared" si="322"/>
        <v>0.608978411719352</v>
      </c>
      <c r="U530" s="68"/>
      <c r="V530" s="68"/>
      <c r="W530" s="68">
        <f t="shared" si="318"/>
        <v>306.857629144179</v>
      </c>
      <c r="X530" s="70">
        <f t="shared" si="323"/>
        <v>4.07211642251349</v>
      </c>
      <c r="Y530" s="70"/>
      <c r="Z530" s="70"/>
      <c r="AA530" s="70">
        <f t="shared" si="319"/>
        <v>4.07211642251349</v>
      </c>
      <c r="AB530" s="80">
        <v>7.24</v>
      </c>
      <c r="AC530" s="68">
        <f t="shared" si="317"/>
        <v>29.4821228989977</v>
      </c>
      <c r="AD530" s="68">
        <f t="shared" si="315"/>
        <v>336.339752043177</v>
      </c>
      <c r="AE530" s="68">
        <f t="shared" si="316"/>
        <v>109.660247956823</v>
      </c>
    </row>
    <row r="531" customFormat="1" spans="1:31">
      <c r="A531" s="18"/>
      <c r="B531" s="19"/>
      <c r="C531" s="20">
        <v>240619000009</v>
      </c>
      <c r="D531" s="21">
        <v>45467</v>
      </c>
      <c r="E531" s="21" t="s">
        <v>41</v>
      </c>
      <c r="F531" s="19" t="s">
        <v>42</v>
      </c>
      <c r="G531" s="19" t="s">
        <v>247</v>
      </c>
      <c r="H531" s="19">
        <v>3</v>
      </c>
      <c r="I531" s="38">
        <v>202</v>
      </c>
      <c r="J531" s="39"/>
      <c r="K531" s="40"/>
      <c r="L531" s="19"/>
      <c r="M531" s="40"/>
      <c r="N531" s="41"/>
      <c r="O531" s="42">
        <f t="shared" si="327"/>
        <v>202</v>
      </c>
      <c r="P531" s="44"/>
      <c r="Q531" s="44"/>
      <c r="R531" s="68">
        <f t="shared" si="321"/>
        <v>131.249421742483</v>
      </c>
      <c r="S531" s="68"/>
      <c r="T531" s="69">
        <f t="shared" si="322"/>
        <v>0.260990747879722</v>
      </c>
      <c r="U531" s="68"/>
      <c r="V531" s="68"/>
      <c r="W531" s="68">
        <f t="shared" si="318"/>
        <v>131.510412490362</v>
      </c>
      <c r="X531" s="70">
        <f t="shared" si="323"/>
        <v>1.74519275250578</v>
      </c>
      <c r="Y531" s="70"/>
      <c r="Z531" s="70"/>
      <c r="AA531" s="70">
        <f t="shared" si="319"/>
        <v>1.74519275250578</v>
      </c>
      <c r="AB531" s="80">
        <v>7.24</v>
      </c>
      <c r="AC531" s="68">
        <f t="shared" si="317"/>
        <v>12.6351955281419</v>
      </c>
      <c r="AD531" s="68">
        <f t="shared" si="315"/>
        <v>144.145608018504</v>
      </c>
      <c r="AE531" s="68">
        <f t="shared" si="316"/>
        <v>57.854391981496</v>
      </c>
    </row>
    <row r="532" customFormat="1" spans="1:31">
      <c r="A532" s="18"/>
      <c r="B532" s="19"/>
      <c r="C532" s="20">
        <v>240619000010</v>
      </c>
      <c r="D532" s="21">
        <v>45467</v>
      </c>
      <c r="E532" s="21" t="s">
        <v>51</v>
      </c>
      <c r="F532" s="19" t="s">
        <v>52</v>
      </c>
      <c r="G532" s="19" t="s">
        <v>425</v>
      </c>
      <c r="H532" s="19">
        <v>1.5</v>
      </c>
      <c r="I532" s="38">
        <v>93</v>
      </c>
      <c r="J532" s="39"/>
      <c r="K532" s="40"/>
      <c r="L532" s="19"/>
      <c r="M532" s="40"/>
      <c r="N532" s="41"/>
      <c r="O532" s="42">
        <f t="shared" si="327"/>
        <v>93</v>
      </c>
      <c r="P532" s="44"/>
      <c r="Q532" s="44"/>
      <c r="R532" s="68">
        <f t="shared" si="321"/>
        <v>65.6247108712413</v>
      </c>
      <c r="S532" s="68"/>
      <c r="T532" s="69">
        <f t="shared" si="322"/>
        <v>0.130495373939861</v>
      </c>
      <c r="U532" s="68"/>
      <c r="V532" s="68"/>
      <c r="W532" s="68">
        <f t="shared" si="318"/>
        <v>65.7552062451812</v>
      </c>
      <c r="X532" s="70">
        <f t="shared" si="323"/>
        <v>0.872596376252891</v>
      </c>
      <c r="Y532" s="70"/>
      <c r="Z532" s="70"/>
      <c r="AA532" s="70">
        <f t="shared" si="319"/>
        <v>0.872596376252891</v>
      </c>
      <c r="AB532" s="80">
        <v>7.24</v>
      </c>
      <c r="AC532" s="68">
        <f t="shared" si="317"/>
        <v>6.31759776407093</v>
      </c>
      <c r="AD532" s="68">
        <f t="shared" si="315"/>
        <v>72.0728040092521</v>
      </c>
      <c r="AE532" s="68">
        <f t="shared" si="316"/>
        <v>20.9271959907479</v>
      </c>
    </row>
    <row r="533" customFormat="1" spans="1:31">
      <c r="A533" s="18"/>
      <c r="B533" s="19"/>
      <c r="C533" s="20">
        <v>240619000013</v>
      </c>
      <c r="D533" s="21">
        <v>45467</v>
      </c>
      <c r="E533" s="21" t="s">
        <v>51</v>
      </c>
      <c r="F533" s="19" t="s">
        <v>52</v>
      </c>
      <c r="G533" s="19" t="s">
        <v>426</v>
      </c>
      <c r="H533" s="19">
        <v>4.5</v>
      </c>
      <c r="I533" s="38">
        <v>300</v>
      </c>
      <c r="J533" s="39"/>
      <c r="K533" s="40"/>
      <c r="L533" s="19"/>
      <c r="M533" s="40"/>
      <c r="N533" s="41"/>
      <c r="O533" s="42">
        <f t="shared" si="327"/>
        <v>300</v>
      </c>
      <c r="P533" s="44"/>
      <c r="Q533" s="44"/>
      <c r="R533" s="68">
        <f t="shared" si="321"/>
        <v>196.874132613724</v>
      </c>
      <c r="S533" s="68"/>
      <c r="T533" s="69">
        <f t="shared" si="322"/>
        <v>0.391486121819584</v>
      </c>
      <c r="U533" s="68"/>
      <c r="V533" s="68"/>
      <c r="W533" s="68">
        <f t="shared" si="318"/>
        <v>197.265618735544</v>
      </c>
      <c r="X533" s="70">
        <f t="shared" si="323"/>
        <v>2.61778912875867</v>
      </c>
      <c r="Y533" s="70"/>
      <c r="Z533" s="70"/>
      <c r="AA533" s="70">
        <f t="shared" si="319"/>
        <v>2.61778912875867</v>
      </c>
      <c r="AB533" s="80">
        <v>7.24</v>
      </c>
      <c r="AC533" s="68">
        <f t="shared" si="317"/>
        <v>18.9527932922128</v>
      </c>
      <c r="AD533" s="68">
        <f t="shared" si="315"/>
        <v>216.218412027756</v>
      </c>
      <c r="AE533" s="68">
        <f t="shared" si="316"/>
        <v>83.781587972244</v>
      </c>
    </row>
    <row r="534" customFormat="1" spans="1:31">
      <c r="A534" s="18"/>
      <c r="B534" s="19"/>
      <c r="C534" s="20">
        <v>240619000014</v>
      </c>
      <c r="D534" s="21">
        <v>45467</v>
      </c>
      <c r="E534" s="21" t="s">
        <v>48</v>
      </c>
      <c r="F534" s="19" t="s">
        <v>49</v>
      </c>
      <c r="G534" s="19" t="s">
        <v>63</v>
      </c>
      <c r="H534" s="19">
        <v>3.5</v>
      </c>
      <c r="I534" s="38">
        <v>210</v>
      </c>
      <c r="J534" s="39"/>
      <c r="K534" s="40"/>
      <c r="L534" s="19"/>
      <c r="M534" s="40"/>
      <c r="N534" s="41"/>
      <c r="O534" s="42">
        <f t="shared" si="327"/>
        <v>210</v>
      </c>
      <c r="P534" s="44"/>
      <c r="Q534" s="44"/>
      <c r="R534" s="68">
        <f t="shared" si="321"/>
        <v>153.12432536623</v>
      </c>
      <c r="S534" s="68"/>
      <c r="T534" s="69">
        <f t="shared" si="322"/>
        <v>0.304489205859676</v>
      </c>
      <c r="U534" s="68"/>
      <c r="V534" s="68"/>
      <c r="W534" s="68">
        <f t="shared" si="318"/>
        <v>153.428814572089</v>
      </c>
      <c r="X534" s="70">
        <f t="shared" si="323"/>
        <v>2.03605821125675</v>
      </c>
      <c r="Y534" s="70"/>
      <c r="Z534" s="70"/>
      <c r="AA534" s="70">
        <f t="shared" si="319"/>
        <v>2.03605821125675</v>
      </c>
      <c r="AB534" s="80">
        <v>7.24</v>
      </c>
      <c r="AC534" s="68">
        <f t="shared" si="317"/>
        <v>14.7410614494988</v>
      </c>
      <c r="AD534" s="68">
        <f t="shared" si="315"/>
        <v>168.169876021588</v>
      </c>
      <c r="AE534" s="68">
        <f t="shared" si="316"/>
        <v>41.830123978412</v>
      </c>
    </row>
    <row r="535" customFormat="1" spans="1:31">
      <c r="A535" s="18"/>
      <c r="B535" s="19"/>
      <c r="C535" s="20">
        <v>240619000016</v>
      </c>
      <c r="D535" s="21">
        <v>45467</v>
      </c>
      <c r="E535" s="21" t="s">
        <v>48</v>
      </c>
      <c r="F535" s="19" t="s">
        <v>49</v>
      </c>
      <c r="G535" s="19" t="s">
        <v>282</v>
      </c>
      <c r="H535" s="19">
        <v>237.5</v>
      </c>
      <c r="I535" s="45"/>
      <c r="J535" s="46">
        <v>2783025</v>
      </c>
      <c r="K535" s="40"/>
      <c r="L535" s="47">
        <f>SUM(J535/M535)</f>
        <v>1520.40481848726</v>
      </c>
      <c r="M535" s="48">
        <v>1830.45</v>
      </c>
      <c r="N535" s="97">
        <v>7.24</v>
      </c>
      <c r="O535" s="42">
        <f>SUM(M535*N535)</f>
        <v>13252.458</v>
      </c>
      <c r="P535" s="44"/>
      <c r="Q535" s="44"/>
      <c r="R535" s="68">
        <f t="shared" si="321"/>
        <v>10390.5792212799</v>
      </c>
      <c r="S535" s="68"/>
      <c r="T535" s="69">
        <f t="shared" si="322"/>
        <v>20.661767540478</v>
      </c>
      <c r="U535" s="68">
        <f>SUM(150+40)</f>
        <v>190</v>
      </c>
      <c r="V535" s="68"/>
      <c r="W535" s="68">
        <f t="shared" si="318"/>
        <v>10601.2409888204</v>
      </c>
      <c r="X535" s="70">
        <f t="shared" si="323"/>
        <v>138.161092906708</v>
      </c>
      <c r="Y535" s="70"/>
      <c r="Z535" s="70"/>
      <c r="AA535" s="70">
        <f t="shared" si="319"/>
        <v>138.161092906708</v>
      </c>
      <c r="AB535" s="80">
        <v>7.24</v>
      </c>
      <c r="AC535" s="68">
        <f t="shared" si="317"/>
        <v>1000.28631264456</v>
      </c>
      <c r="AD535" s="68">
        <f t="shared" ref="AD535:AD561" si="328">SUM(W535+AC535)</f>
        <v>11601.5273014649</v>
      </c>
      <c r="AE535" s="68">
        <f t="shared" ref="AE535:AE561" si="329">SUM(O535-AD535)</f>
        <v>1650.9306985351</v>
      </c>
    </row>
    <row r="536" customFormat="1" spans="1:31">
      <c r="A536" s="18"/>
      <c r="B536" s="19"/>
      <c r="C536" s="20">
        <v>240619000018</v>
      </c>
      <c r="D536" s="21">
        <v>45467</v>
      </c>
      <c r="E536" s="21" t="s">
        <v>41</v>
      </c>
      <c r="F536" s="19" t="s">
        <v>42</v>
      </c>
      <c r="G536" s="19" t="s">
        <v>386</v>
      </c>
      <c r="H536" s="19">
        <v>4.5</v>
      </c>
      <c r="I536" s="38">
        <v>247.5</v>
      </c>
      <c r="J536" s="39"/>
      <c r="K536" s="40"/>
      <c r="L536" s="19"/>
      <c r="M536" s="40"/>
      <c r="N536" s="41"/>
      <c r="O536" s="42">
        <f t="shared" si="327"/>
        <v>247.5</v>
      </c>
      <c r="P536" s="44"/>
      <c r="Q536" s="44"/>
      <c r="R536" s="68">
        <f t="shared" si="321"/>
        <v>196.874132613724</v>
      </c>
      <c r="S536" s="68"/>
      <c r="T536" s="69">
        <f t="shared" si="322"/>
        <v>0.391486121819584</v>
      </c>
      <c r="U536" s="68"/>
      <c r="V536" s="68"/>
      <c r="W536" s="68">
        <f t="shared" si="318"/>
        <v>197.265618735544</v>
      </c>
      <c r="X536" s="70">
        <f t="shared" si="323"/>
        <v>2.61778912875867</v>
      </c>
      <c r="Y536" s="70"/>
      <c r="Z536" s="70"/>
      <c r="AA536" s="70">
        <f t="shared" si="319"/>
        <v>2.61778912875867</v>
      </c>
      <c r="AB536" s="80">
        <v>7.24</v>
      </c>
      <c r="AC536" s="68">
        <f t="shared" si="317"/>
        <v>18.9527932922128</v>
      </c>
      <c r="AD536" s="68">
        <f t="shared" si="328"/>
        <v>216.218412027756</v>
      </c>
      <c r="AE536" s="68">
        <f t="shared" si="329"/>
        <v>31.281587972244</v>
      </c>
    </row>
    <row r="537" customFormat="1" spans="1:31">
      <c r="A537" s="18"/>
      <c r="B537" s="19"/>
      <c r="C537" s="20">
        <v>240619000023</v>
      </c>
      <c r="D537" s="21">
        <v>45467</v>
      </c>
      <c r="E537" s="21" t="s">
        <v>44</v>
      </c>
      <c r="F537" s="19" t="s">
        <v>45</v>
      </c>
      <c r="G537" s="19" t="s">
        <v>62</v>
      </c>
      <c r="H537" s="19">
        <v>548.5</v>
      </c>
      <c r="I537" s="42"/>
      <c r="J537" s="46">
        <v>7082536.8</v>
      </c>
      <c r="K537" s="40"/>
      <c r="L537" s="47">
        <f>SUM(J537/M537)</f>
        <v>1640</v>
      </c>
      <c r="M537" s="48">
        <v>4318.62</v>
      </c>
      <c r="N537" s="41">
        <v>7.24</v>
      </c>
      <c r="O537" s="42">
        <f>SUM(M537*N537)</f>
        <v>31266.8088</v>
      </c>
      <c r="P537" s="44"/>
      <c r="Q537" s="44"/>
      <c r="R537" s="68">
        <f t="shared" si="321"/>
        <v>23996.7692752506</v>
      </c>
      <c r="S537" s="68"/>
      <c r="T537" s="69">
        <f t="shared" si="322"/>
        <v>47.7178084040092</v>
      </c>
      <c r="U537" s="68"/>
      <c r="V537" s="68"/>
      <c r="W537" s="68">
        <f t="shared" si="318"/>
        <v>24044.4870836546</v>
      </c>
      <c r="X537" s="70">
        <f t="shared" si="323"/>
        <v>319.079408249807</v>
      </c>
      <c r="Y537" s="70"/>
      <c r="Z537" s="70"/>
      <c r="AA537" s="70">
        <f t="shared" si="319"/>
        <v>319.079408249807</v>
      </c>
      <c r="AB537" s="80">
        <v>7.24</v>
      </c>
      <c r="AC537" s="68">
        <f t="shared" si="317"/>
        <v>2310.1349157286</v>
      </c>
      <c r="AD537" s="68">
        <f t="shared" si="328"/>
        <v>26354.6219993832</v>
      </c>
      <c r="AE537" s="68">
        <f t="shared" si="329"/>
        <v>4912.1868006168</v>
      </c>
    </row>
    <row r="538" customFormat="1" spans="1:31">
      <c r="A538" s="18"/>
      <c r="B538" s="19"/>
      <c r="C538" s="20">
        <v>240619000024</v>
      </c>
      <c r="D538" s="21">
        <v>45467</v>
      </c>
      <c r="E538" s="21" t="s">
        <v>44</v>
      </c>
      <c r="F538" s="19" t="s">
        <v>45</v>
      </c>
      <c r="G538" s="19" t="s">
        <v>274</v>
      </c>
      <c r="H538" s="19">
        <v>4.5</v>
      </c>
      <c r="I538" s="38">
        <v>273</v>
      </c>
      <c r="J538" s="39"/>
      <c r="K538" s="40"/>
      <c r="L538" s="19"/>
      <c r="M538" s="40"/>
      <c r="N538" s="41"/>
      <c r="O538" s="42">
        <f t="shared" ref="O538:O541" si="330">SUM(I538)</f>
        <v>273</v>
      </c>
      <c r="P538" s="44"/>
      <c r="Q538" s="44"/>
      <c r="R538" s="68">
        <f t="shared" si="321"/>
        <v>196.874132613724</v>
      </c>
      <c r="S538" s="68"/>
      <c r="T538" s="69">
        <f t="shared" si="322"/>
        <v>0.391486121819584</v>
      </c>
      <c r="U538" s="68"/>
      <c r="V538" s="68"/>
      <c r="W538" s="68">
        <f t="shared" si="318"/>
        <v>197.265618735544</v>
      </c>
      <c r="X538" s="70">
        <f t="shared" si="323"/>
        <v>2.61778912875867</v>
      </c>
      <c r="Y538" s="70"/>
      <c r="Z538" s="70"/>
      <c r="AA538" s="70">
        <f t="shared" si="319"/>
        <v>2.61778912875867</v>
      </c>
      <c r="AB538" s="80">
        <v>7.24</v>
      </c>
      <c r="AC538" s="68">
        <f t="shared" ref="AC538:AC561" si="331">SUM(AA538*AB538)</f>
        <v>18.9527932922128</v>
      </c>
      <c r="AD538" s="68">
        <f t="shared" si="328"/>
        <v>216.218412027756</v>
      </c>
      <c r="AE538" s="68">
        <f t="shared" si="329"/>
        <v>56.781587972244</v>
      </c>
    </row>
    <row r="539" customFormat="1" spans="1:31">
      <c r="A539" s="18"/>
      <c r="B539" s="19"/>
      <c r="C539" s="20">
        <v>240619000028</v>
      </c>
      <c r="D539" s="21">
        <v>45467</v>
      </c>
      <c r="E539" s="21" t="s">
        <v>48</v>
      </c>
      <c r="F539" s="19" t="s">
        <v>49</v>
      </c>
      <c r="G539" s="19" t="s">
        <v>183</v>
      </c>
      <c r="H539" s="19">
        <v>6</v>
      </c>
      <c r="I539" s="38">
        <v>390</v>
      </c>
      <c r="J539" s="39"/>
      <c r="K539" s="40"/>
      <c r="L539" s="19"/>
      <c r="M539" s="40"/>
      <c r="N539" s="41"/>
      <c r="O539" s="42">
        <f t="shared" si="330"/>
        <v>390</v>
      </c>
      <c r="P539" s="44"/>
      <c r="Q539" s="44"/>
      <c r="R539" s="68">
        <f t="shared" si="321"/>
        <v>262.498843484965</v>
      </c>
      <c r="S539" s="68"/>
      <c r="T539" s="69">
        <f t="shared" si="322"/>
        <v>0.521981495759445</v>
      </c>
      <c r="U539" s="68">
        <v>30</v>
      </c>
      <c r="V539" s="68"/>
      <c r="W539" s="68">
        <f t="shared" ref="W539:W561" si="332">SUM(R539:V539)</f>
        <v>293.020824980725</v>
      </c>
      <c r="X539" s="70">
        <f t="shared" si="323"/>
        <v>3.49038550501156</v>
      </c>
      <c r="Y539" s="70"/>
      <c r="Z539" s="70"/>
      <c r="AA539" s="70">
        <f t="shared" ref="AA539:AA561" si="333">SUM(X539:Z539)</f>
        <v>3.49038550501156</v>
      </c>
      <c r="AB539" s="80">
        <v>7.24</v>
      </c>
      <c r="AC539" s="68">
        <f t="shared" si="331"/>
        <v>25.2703910562837</v>
      </c>
      <c r="AD539" s="68">
        <f t="shared" si="328"/>
        <v>318.291216037008</v>
      </c>
      <c r="AE539" s="68">
        <f t="shared" si="329"/>
        <v>71.708783962992</v>
      </c>
    </row>
    <row r="540" customFormat="1" spans="1:31">
      <c r="A540" s="18"/>
      <c r="B540" s="19"/>
      <c r="C540" s="20">
        <v>240620000001</v>
      </c>
      <c r="D540" s="21">
        <v>45467</v>
      </c>
      <c r="E540" s="21" t="s">
        <v>41</v>
      </c>
      <c r="F540" s="19" t="s">
        <v>42</v>
      </c>
      <c r="G540" s="19" t="s">
        <v>427</v>
      </c>
      <c r="H540" s="19">
        <v>18.5</v>
      </c>
      <c r="I540" s="38">
        <v>1017</v>
      </c>
      <c r="J540" s="39"/>
      <c r="K540" s="40"/>
      <c r="L540" s="19"/>
      <c r="M540" s="40"/>
      <c r="N540" s="41"/>
      <c r="O540" s="42">
        <f t="shared" si="330"/>
        <v>1017</v>
      </c>
      <c r="P540" s="44"/>
      <c r="Q540" s="44"/>
      <c r="R540" s="68">
        <f t="shared" si="321"/>
        <v>809.371434078643</v>
      </c>
      <c r="S540" s="68"/>
      <c r="T540" s="69">
        <f t="shared" si="322"/>
        <v>1.60944294525829</v>
      </c>
      <c r="U540" s="68"/>
      <c r="V540" s="68"/>
      <c r="W540" s="68">
        <f t="shared" si="332"/>
        <v>810.980877023901</v>
      </c>
      <c r="X540" s="70">
        <f t="shared" si="323"/>
        <v>10.7620219737857</v>
      </c>
      <c r="Y540" s="70"/>
      <c r="Z540" s="70"/>
      <c r="AA540" s="70">
        <f t="shared" si="333"/>
        <v>10.7620219737857</v>
      </c>
      <c r="AB540" s="80">
        <v>7.24</v>
      </c>
      <c r="AC540" s="68">
        <f t="shared" si="331"/>
        <v>77.9170390902082</v>
      </c>
      <c r="AD540" s="68">
        <f t="shared" si="328"/>
        <v>888.897916114109</v>
      </c>
      <c r="AE540" s="68">
        <f t="shared" si="329"/>
        <v>128.102083885891</v>
      </c>
    </row>
    <row r="541" customFormat="1" spans="1:31">
      <c r="A541" s="18"/>
      <c r="B541" s="19"/>
      <c r="C541" s="20">
        <v>240620000002</v>
      </c>
      <c r="D541" s="21">
        <v>45467</v>
      </c>
      <c r="E541" s="21" t="s">
        <v>41</v>
      </c>
      <c r="F541" s="19" t="s">
        <v>42</v>
      </c>
      <c r="G541" s="19" t="s">
        <v>74</v>
      </c>
      <c r="H541" s="19">
        <v>5.5</v>
      </c>
      <c r="I541" s="38">
        <v>308.25</v>
      </c>
      <c r="J541" s="39"/>
      <c r="K541" s="40"/>
      <c r="L541" s="19"/>
      <c r="M541" s="40"/>
      <c r="N541" s="41"/>
      <c r="O541" s="42">
        <f t="shared" si="330"/>
        <v>308.25</v>
      </c>
      <c r="P541" s="44"/>
      <c r="Q541" s="44"/>
      <c r="R541" s="68">
        <f t="shared" si="321"/>
        <v>240.623939861218</v>
      </c>
      <c r="S541" s="68"/>
      <c r="T541" s="69">
        <f t="shared" si="322"/>
        <v>0.478483037779491</v>
      </c>
      <c r="U541" s="68"/>
      <c r="V541" s="68"/>
      <c r="W541" s="68">
        <f t="shared" si="332"/>
        <v>241.102422898998</v>
      </c>
      <c r="X541" s="70">
        <f t="shared" si="323"/>
        <v>3.1995200462606</v>
      </c>
      <c r="Y541" s="70"/>
      <c r="Z541" s="70"/>
      <c r="AA541" s="70">
        <f t="shared" si="333"/>
        <v>3.1995200462606</v>
      </c>
      <c r="AB541" s="80">
        <v>7.24</v>
      </c>
      <c r="AC541" s="68">
        <f t="shared" si="331"/>
        <v>23.1645251349268</v>
      </c>
      <c r="AD541" s="68">
        <f t="shared" si="328"/>
        <v>264.266948033924</v>
      </c>
      <c r="AE541" s="68">
        <f t="shared" si="329"/>
        <v>43.983051966076</v>
      </c>
    </row>
    <row r="542" customFormat="1" spans="1:31">
      <c r="A542" s="18"/>
      <c r="B542" s="19"/>
      <c r="C542" s="20">
        <v>240620000004</v>
      </c>
      <c r="D542" s="21">
        <v>45467</v>
      </c>
      <c r="E542" s="21" t="s">
        <v>41</v>
      </c>
      <c r="F542" s="19" t="s">
        <v>42</v>
      </c>
      <c r="G542" s="19" t="s">
        <v>284</v>
      </c>
      <c r="H542" s="19">
        <v>0.84</v>
      </c>
      <c r="I542" s="42"/>
      <c r="J542" s="46">
        <v>13102</v>
      </c>
      <c r="K542" s="40"/>
      <c r="L542" s="47">
        <f>SUM(J542/M542)</f>
        <v>1505.97683839347</v>
      </c>
      <c r="M542" s="48">
        <v>8.700001</v>
      </c>
      <c r="N542" s="41">
        <v>7.24</v>
      </c>
      <c r="O542" s="42">
        <f>SUM(M542*N542)</f>
        <v>62.98800724</v>
      </c>
      <c r="P542" s="44"/>
      <c r="Q542" s="44"/>
      <c r="R542" s="68">
        <f t="shared" ref="R542:R561" si="334">SUM(113487/2594)*H542</f>
        <v>36.7498380878951</v>
      </c>
      <c r="S542" s="68"/>
      <c r="T542" s="69">
        <f t="shared" ref="T542:T561" si="335">SUM(225.67/2594)*H542</f>
        <v>0.0730774094063223</v>
      </c>
      <c r="U542" s="68"/>
      <c r="V542" s="68"/>
      <c r="W542" s="68">
        <f t="shared" si="332"/>
        <v>36.8229154973015</v>
      </c>
      <c r="X542" s="70">
        <f t="shared" ref="X542:X561" si="336">SUM(1509.01/2594)*H542</f>
        <v>0.488653970701619</v>
      </c>
      <c r="Y542" s="70"/>
      <c r="Z542" s="70"/>
      <c r="AA542" s="70">
        <f t="shared" si="333"/>
        <v>0.488653970701619</v>
      </c>
      <c r="AB542" s="80">
        <v>7.24</v>
      </c>
      <c r="AC542" s="68">
        <f t="shared" si="331"/>
        <v>3.53785474787972</v>
      </c>
      <c r="AD542" s="68">
        <f t="shared" si="328"/>
        <v>40.3607702451812</v>
      </c>
      <c r="AE542" s="68">
        <f t="shared" si="329"/>
        <v>22.6272369948188</v>
      </c>
    </row>
    <row r="543" customFormat="1" spans="1:31">
      <c r="A543" s="18"/>
      <c r="B543" s="19"/>
      <c r="C543" s="20">
        <v>240620000005</v>
      </c>
      <c r="D543" s="21">
        <v>45467</v>
      </c>
      <c r="E543" s="21" t="s">
        <v>44</v>
      </c>
      <c r="F543" s="19" t="s">
        <v>45</v>
      </c>
      <c r="G543" s="19" t="s">
        <v>428</v>
      </c>
      <c r="H543" s="19">
        <v>2</v>
      </c>
      <c r="I543" s="38">
        <v>135</v>
      </c>
      <c r="J543" s="39"/>
      <c r="K543" s="40"/>
      <c r="L543" s="19"/>
      <c r="M543" s="40"/>
      <c r="N543" s="41"/>
      <c r="O543" s="42">
        <f t="shared" ref="O543:O545" si="337">SUM(I543)</f>
        <v>135</v>
      </c>
      <c r="P543" s="44"/>
      <c r="Q543" s="44"/>
      <c r="R543" s="68">
        <f t="shared" si="334"/>
        <v>87.4996144949884</v>
      </c>
      <c r="S543" s="68"/>
      <c r="T543" s="69">
        <f t="shared" si="335"/>
        <v>0.173993831919815</v>
      </c>
      <c r="U543" s="68"/>
      <c r="V543" s="68"/>
      <c r="W543" s="68">
        <f t="shared" si="332"/>
        <v>87.6736083269083</v>
      </c>
      <c r="X543" s="70">
        <f t="shared" si="336"/>
        <v>1.16346183500386</v>
      </c>
      <c r="Y543" s="70"/>
      <c r="Z543" s="70"/>
      <c r="AA543" s="70">
        <f t="shared" si="333"/>
        <v>1.16346183500386</v>
      </c>
      <c r="AB543" s="80">
        <v>7.24</v>
      </c>
      <c r="AC543" s="68">
        <f t="shared" si="331"/>
        <v>8.42346368542791</v>
      </c>
      <c r="AD543" s="68">
        <f t="shared" si="328"/>
        <v>96.0970720123362</v>
      </c>
      <c r="AE543" s="68">
        <f t="shared" si="329"/>
        <v>38.9029279876638</v>
      </c>
    </row>
    <row r="544" customFormat="1" spans="1:31">
      <c r="A544" s="18"/>
      <c r="B544" s="19"/>
      <c r="C544" s="20">
        <v>240620000006</v>
      </c>
      <c r="D544" s="21">
        <v>45467</v>
      </c>
      <c r="E544" s="21" t="s">
        <v>51</v>
      </c>
      <c r="F544" s="19" t="s">
        <v>52</v>
      </c>
      <c r="G544" s="19" t="s">
        <v>429</v>
      </c>
      <c r="H544" s="19">
        <v>17.5</v>
      </c>
      <c r="I544" s="38">
        <v>1058.5</v>
      </c>
      <c r="J544" s="39"/>
      <c r="K544" s="40"/>
      <c r="L544" s="19"/>
      <c r="M544" s="40"/>
      <c r="N544" s="41"/>
      <c r="O544" s="42">
        <f t="shared" si="337"/>
        <v>1058.5</v>
      </c>
      <c r="P544" s="44"/>
      <c r="Q544" s="44"/>
      <c r="R544" s="68">
        <f t="shared" si="334"/>
        <v>765.621626831149</v>
      </c>
      <c r="S544" s="68"/>
      <c r="T544" s="69">
        <f t="shared" si="335"/>
        <v>1.52244602929838</v>
      </c>
      <c r="U544" s="68"/>
      <c r="V544" s="68"/>
      <c r="W544" s="68">
        <f t="shared" si="332"/>
        <v>767.144072860447</v>
      </c>
      <c r="X544" s="70">
        <f t="shared" si="336"/>
        <v>10.1802910562837</v>
      </c>
      <c r="Y544" s="70">
        <v>7.6</v>
      </c>
      <c r="Z544" s="70"/>
      <c r="AA544" s="70">
        <f t="shared" si="333"/>
        <v>17.7802910562837</v>
      </c>
      <c r="AB544" s="80">
        <v>7.24</v>
      </c>
      <c r="AC544" s="68">
        <f t="shared" si="331"/>
        <v>128.729307247494</v>
      </c>
      <c r="AD544" s="68">
        <f t="shared" si="328"/>
        <v>895.873380107941</v>
      </c>
      <c r="AE544" s="68">
        <f t="shared" si="329"/>
        <v>162.626619892059</v>
      </c>
    </row>
    <row r="545" customFormat="1" spans="1:31">
      <c r="A545" s="18"/>
      <c r="B545" s="19"/>
      <c r="C545" s="20">
        <v>240620000017</v>
      </c>
      <c r="D545" s="21">
        <v>45467</v>
      </c>
      <c r="E545" s="21" t="s">
        <v>48</v>
      </c>
      <c r="F545" s="19" t="s">
        <v>49</v>
      </c>
      <c r="G545" s="19" t="s">
        <v>126</v>
      </c>
      <c r="H545" s="19">
        <v>198</v>
      </c>
      <c r="I545" s="38">
        <v>11194</v>
      </c>
      <c r="J545" s="39"/>
      <c r="K545" s="40"/>
      <c r="L545" s="19"/>
      <c r="M545" s="40"/>
      <c r="N545" s="41"/>
      <c r="O545" s="42">
        <f t="shared" si="337"/>
        <v>11194</v>
      </c>
      <c r="P545" s="44"/>
      <c r="Q545" s="44"/>
      <c r="R545" s="68">
        <f t="shared" si="334"/>
        <v>8662.46183500385</v>
      </c>
      <c r="S545" s="68"/>
      <c r="T545" s="69">
        <f t="shared" si="335"/>
        <v>17.2253893600617</v>
      </c>
      <c r="U545" s="69">
        <v>200</v>
      </c>
      <c r="V545" s="68"/>
      <c r="W545" s="68">
        <f t="shared" si="332"/>
        <v>8879.68722436392</v>
      </c>
      <c r="X545" s="70">
        <f t="shared" si="336"/>
        <v>115.182721665382</v>
      </c>
      <c r="Y545" s="70"/>
      <c r="Z545" s="70"/>
      <c r="AA545" s="70">
        <f t="shared" si="333"/>
        <v>115.182721665382</v>
      </c>
      <c r="AB545" s="80">
        <v>7.24</v>
      </c>
      <c r="AC545" s="68">
        <f t="shared" si="331"/>
        <v>833.922904857363</v>
      </c>
      <c r="AD545" s="68">
        <f t="shared" si="328"/>
        <v>9713.61012922128</v>
      </c>
      <c r="AE545" s="68">
        <f t="shared" si="329"/>
        <v>1480.38987077872</v>
      </c>
    </row>
    <row r="546" customFormat="1" spans="1:31">
      <c r="A546" s="18"/>
      <c r="B546" s="19"/>
      <c r="C546" s="20">
        <v>240620000023</v>
      </c>
      <c r="D546" s="21">
        <v>45467</v>
      </c>
      <c r="E546" s="21" t="s">
        <v>41</v>
      </c>
      <c r="F546" s="19" t="s">
        <v>42</v>
      </c>
      <c r="G546" s="19" t="s">
        <v>201</v>
      </c>
      <c r="H546" s="19">
        <v>17</v>
      </c>
      <c r="I546" s="42"/>
      <c r="J546" s="46">
        <v>240809</v>
      </c>
      <c r="K546" s="40"/>
      <c r="L546" s="47">
        <f t="shared" ref="L546:L551" si="338">SUM(J546/M546)</f>
        <v>1834.73523809524</v>
      </c>
      <c r="M546" s="48">
        <v>131.25</v>
      </c>
      <c r="N546" s="41">
        <v>7.24</v>
      </c>
      <c r="O546" s="42">
        <f t="shared" ref="O546:O551" si="339">SUM(M546*N546)</f>
        <v>950.25</v>
      </c>
      <c r="P546" s="44"/>
      <c r="Q546" s="44"/>
      <c r="R546" s="68">
        <f t="shared" si="334"/>
        <v>743.746723207402</v>
      </c>
      <c r="S546" s="68"/>
      <c r="T546" s="69">
        <f t="shared" si="335"/>
        <v>1.47894757131843</v>
      </c>
      <c r="U546" s="68"/>
      <c r="V546" s="68"/>
      <c r="W546" s="68">
        <f t="shared" si="332"/>
        <v>745.22567077872</v>
      </c>
      <c r="X546" s="70">
        <f t="shared" si="336"/>
        <v>9.88942559753277</v>
      </c>
      <c r="Y546" s="70"/>
      <c r="Z546" s="70"/>
      <c r="AA546" s="70">
        <f t="shared" si="333"/>
        <v>9.88942559753277</v>
      </c>
      <c r="AB546" s="80">
        <v>7.24</v>
      </c>
      <c r="AC546" s="68">
        <f t="shared" si="331"/>
        <v>71.5994413261372</v>
      </c>
      <c r="AD546" s="68">
        <f t="shared" si="328"/>
        <v>816.825112104857</v>
      </c>
      <c r="AE546" s="68">
        <f t="shared" si="329"/>
        <v>133.424887895143</v>
      </c>
    </row>
    <row r="547" customFormat="1" spans="1:31">
      <c r="A547" s="18"/>
      <c r="B547" s="19"/>
      <c r="C547" s="20">
        <v>240620000026</v>
      </c>
      <c r="D547" s="21">
        <v>45467</v>
      </c>
      <c r="E547" s="21" t="s">
        <v>85</v>
      </c>
      <c r="F547" s="19" t="s">
        <v>86</v>
      </c>
      <c r="G547" s="19" t="s">
        <v>409</v>
      </c>
      <c r="H547" s="19">
        <v>61.5</v>
      </c>
      <c r="I547" s="38">
        <v>3321</v>
      </c>
      <c r="J547" s="39"/>
      <c r="K547" s="40"/>
      <c r="L547" s="19"/>
      <c r="M547" s="40"/>
      <c r="N547" s="41"/>
      <c r="O547" s="42">
        <f t="shared" ref="O547:O553" si="340">SUM(I547)</f>
        <v>3321</v>
      </c>
      <c r="P547" s="44"/>
      <c r="Q547" s="44"/>
      <c r="R547" s="68">
        <f t="shared" si="334"/>
        <v>2690.61314572089</v>
      </c>
      <c r="S547" s="68"/>
      <c r="T547" s="69">
        <f t="shared" si="335"/>
        <v>5.35031033153431</v>
      </c>
      <c r="U547" s="68"/>
      <c r="V547" s="68"/>
      <c r="W547" s="68">
        <f t="shared" si="332"/>
        <v>2695.96345605243</v>
      </c>
      <c r="X547" s="70">
        <f t="shared" si="336"/>
        <v>35.7764514263685</v>
      </c>
      <c r="Y547" s="70"/>
      <c r="Z547" s="70"/>
      <c r="AA547" s="70">
        <f t="shared" si="333"/>
        <v>35.7764514263685</v>
      </c>
      <c r="AB547" s="80">
        <v>7.24</v>
      </c>
      <c r="AC547" s="68">
        <f t="shared" si="331"/>
        <v>259.021508326908</v>
      </c>
      <c r="AD547" s="68">
        <f t="shared" si="328"/>
        <v>2954.98496437934</v>
      </c>
      <c r="AE547" s="68">
        <f t="shared" si="329"/>
        <v>366.01503562066</v>
      </c>
    </row>
    <row r="548" customFormat="1" spans="1:31">
      <c r="A548" s="18"/>
      <c r="B548" s="19"/>
      <c r="C548" s="20">
        <v>240620000028</v>
      </c>
      <c r="D548" s="21">
        <v>45467</v>
      </c>
      <c r="E548" s="21" t="s">
        <v>51</v>
      </c>
      <c r="F548" s="19" t="s">
        <v>430</v>
      </c>
      <c r="G548" s="19" t="s">
        <v>430</v>
      </c>
      <c r="H548" s="19">
        <v>1.5</v>
      </c>
      <c r="I548" s="38">
        <v>93</v>
      </c>
      <c r="J548" s="39"/>
      <c r="K548" s="40"/>
      <c r="L548" s="19"/>
      <c r="M548" s="40"/>
      <c r="N548" s="41"/>
      <c r="O548" s="42">
        <f t="shared" si="340"/>
        <v>93</v>
      </c>
      <c r="P548" s="44"/>
      <c r="Q548" s="44"/>
      <c r="R548" s="68">
        <f t="shared" si="334"/>
        <v>65.6247108712413</v>
      </c>
      <c r="S548" s="68"/>
      <c r="T548" s="69">
        <f t="shared" si="335"/>
        <v>0.130495373939861</v>
      </c>
      <c r="U548" s="68"/>
      <c r="V548" s="68"/>
      <c r="W548" s="68">
        <f t="shared" si="332"/>
        <v>65.7552062451812</v>
      </c>
      <c r="X548" s="70">
        <f t="shared" si="336"/>
        <v>0.872596376252891</v>
      </c>
      <c r="Y548" s="70"/>
      <c r="Z548" s="70"/>
      <c r="AA548" s="70">
        <f t="shared" si="333"/>
        <v>0.872596376252891</v>
      </c>
      <c r="AB548" s="80">
        <v>7.24</v>
      </c>
      <c r="AC548" s="68">
        <f t="shared" si="331"/>
        <v>6.31759776407093</v>
      </c>
      <c r="AD548" s="68">
        <f t="shared" si="328"/>
        <v>72.0728040092521</v>
      </c>
      <c r="AE548" s="68">
        <f t="shared" si="329"/>
        <v>20.9271959907479</v>
      </c>
    </row>
    <row r="549" customFormat="1" spans="1:31">
      <c r="A549" s="18"/>
      <c r="B549" s="19"/>
      <c r="C549" s="20">
        <v>240621000003</v>
      </c>
      <c r="D549" s="21">
        <v>45467</v>
      </c>
      <c r="E549" s="21" t="s">
        <v>41</v>
      </c>
      <c r="F549" s="19" t="s">
        <v>42</v>
      </c>
      <c r="G549" s="19" t="s">
        <v>125</v>
      </c>
      <c r="H549" s="19">
        <v>0.82</v>
      </c>
      <c r="I549" s="42"/>
      <c r="J549" s="46">
        <v>13252.8</v>
      </c>
      <c r="K549" s="40"/>
      <c r="L549" s="47">
        <f t="shared" si="338"/>
        <v>1506</v>
      </c>
      <c r="M549" s="48">
        <v>8.8</v>
      </c>
      <c r="N549" s="41">
        <v>7.24</v>
      </c>
      <c r="O549" s="42">
        <f t="shared" si="339"/>
        <v>63.712</v>
      </c>
      <c r="P549" s="44"/>
      <c r="Q549" s="44"/>
      <c r="R549" s="68">
        <f t="shared" si="334"/>
        <v>35.8748419429453</v>
      </c>
      <c r="S549" s="68"/>
      <c r="T549" s="69">
        <f t="shared" si="335"/>
        <v>0.0713374710871241</v>
      </c>
      <c r="U549" s="68"/>
      <c r="V549" s="68"/>
      <c r="W549" s="68">
        <f t="shared" si="332"/>
        <v>35.9461794140324</v>
      </c>
      <c r="X549" s="70">
        <f t="shared" si="336"/>
        <v>0.477019352351581</v>
      </c>
      <c r="Y549" s="70"/>
      <c r="Z549" s="70"/>
      <c r="AA549" s="70">
        <f t="shared" si="333"/>
        <v>0.477019352351581</v>
      </c>
      <c r="AB549" s="80">
        <v>7.24</v>
      </c>
      <c r="AC549" s="68">
        <f t="shared" si="331"/>
        <v>3.45362011102544</v>
      </c>
      <c r="AD549" s="68">
        <f t="shared" si="328"/>
        <v>39.3997995250578</v>
      </c>
      <c r="AE549" s="68">
        <f t="shared" si="329"/>
        <v>24.3122004749422</v>
      </c>
    </row>
    <row r="550" customFormat="1" spans="1:31">
      <c r="A550" s="18"/>
      <c r="B550" s="19"/>
      <c r="C550" s="20">
        <v>240621000004</v>
      </c>
      <c r="D550" s="21">
        <v>45467</v>
      </c>
      <c r="E550" s="21" t="s">
        <v>41</v>
      </c>
      <c r="F550" s="19" t="s">
        <v>42</v>
      </c>
      <c r="G550" s="19" t="s">
        <v>125</v>
      </c>
      <c r="H550" s="19">
        <v>0.5</v>
      </c>
      <c r="I550" s="42"/>
      <c r="J550" s="46">
        <v>13252.8</v>
      </c>
      <c r="K550" s="40"/>
      <c r="L550" s="47">
        <f t="shared" si="338"/>
        <v>1506</v>
      </c>
      <c r="M550" s="48">
        <v>8.8</v>
      </c>
      <c r="N550" s="41">
        <v>7.24</v>
      </c>
      <c r="O550" s="42">
        <f t="shared" si="339"/>
        <v>63.712</v>
      </c>
      <c r="P550" s="44"/>
      <c r="Q550" s="44"/>
      <c r="R550" s="68">
        <f t="shared" si="334"/>
        <v>21.8749036237471</v>
      </c>
      <c r="S550" s="68"/>
      <c r="T550" s="69">
        <f t="shared" si="335"/>
        <v>0.0434984579799537</v>
      </c>
      <c r="U550" s="68"/>
      <c r="V550" s="68"/>
      <c r="W550" s="68">
        <f t="shared" si="332"/>
        <v>21.9184020817271</v>
      </c>
      <c r="X550" s="70">
        <f t="shared" si="336"/>
        <v>0.290865458750964</v>
      </c>
      <c r="Y550" s="70"/>
      <c r="Z550" s="70"/>
      <c r="AA550" s="70">
        <f t="shared" si="333"/>
        <v>0.290865458750964</v>
      </c>
      <c r="AB550" s="80">
        <v>7.24</v>
      </c>
      <c r="AC550" s="68">
        <f t="shared" si="331"/>
        <v>2.10586592135698</v>
      </c>
      <c r="AD550" s="68">
        <f t="shared" si="328"/>
        <v>24.024268003084</v>
      </c>
      <c r="AE550" s="68">
        <f t="shared" si="329"/>
        <v>39.687731996916</v>
      </c>
    </row>
    <row r="551" customFormat="1" spans="1:31">
      <c r="A551" s="18"/>
      <c r="B551" s="19"/>
      <c r="C551" s="20">
        <v>240621000006</v>
      </c>
      <c r="D551" s="21">
        <v>45467</v>
      </c>
      <c r="E551" s="21" t="s">
        <v>48</v>
      </c>
      <c r="F551" s="19" t="s">
        <v>49</v>
      </c>
      <c r="G551" s="19" t="s">
        <v>431</v>
      </c>
      <c r="H551" s="19">
        <v>37.5</v>
      </c>
      <c r="I551" s="45"/>
      <c r="J551" s="46">
        <v>464062.5</v>
      </c>
      <c r="K551" s="40"/>
      <c r="L551" s="47">
        <f t="shared" si="338"/>
        <v>1629.03254115913</v>
      </c>
      <c r="M551" s="48">
        <v>284.87</v>
      </c>
      <c r="N551" s="97">
        <v>7.24</v>
      </c>
      <c r="O551" s="42">
        <f t="shared" si="339"/>
        <v>2062.4588</v>
      </c>
      <c r="P551" s="44"/>
      <c r="Q551" s="44"/>
      <c r="R551" s="68">
        <f t="shared" si="334"/>
        <v>1640.61777178103</v>
      </c>
      <c r="S551" s="68"/>
      <c r="T551" s="69">
        <f t="shared" si="335"/>
        <v>3.26238434849653</v>
      </c>
      <c r="U551" s="68"/>
      <c r="V551" s="68"/>
      <c r="W551" s="68">
        <f t="shared" si="332"/>
        <v>1643.88015612953</v>
      </c>
      <c r="X551" s="70">
        <f t="shared" si="336"/>
        <v>21.8149094063223</v>
      </c>
      <c r="Y551" s="70"/>
      <c r="Z551" s="70"/>
      <c r="AA551" s="70">
        <f t="shared" si="333"/>
        <v>21.8149094063223</v>
      </c>
      <c r="AB551" s="80">
        <v>7.24</v>
      </c>
      <c r="AC551" s="68">
        <f t="shared" si="331"/>
        <v>157.939944101773</v>
      </c>
      <c r="AD551" s="68">
        <f t="shared" si="328"/>
        <v>1801.8201002313</v>
      </c>
      <c r="AE551" s="68">
        <f t="shared" si="329"/>
        <v>260.6386997687</v>
      </c>
    </row>
    <row r="552" customFormat="1" spans="1:31">
      <c r="A552" s="18"/>
      <c r="B552" s="19"/>
      <c r="C552" s="81">
        <v>240621000007</v>
      </c>
      <c r="D552" s="82">
        <v>45467</v>
      </c>
      <c r="E552" s="21" t="s">
        <v>48</v>
      </c>
      <c r="F552" s="83" t="s">
        <v>49</v>
      </c>
      <c r="G552" s="83" t="s">
        <v>153</v>
      </c>
      <c r="H552" s="83">
        <v>2</v>
      </c>
      <c r="I552" s="38">
        <v>110</v>
      </c>
      <c r="J552" s="39"/>
      <c r="K552" s="40"/>
      <c r="L552" s="19"/>
      <c r="M552" s="40"/>
      <c r="N552" s="41"/>
      <c r="O552" s="42">
        <f t="shared" si="340"/>
        <v>110</v>
      </c>
      <c r="P552" s="44"/>
      <c r="Q552" s="44"/>
      <c r="R552" s="68">
        <f t="shared" si="334"/>
        <v>87.4996144949884</v>
      </c>
      <c r="S552" s="68"/>
      <c r="T552" s="69">
        <f t="shared" si="335"/>
        <v>0.173993831919815</v>
      </c>
      <c r="U552" s="68"/>
      <c r="V552" s="68"/>
      <c r="W552" s="68">
        <f t="shared" si="332"/>
        <v>87.6736083269083</v>
      </c>
      <c r="X552" s="70">
        <f t="shared" si="336"/>
        <v>1.16346183500386</v>
      </c>
      <c r="Y552" s="70"/>
      <c r="Z552" s="70"/>
      <c r="AA552" s="70">
        <f t="shared" si="333"/>
        <v>1.16346183500386</v>
      </c>
      <c r="AB552" s="80">
        <v>7.24</v>
      </c>
      <c r="AC552" s="68">
        <f t="shared" si="331"/>
        <v>8.42346368542791</v>
      </c>
      <c r="AD552" s="68">
        <f t="shared" si="328"/>
        <v>96.0970720123362</v>
      </c>
      <c r="AE552" s="68">
        <f t="shared" si="329"/>
        <v>13.9029279876638</v>
      </c>
    </row>
    <row r="553" customFormat="1" spans="1:31">
      <c r="A553" s="18"/>
      <c r="B553" s="19"/>
      <c r="C553" s="20">
        <v>240621000009</v>
      </c>
      <c r="D553" s="21">
        <v>45467</v>
      </c>
      <c r="E553" s="21" t="s">
        <v>48</v>
      </c>
      <c r="F553" s="19" t="s">
        <v>49</v>
      </c>
      <c r="G553" s="19" t="s">
        <v>365</v>
      </c>
      <c r="H553" s="19">
        <v>27</v>
      </c>
      <c r="I553" s="38">
        <v>1620</v>
      </c>
      <c r="J553" s="39"/>
      <c r="K553" s="40"/>
      <c r="L553" s="19"/>
      <c r="M553" s="40"/>
      <c r="N553" s="41"/>
      <c r="O553" s="42">
        <f t="shared" si="340"/>
        <v>1620</v>
      </c>
      <c r="P553" s="44"/>
      <c r="Q553" s="44"/>
      <c r="R553" s="68">
        <f t="shared" si="334"/>
        <v>1181.24479568234</v>
      </c>
      <c r="S553" s="68"/>
      <c r="T553" s="69">
        <f t="shared" si="335"/>
        <v>2.3489167309175</v>
      </c>
      <c r="U553" s="68"/>
      <c r="V553" s="68"/>
      <c r="W553" s="68">
        <f t="shared" si="332"/>
        <v>1183.59371241326</v>
      </c>
      <c r="X553" s="70">
        <f t="shared" si="336"/>
        <v>15.706734772552</v>
      </c>
      <c r="Y553" s="70"/>
      <c r="Z553" s="70"/>
      <c r="AA553" s="70">
        <f t="shared" si="333"/>
        <v>15.706734772552</v>
      </c>
      <c r="AB553" s="80">
        <v>7.24</v>
      </c>
      <c r="AC553" s="68">
        <f t="shared" si="331"/>
        <v>113.716759753277</v>
      </c>
      <c r="AD553" s="68">
        <f t="shared" si="328"/>
        <v>1297.31047216654</v>
      </c>
      <c r="AE553" s="68">
        <f t="shared" si="329"/>
        <v>322.68952783346</v>
      </c>
    </row>
    <row r="554" customFormat="1" spans="1:31">
      <c r="A554" s="18"/>
      <c r="B554" s="19"/>
      <c r="C554" s="20">
        <v>240621000010</v>
      </c>
      <c r="D554" s="21">
        <v>45467</v>
      </c>
      <c r="E554" s="21" t="s">
        <v>44</v>
      </c>
      <c r="F554" s="19" t="s">
        <v>45</v>
      </c>
      <c r="G554" s="19" t="s">
        <v>432</v>
      </c>
      <c r="H554" s="19">
        <v>4</v>
      </c>
      <c r="I554" s="45"/>
      <c r="J554" s="46">
        <v>87150</v>
      </c>
      <c r="K554" s="40"/>
      <c r="L554" s="47">
        <f>SUM(J554/M554)</f>
        <v>1518.82188915999</v>
      </c>
      <c r="M554" s="48">
        <v>57.38</v>
      </c>
      <c r="N554" s="41">
        <v>7.24</v>
      </c>
      <c r="O554" s="42">
        <f>SUM(M554*N554)</f>
        <v>415.4312</v>
      </c>
      <c r="P554" s="44"/>
      <c r="Q554" s="44"/>
      <c r="R554" s="68">
        <f t="shared" si="334"/>
        <v>174.999228989977</v>
      </c>
      <c r="S554" s="68"/>
      <c r="T554" s="69">
        <f t="shared" si="335"/>
        <v>0.34798766383963</v>
      </c>
      <c r="U554" s="68"/>
      <c r="V554" s="68"/>
      <c r="W554" s="68">
        <f t="shared" si="332"/>
        <v>175.347216653817</v>
      </c>
      <c r="X554" s="70">
        <f t="shared" si="336"/>
        <v>2.32692367000771</v>
      </c>
      <c r="Y554" s="70"/>
      <c r="Z554" s="70"/>
      <c r="AA554" s="70">
        <f t="shared" si="333"/>
        <v>2.32692367000771</v>
      </c>
      <c r="AB554" s="80">
        <v>7.24</v>
      </c>
      <c r="AC554" s="68">
        <f t="shared" si="331"/>
        <v>16.8469273708558</v>
      </c>
      <c r="AD554" s="68">
        <f t="shared" si="328"/>
        <v>192.194144024672</v>
      </c>
      <c r="AE554" s="68">
        <f t="shared" si="329"/>
        <v>223.237055975328</v>
      </c>
    </row>
    <row r="555" customFormat="1" spans="1:31">
      <c r="A555" s="18"/>
      <c r="B555" s="19"/>
      <c r="C555" s="20">
        <v>240621000014</v>
      </c>
      <c r="D555" s="21">
        <v>45467</v>
      </c>
      <c r="E555" s="21" t="s">
        <v>37</v>
      </c>
      <c r="F555" s="19" t="s">
        <v>37</v>
      </c>
      <c r="G555" s="19" t="s">
        <v>262</v>
      </c>
      <c r="H555" s="19">
        <v>79.5</v>
      </c>
      <c r="I555" s="45"/>
      <c r="J555" s="46">
        <v>961950</v>
      </c>
      <c r="K555" s="40"/>
      <c r="L555" s="47">
        <f>SUM(J555/M555)</f>
        <v>1592.81704833342</v>
      </c>
      <c r="M555" s="48">
        <v>603.93</v>
      </c>
      <c r="N555" s="41">
        <v>7.24</v>
      </c>
      <c r="O555" s="42">
        <f>SUM(M555*N555)</f>
        <v>4372.4532</v>
      </c>
      <c r="P555" s="44"/>
      <c r="Q555" s="44"/>
      <c r="R555" s="68">
        <f t="shared" si="334"/>
        <v>3478.10967617579</v>
      </c>
      <c r="S555" s="68"/>
      <c r="T555" s="69">
        <f t="shared" si="335"/>
        <v>6.91625481881264</v>
      </c>
      <c r="U555" s="68"/>
      <c r="V555" s="68"/>
      <c r="W555" s="68">
        <f t="shared" si="332"/>
        <v>3485.0259309946</v>
      </c>
      <c r="X555" s="70">
        <f t="shared" si="336"/>
        <v>46.2476079414032</v>
      </c>
      <c r="Y555" s="70"/>
      <c r="Z555" s="70"/>
      <c r="AA555" s="70">
        <f t="shared" si="333"/>
        <v>46.2476079414032</v>
      </c>
      <c r="AB555" s="80">
        <v>7.24</v>
      </c>
      <c r="AC555" s="68">
        <f t="shared" si="331"/>
        <v>334.832681495759</v>
      </c>
      <c r="AD555" s="68">
        <f t="shared" si="328"/>
        <v>3819.85861249036</v>
      </c>
      <c r="AE555" s="68">
        <f t="shared" si="329"/>
        <v>552.59458750964</v>
      </c>
    </row>
    <row r="556" customFormat="1" spans="1:31">
      <c r="A556" s="18"/>
      <c r="B556" s="19"/>
      <c r="C556" s="20">
        <v>240621000015</v>
      </c>
      <c r="D556" s="21">
        <v>45467</v>
      </c>
      <c r="E556" s="21" t="s">
        <v>48</v>
      </c>
      <c r="F556" s="19" t="s">
        <v>49</v>
      </c>
      <c r="G556" s="19" t="s">
        <v>183</v>
      </c>
      <c r="H556" s="19">
        <v>18.5</v>
      </c>
      <c r="I556" s="38">
        <v>1020</v>
      </c>
      <c r="J556" s="39"/>
      <c r="K556" s="40"/>
      <c r="L556" s="19"/>
      <c r="M556" s="40"/>
      <c r="N556" s="41"/>
      <c r="O556" s="42">
        <f t="shared" ref="O556:O559" si="341">SUM(I556)</f>
        <v>1020</v>
      </c>
      <c r="P556" s="44"/>
      <c r="Q556" s="44"/>
      <c r="R556" s="68">
        <f t="shared" si="334"/>
        <v>809.371434078643</v>
      </c>
      <c r="S556" s="68"/>
      <c r="T556" s="69">
        <f t="shared" si="335"/>
        <v>1.60944294525829</v>
      </c>
      <c r="U556" s="68"/>
      <c r="V556" s="68"/>
      <c r="W556" s="68">
        <f t="shared" si="332"/>
        <v>810.980877023901</v>
      </c>
      <c r="X556" s="70">
        <f t="shared" si="336"/>
        <v>10.7620219737857</v>
      </c>
      <c r="Y556" s="70"/>
      <c r="Z556" s="70"/>
      <c r="AA556" s="70">
        <f t="shared" si="333"/>
        <v>10.7620219737857</v>
      </c>
      <c r="AB556" s="80">
        <v>7.24</v>
      </c>
      <c r="AC556" s="68">
        <f t="shared" si="331"/>
        <v>77.9170390902082</v>
      </c>
      <c r="AD556" s="68">
        <f t="shared" si="328"/>
        <v>888.897916114109</v>
      </c>
      <c r="AE556" s="68">
        <f t="shared" si="329"/>
        <v>131.102083885891</v>
      </c>
    </row>
    <row r="557" customFormat="1" spans="1:31">
      <c r="A557" s="18"/>
      <c r="B557" s="19"/>
      <c r="C557" s="20">
        <v>240621000016</v>
      </c>
      <c r="D557" s="21">
        <v>45467</v>
      </c>
      <c r="E557" s="21" t="s">
        <v>37</v>
      </c>
      <c r="F557" s="19" t="s">
        <v>37</v>
      </c>
      <c r="G557" s="19" t="s">
        <v>253</v>
      </c>
      <c r="H557" s="19">
        <v>8.5</v>
      </c>
      <c r="I557" s="45">
        <v>513</v>
      </c>
      <c r="J557" s="39"/>
      <c r="K557" s="40"/>
      <c r="L557" s="19"/>
      <c r="M557" s="40"/>
      <c r="N557" s="41"/>
      <c r="O557" s="42">
        <f t="shared" si="341"/>
        <v>513</v>
      </c>
      <c r="P557" s="44"/>
      <c r="Q557" s="44"/>
      <c r="R557" s="68">
        <f t="shared" si="334"/>
        <v>371.873361603701</v>
      </c>
      <c r="S557" s="68"/>
      <c r="T557" s="69">
        <f t="shared" si="335"/>
        <v>0.739473785659214</v>
      </c>
      <c r="U557" s="68"/>
      <c r="V557" s="68"/>
      <c r="W557" s="68">
        <f t="shared" si="332"/>
        <v>372.61283538936</v>
      </c>
      <c r="X557" s="70">
        <f t="shared" si="336"/>
        <v>4.94471279876638</v>
      </c>
      <c r="Y557" s="70"/>
      <c r="Z557" s="70"/>
      <c r="AA557" s="70">
        <f t="shared" si="333"/>
        <v>4.94471279876638</v>
      </c>
      <c r="AB557" s="80">
        <v>7.24</v>
      </c>
      <c r="AC557" s="68">
        <f t="shared" si="331"/>
        <v>35.7997206630686</v>
      </c>
      <c r="AD557" s="68">
        <f t="shared" si="328"/>
        <v>408.412556052429</v>
      </c>
      <c r="AE557" s="68">
        <f t="shared" si="329"/>
        <v>104.587443947571</v>
      </c>
    </row>
    <row r="558" customFormat="1" spans="1:31">
      <c r="A558" s="18"/>
      <c r="B558" s="19"/>
      <c r="C558" s="20">
        <v>240621000018</v>
      </c>
      <c r="D558" s="21">
        <v>45467</v>
      </c>
      <c r="E558" s="21" t="s">
        <v>37</v>
      </c>
      <c r="F558" s="19" t="s">
        <v>37</v>
      </c>
      <c r="G558" s="19" t="s">
        <v>433</v>
      </c>
      <c r="H558" s="19">
        <v>591.5</v>
      </c>
      <c r="I558" s="38">
        <v>32882.5</v>
      </c>
      <c r="J558" s="39"/>
      <c r="K558" s="40"/>
      <c r="L558" s="19"/>
      <c r="M558" s="40"/>
      <c r="N558" s="41"/>
      <c r="O558" s="42">
        <f t="shared" si="341"/>
        <v>32882.5</v>
      </c>
      <c r="P558" s="44"/>
      <c r="Q558" s="44"/>
      <c r="R558" s="68">
        <f t="shared" si="334"/>
        <v>25878.0109868928</v>
      </c>
      <c r="S558" s="68"/>
      <c r="T558" s="69">
        <f t="shared" si="335"/>
        <v>51.4586757902853</v>
      </c>
      <c r="U558" s="68"/>
      <c r="V558" s="68"/>
      <c r="W558" s="68">
        <f t="shared" si="332"/>
        <v>25929.4696626831</v>
      </c>
      <c r="X558" s="70">
        <f t="shared" si="336"/>
        <v>344.09383770239</v>
      </c>
      <c r="Y558" s="70"/>
      <c r="Z558" s="70"/>
      <c r="AA558" s="70">
        <f t="shared" si="333"/>
        <v>344.09383770239</v>
      </c>
      <c r="AB558" s="80">
        <v>7.24</v>
      </c>
      <c r="AC558" s="68">
        <f t="shared" si="331"/>
        <v>2491.2393849653</v>
      </c>
      <c r="AD558" s="68">
        <f t="shared" si="328"/>
        <v>28420.7090476484</v>
      </c>
      <c r="AE558" s="68">
        <f t="shared" si="329"/>
        <v>4461.7909523516</v>
      </c>
    </row>
    <row r="559" customFormat="1" spans="1:31">
      <c r="A559" s="18"/>
      <c r="B559" s="19"/>
      <c r="C559" s="20">
        <v>240621000020</v>
      </c>
      <c r="D559" s="21">
        <v>45467</v>
      </c>
      <c r="E559" s="21" t="s">
        <v>85</v>
      </c>
      <c r="F559" s="19" t="s">
        <v>86</v>
      </c>
      <c r="G559" s="19" t="s">
        <v>131</v>
      </c>
      <c r="H559" s="19">
        <v>5</v>
      </c>
      <c r="I559" s="38">
        <v>303</v>
      </c>
      <c r="J559" s="39"/>
      <c r="K559" s="40"/>
      <c r="L559" s="19"/>
      <c r="M559" s="40"/>
      <c r="N559" s="41"/>
      <c r="O559" s="42">
        <f t="shared" si="341"/>
        <v>303</v>
      </c>
      <c r="P559" s="44"/>
      <c r="Q559" s="44"/>
      <c r="R559" s="68">
        <f t="shared" si="334"/>
        <v>218.749036237471</v>
      </c>
      <c r="S559" s="68"/>
      <c r="T559" s="69">
        <f t="shared" si="335"/>
        <v>0.434984579799537</v>
      </c>
      <c r="U559" s="68"/>
      <c r="V559" s="68"/>
      <c r="W559" s="68">
        <f t="shared" si="332"/>
        <v>219.184020817271</v>
      </c>
      <c r="X559" s="70">
        <f t="shared" si="336"/>
        <v>2.90865458750964</v>
      </c>
      <c r="Y559" s="70"/>
      <c r="Z559" s="70"/>
      <c r="AA559" s="70">
        <f t="shared" si="333"/>
        <v>2.90865458750964</v>
      </c>
      <c r="AB559" s="80">
        <v>7.24</v>
      </c>
      <c r="AC559" s="68">
        <f t="shared" si="331"/>
        <v>21.0586592135698</v>
      </c>
      <c r="AD559" s="68">
        <f t="shared" si="328"/>
        <v>240.24268003084</v>
      </c>
      <c r="AE559" s="68">
        <f t="shared" si="329"/>
        <v>62.75731996916</v>
      </c>
    </row>
    <row r="560" customFormat="1" spans="1:31">
      <c r="A560" s="18"/>
      <c r="B560" s="19"/>
      <c r="C560" s="20">
        <v>240621000025</v>
      </c>
      <c r="D560" s="21">
        <v>45467</v>
      </c>
      <c r="E560" s="21" t="s">
        <v>48</v>
      </c>
      <c r="F560" s="19" t="s">
        <v>49</v>
      </c>
      <c r="G560" s="19" t="s">
        <v>434</v>
      </c>
      <c r="H560" s="19">
        <v>39.5</v>
      </c>
      <c r="I560" s="45"/>
      <c r="J560" s="46">
        <v>544050</v>
      </c>
      <c r="K560" s="40"/>
      <c r="L560" s="47">
        <f>SUM(J560/M560)</f>
        <v>1629.03853639548</v>
      </c>
      <c r="M560" s="48">
        <v>333.97</v>
      </c>
      <c r="N560" s="41">
        <v>7.24</v>
      </c>
      <c r="O560" s="42">
        <f>SUM(M560*N560)</f>
        <v>2417.9428</v>
      </c>
      <c r="P560" s="44"/>
      <c r="Q560" s="44"/>
      <c r="R560" s="68">
        <f t="shared" si="334"/>
        <v>1728.11738627602</v>
      </c>
      <c r="S560" s="68"/>
      <c r="T560" s="69">
        <f t="shared" si="335"/>
        <v>3.43637818041634</v>
      </c>
      <c r="U560" s="68"/>
      <c r="V560" s="68"/>
      <c r="W560" s="68">
        <f t="shared" si="332"/>
        <v>1731.55376445644</v>
      </c>
      <c r="X560" s="70">
        <f t="shared" si="336"/>
        <v>22.9783712413261</v>
      </c>
      <c r="Y560" s="70"/>
      <c r="Z560" s="70"/>
      <c r="AA560" s="70">
        <f t="shared" si="333"/>
        <v>22.9783712413261</v>
      </c>
      <c r="AB560" s="80">
        <v>7.24</v>
      </c>
      <c r="AC560" s="68">
        <f t="shared" ref="AC560:AC579" si="342">SUM(AA560*AB560)</f>
        <v>166.363407787201</v>
      </c>
      <c r="AD560" s="68">
        <f t="shared" ref="AD560:AD579" si="343">SUM(W560+AC560)</f>
        <v>1897.91717224364</v>
      </c>
      <c r="AE560" s="68">
        <f t="shared" si="329"/>
        <v>520.02562775636</v>
      </c>
    </row>
    <row r="561" customFormat="1" spans="1:31">
      <c r="A561" s="18"/>
      <c r="B561" s="19"/>
      <c r="C561" s="20">
        <v>240621000026</v>
      </c>
      <c r="D561" s="21">
        <v>45467</v>
      </c>
      <c r="E561" s="21" t="s">
        <v>44</v>
      </c>
      <c r="F561" s="19" t="s">
        <v>45</v>
      </c>
      <c r="G561" s="19" t="s">
        <v>435</v>
      </c>
      <c r="H561" s="19">
        <v>26.5</v>
      </c>
      <c r="I561" s="38">
        <v>1465.5</v>
      </c>
      <c r="J561" s="39"/>
      <c r="K561" s="40"/>
      <c r="L561" s="19"/>
      <c r="M561" s="40"/>
      <c r="N561" s="96"/>
      <c r="O561" s="42">
        <f t="shared" ref="O561:O563" si="344">SUM(I561)</f>
        <v>1465.5</v>
      </c>
      <c r="P561" s="49"/>
      <c r="Q561" s="49"/>
      <c r="R561" s="68">
        <f t="shared" si="334"/>
        <v>1159.3698920586</v>
      </c>
      <c r="S561" s="68"/>
      <c r="T561" s="69">
        <f t="shared" si="335"/>
        <v>2.30541827293755</v>
      </c>
      <c r="U561" s="68"/>
      <c r="V561" s="68"/>
      <c r="W561" s="68">
        <f t="shared" si="332"/>
        <v>1161.67531033153</v>
      </c>
      <c r="X561" s="70">
        <f t="shared" si="336"/>
        <v>15.4158693138011</v>
      </c>
      <c r="Y561" s="70"/>
      <c r="Z561" s="70"/>
      <c r="AA561" s="70">
        <f t="shared" ref="AA561:AA579" si="345">SUM(X561:Z561)</f>
        <v>15.4158693138011</v>
      </c>
      <c r="AB561" s="80">
        <v>7.24</v>
      </c>
      <c r="AC561" s="68">
        <f t="shared" si="342"/>
        <v>111.61089383192</v>
      </c>
      <c r="AD561" s="68">
        <f t="shared" si="343"/>
        <v>1273.28620416345</v>
      </c>
      <c r="AE561" s="68">
        <f t="shared" ref="AE561:AE579" si="346">SUM(O561-AD561)</f>
        <v>192.213795836546</v>
      </c>
    </row>
    <row r="562" customFormat="1" spans="1:31">
      <c r="A562" s="18" t="s">
        <v>436</v>
      </c>
      <c r="B562" s="19" t="s">
        <v>437</v>
      </c>
      <c r="C562" s="20">
        <v>240619000026</v>
      </c>
      <c r="D562" s="21">
        <v>45468</v>
      </c>
      <c r="E562" s="21" t="s">
        <v>44</v>
      </c>
      <c r="F562" s="19" t="s">
        <v>45</v>
      </c>
      <c r="G562" s="19" t="s">
        <v>192</v>
      </c>
      <c r="H562" s="19">
        <v>0.84</v>
      </c>
      <c r="I562" s="38">
        <v>120</v>
      </c>
      <c r="J562" s="39"/>
      <c r="K562" s="40"/>
      <c r="L562" s="19"/>
      <c r="M562" s="40"/>
      <c r="N562" s="41"/>
      <c r="O562" s="42">
        <f t="shared" si="344"/>
        <v>120</v>
      </c>
      <c r="P562" s="43">
        <f>SUM(O562:O577)</f>
        <v>8696.82506244</v>
      </c>
      <c r="Q562" s="43" t="s">
        <v>40</v>
      </c>
      <c r="R562" s="68">
        <f>SUM(5000/64)*H562</f>
        <v>65.625</v>
      </c>
      <c r="S562" s="68"/>
      <c r="T562" s="69">
        <f>SUM(114.54/64)*H562</f>
        <v>1.5033375</v>
      </c>
      <c r="U562" s="68"/>
      <c r="V562" s="68"/>
      <c r="W562" s="68">
        <f t="shared" ref="W562:W579" si="347">SUM(R562:V562)</f>
        <v>67.1283375</v>
      </c>
      <c r="X562" s="70">
        <f>SUM(111.52/64)*H562</f>
        <v>1.4637</v>
      </c>
      <c r="Y562" s="70"/>
      <c r="Z562" s="70"/>
      <c r="AA562" s="70">
        <f t="shared" si="345"/>
        <v>1.4637</v>
      </c>
      <c r="AB562" s="80">
        <v>7.24</v>
      </c>
      <c r="AC562" s="68">
        <f t="shared" si="342"/>
        <v>10.597188</v>
      </c>
      <c r="AD562" s="68">
        <f t="shared" si="343"/>
        <v>77.7255255</v>
      </c>
      <c r="AE562" s="68">
        <f t="shared" si="346"/>
        <v>42.2744745</v>
      </c>
    </row>
    <row r="563" customFormat="1" spans="1:31">
      <c r="A563" s="18"/>
      <c r="B563" s="19"/>
      <c r="C563" s="20">
        <v>240620000003</v>
      </c>
      <c r="D563" s="21">
        <v>45468</v>
      </c>
      <c r="E563" s="21" t="s">
        <v>41</v>
      </c>
      <c r="F563" s="19" t="s">
        <v>42</v>
      </c>
      <c r="G563" s="19" t="s">
        <v>135</v>
      </c>
      <c r="H563" s="19">
        <v>2</v>
      </c>
      <c r="I563" s="38">
        <v>390</v>
      </c>
      <c r="J563" s="39"/>
      <c r="K563" s="40"/>
      <c r="L563" s="19"/>
      <c r="M563" s="40"/>
      <c r="N563" s="41"/>
      <c r="O563" s="42">
        <f t="shared" si="344"/>
        <v>390</v>
      </c>
      <c r="P563" s="44"/>
      <c r="Q563" s="44"/>
      <c r="R563" s="68">
        <f t="shared" ref="R563:R577" si="348">SUM(5000/64)*H563</f>
        <v>156.25</v>
      </c>
      <c r="S563" s="68"/>
      <c r="T563" s="69">
        <f t="shared" ref="T563:T577" si="349">SUM(114.54/64)*H563</f>
        <v>3.579375</v>
      </c>
      <c r="U563" s="68"/>
      <c r="V563" s="68"/>
      <c r="W563" s="68">
        <f t="shared" si="347"/>
        <v>159.829375</v>
      </c>
      <c r="X563" s="70">
        <f t="shared" ref="X563:X577" si="350">SUM(111.52/64)*H563</f>
        <v>3.485</v>
      </c>
      <c r="Y563" s="70"/>
      <c r="Z563" s="70"/>
      <c r="AA563" s="70">
        <f t="shared" si="345"/>
        <v>3.485</v>
      </c>
      <c r="AB563" s="80">
        <v>7.24</v>
      </c>
      <c r="AC563" s="68">
        <f t="shared" si="342"/>
        <v>25.2314</v>
      </c>
      <c r="AD563" s="68">
        <f t="shared" si="343"/>
        <v>185.060775</v>
      </c>
      <c r="AE563" s="68">
        <f t="shared" si="346"/>
        <v>204.939225</v>
      </c>
    </row>
    <row r="564" customFormat="1" spans="1:31">
      <c r="A564" s="18"/>
      <c r="B564" s="19"/>
      <c r="C564" s="20">
        <v>240620000014</v>
      </c>
      <c r="D564" s="21">
        <v>45468</v>
      </c>
      <c r="E564" s="21" t="s">
        <v>48</v>
      </c>
      <c r="F564" s="19" t="s">
        <v>49</v>
      </c>
      <c r="G564" s="19" t="s">
        <v>60</v>
      </c>
      <c r="H564" s="19">
        <v>2.5</v>
      </c>
      <c r="I564" s="45"/>
      <c r="J564" s="46">
        <v>60375</v>
      </c>
      <c r="K564" s="40"/>
      <c r="L564" s="47">
        <f t="shared" ref="L564:L567" si="351">SUM(J564/M564)</f>
        <v>1520.78085642317</v>
      </c>
      <c r="M564" s="48">
        <v>39.7</v>
      </c>
      <c r="N564" s="41">
        <v>7.24</v>
      </c>
      <c r="O564" s="42">
        <f t="shared" ref="O564:O567" si="352">SUM(M564*N564)</f>
        <v>287.428</v>
      </c>
      <c r="P564" s="44"/>
      <c r="Q564" s="44"/>
      <c r="R564" s="68">
        <f t="shared" si="348"/>
        <v>195.3125</v>
      </c>
      <c r="S564" s="68"/>
      <c r="T564" s="69">
        <f t="shared" si="349"/>
        <v>4.47421875</v>
      </c>
      <c r="U564" s="68"/>
      <c r="V564" s="68"/>
      <c r="W564" s="68">
        <f t="shared" si="347"/>
        <v>199.78671875</v>
      </c>
      <c r="X564" s="70">
        <f t="shared" si="350"/>
        <v>4.35625</v>
      </c>
      <c r="Y564" s="70"/>
      <c r="Z564" s="70"/>
      <c r="AA564" s="70">
        <f t="shared" si="345"/>
        <v>4.35625</v>
      </c>
      <c r="AB564" s="80">
        <v>7.24</v>
      </c>
      <c r="AC564" s="68">
        <f t="shared" si="342"/>
        <v>31.53925</v>
      </c>
      <c r="AD564" s="68">
        <f t="shared" si="343"/>
        <v>231.32596875</v>
      </c>
      <c r="AE564" s="68">
        <f t="shared" si="346"/>
        <v>56.10203125</v>
      </c>
    </row>
    <row r="565" customFormat="1" spans="1:31">
      <c r="A565" s="18"/>
      <c r="B565" s="19"/>
      <c r="C565" s="20">
        <v>240620000016</v>
      </c>
      <c r="D565" s="21">
        <v>45468</v>
      </c>
      <c r="E565" s="21" t="s">
        <v>51</v>
      </c>
      <c r="F565" s="19" t="s">
        <v>52</v>
      </c>
      <c r="G565" s="19" t="s">
        <v>54</v>
      </c>
      <c r="H565" s="19">
        <v>0.73</v>
      </c>
      <c r="I565" s="38">
        <v>115</v>
      </c>
      <c r="J565" s="39"/>
      <c r="K565" s="40"/>
      <c r="L565" s="19"/>
      <c r="M565" s="40"/>
      <c r="N565" s="41"/>
      <c r="O565" s="42">
        <f t="shared" ref="O565:O570" si="353">SUM(I565)</f>
        <v>115</v>
      </c>
      <c r="P565" s="44"/>
      <c r="Q565" s="44"/>
      <c r="R565" s="68">
        <f t="shared" si="348"/>
        <v>57.03125</v>
      </c>
      <c r="S565" s="68"/>
      <c r="T565" s="69">
        <f t="shared" si="349"/>
        <v>1.306471875</v>
      </c>
      <c r="U565" s="68"/>
      <c r="V565" s="68"/>
      <c r="W565" s="68">
        <f t="shared" si="347"/>
        <v>58.337721875</v>
      </c>
      <c r="X565" s="70">
        <f t="shared" si="350"/>
        <v>1.272025</v>
      </c>
      <c r="Y565" s="70"/>
      <c r="Z565" s="70"/>
      <c r="AA565" s="70">
        <f t="shared" si="345"/>
        <v>1.272025</v>
      </c>
      <c r="AB565" s="80">
        <v>7.24</v>
      </c>
      <c r="AC565" s="68">
        <f t="shared" si="342"/>
        <v>9.209461</v>
      </c>
      <c r="AD565" s="68">
        <f t="shared" si="343"/>
        <v>67.547182875</v>
      </c>
      <c r="AE565" s="68">
        <f t="shared" si="346"/>
        <v>47.452817125</v>
      </c>
    </row>
    <row r="566" customFormat="1" spans="1:31">
      <c r="A566" s="18"/>
      <c r="B566" s="19"/>
      <c r="C566" s="20">
        <v>240620000024</v>
      </c>
      <c r="D566" s="21">
        <v>45468</v>
      </c>
      <c r="E566" s="21" t="s">
        <v>51</v>
      </c>
      <c r="F566" s="19" t="s">
        <v>315</v>
      </c>
      <c r="G566" s="19" t="s">
        <v>316</v>
      </c>
      <c r="H566" s="19">
        <v>0.84</v>
      </c>
      <c r="I566" s="42"/>
      <c r="J566" s="46">
        <v>30315.78</v>
      </c>
      <c r="K566" s="40"/>
      <c r="L566" s="47">
        <f t="shared" si="351"/>
        <v>1505.99992518629</v>
      </c>
      <c r="M566" s="48">
        <v>20.130001</v>
      </c>
      <c r="N566" s="41">
        <v>7.24</v>
      </c>
      <c r="O566" s="42">
        <f t="shared" si="352"/>
        <v>145.74120724</v>
      </c>
      <c r="P566" s="44"/>
      <c r="Q566" s="44"/>
      <c r="R566" s="68">
        <f t="shared" si="348"/>
        <v>65.625</v>
      </c>
      <c r="S566" s="68"/>
      <c r="T566" s="69">
        <f t="shared" si="349"/>
        <v>1.5033375</v>
      </c>
      <c r="U566" s="68"/>
      <c r="V566" s="68"/>
      <c r="W566" s="68">
        <f t="shared" si="347"/>
        <v>67.1283375</v>
      </c>
      <c r="X566" s="70">
        <f t="shared" si="350"/>
        <v>1.4637</v>
      </c>
      <c r="Y566" s="70"/>
      <c r="Z566" s="70"/>
      <c r="AA566" s="70">
        <f t="shared" si="345"/>
        <v>1.4637</v>
      </c>
      <c r="AB566" s="80">
        <v>7.24</v>
      </c>
      <c r="AC566" s="68">
        <f t="shared" si="342"/>
        <v>10.597188</v>
      </c>
      <c r="AD566" s="68">
        <f t="shared" si="343"/>
        <v>77.7255255</v>
      </c>
      <c r="AE566" s="68">
        <f t="shared" si="346"/>
        <v>68.01568174</v>
      </c>
    </row>
    <row r="567" customFormat="1" spans="1:31">
      <c r="A567" s="18"/>
      <c r="B567" s="19"/>
      <c r="C567" s="20">
        <v>240620000025</v>
      </c>
      <c r="D567" s="21">
        <v>45468</v>
      </c>
      <c r="E567" s="21" t="s">
        <v>51</v>
      </c>
      <c r="F567" s="19" t="s">
        <v>315</v>
      </c>
      <c r="G567" s="19" t="s">
        <v>316</v>
      </c>
      <c r="H567" s="19">
        <v>1.5</v>
      </c>
      <c r="I567" s="42"/>
      <c r="J567" s="46">
        <v>36083.75</v>
      </c>
      <c r="K567" s="40"/>
      <c r="L567" s="47">
        <f t="shared" si="351"/>
        <v>1505.99958263773</v>
      </c>
      <c r="M567" s="48">
        <v>23.96</v>
      </c>
      <c r="N567" s="41">
        <v>7.24</v>
      </c>
      <c r="O567" s="42">
        <f t="shared" si="352"/>
        <v>173.4704</v>
      </c>
      <c r="P567" s="44"/>
      <c r="Q567" s="44"/>
      <c r="R567" s="68">
        <f t="shared" si="348"/>
        <v>117.1875</v>
      </c>
      <c r="S567" s="68"/>
      <c r="T567" s="69">
        <f t="shared" si="349"/>
        <v>2.68453125</v>
      </c>
      <c r="U567" s="68"/>
      <c r="V567" s="68"/>
      <c r="W567" s="68">
        <f t="shared" si="347"/>
        <v>119.87203125</v>
      </c>
      <c r="X567" s="70">
        <f t="shared" si="350"/>
        <v>2.61375</v>
      </c>
      <c r="Y567" s="70"/>
      <c r="Z567" s="70"/>
      <c r="AA567" s="70">
        <f t="shared" si="345"/>
        <v>2.61375</v>
      </c>
      <c r="AB567" s="80">
        <v>7.24</v>
      </c>
      <c r="AC567" s="68">
        <f t="shared" si="342"/>
        <v>18.92355</v>
      </c>
      <c r="AD567" s="68">
        <f t="shared" si="343"/>
        <v>138.79558125</v>
      </c>
      <c r="AE567" s="68">
        <f t="shared" si="346"/>
        <v>34.67481875</v>
      </c>
    </row>
    <row r="568" customFormat="1" spans="1:31">
      <c r="A568" s="18"/>
      <c r="B568" s="19"/>
      <c r="C568" s="20">
        <v>240620000029</v>
      </c>
      <c r="D568" s="21">
        <v>45468</v>
      </c>
      <c r="E568" s="21" t="s">
        <v>37</v>
      </c>
      <c r="F568" s="19" t="s">
        <v>38</v>
      </c>
      <c r="G568" s="19" t="s">
        <v>39</v>
      </c>
      <c r="H568" s="19">
        <v>5.5</v>
      </c>
      <c r="I568" s="38">
        <v>660</v>
      </c>
      <c r="J568" s="39"/>
      <c r="K568" s="40"/>
      <c r="L568" s="19"/>
      <c r="M568" s="40"/>
      <c r="N568" s="41"/>
      <c r="O568" s="42">
        <f t="shared" si="353"/>
        <v>660</v>
      </c>
      <c r="P568" s="44"/>
      <c r="Q568" s="44"/>
      <c r="R568" s="68">
        <f t="shared" si="348"/>
        <v>429.6875</v>
      </c>
      <c r="S568" s="68"/>
      <c r="T568" s="69">
        <f t="shared" si="349"/>
        <v>9.84328125</v>
      </c>
      <c r="U568" s="68"/>
      <c r="V568" s="68"/>
      <c r="W568" s="68">
        <f t="shared" si="347"/>
        <v>439.53078125</v>
      </c>
      <c r="X568" s="70">
        <f t="shared" si="350"/>
        <v>9.58375</v>
      </c>
      <c r="Y568" s="70"/>
      <c r="Z568" s="70"/>
      <c r="AA568" s="70">
        <f t="shared" si="345"/>
        <v>9.58375</v>
      </c>
      <c r="AB568" s="80">
        <v>7.24</v>
      </c>
      <c r="AC568" s="68">
        <f t="shared" si="342"/>
        <v>69.38635</v>
      </c>
      <c r="AD568" s="68">
        <f t="shared" si="343"/>
        <v>508.91713125</v>
      </c>
      <c r="AE568" s="68">
        <f t="shared" si="346"/>
        <v>151.08286875</v>
      </c>
    </row>
    <row r="569" customFormat="1" spans="1:31">
      <c r="A569" s="18"/>
      <c r="B569" s="19"/>
      <c r="C569" s="20">
        <v>240621000013</v>
      </c>
      <c r="D569" s="21">
        <v>45468</v>
      </c>
      <c r="E569" s="21" t="s">
        <v>48</v>
      </c>
      <c r="F569" s="19" t="s">
        <v>49</v>
      </c>
      <c r="G569" s="19" t="s">
        <v>63</v>
      </c>
      <c r="H569" s="19">
        <v>5.5</v>
      </c>
      <c r="I569" s="38">
        <v>660</v>
      </c>
      <c r="J569" s="39"/>
      <c r="K569" s="40"/>
      <c r="L569" s="19"/>
      <c r="M569" s="40"/>
      <c r="N569" s="41"/>
      <c r="O569" s="42">
        <f t="shared" si="353"/>
        <v>660</v>
      </c>
      <c r="P569" s="44"/>
      <c r="Q569" s="44"/>
      <c r="R569" s="68">
        <f t="shared" si="348"/>
        <v>429.6875</v>
      </c>
      <c r="S569" s="68"/>
      <c r="T569" s="69">
        <f t="shared" si="349"/>
        <v>9.84328125</v>
      </c>
      <c r="U569" s="68"/>
      <c r="V569" s="68"/>
      <c r="W569" s="68">
        <f t="shared" si="347"/>
        <v>439.53078125</v>
      </c>
      <c r="X569" s="70">
        <f t="shared" si="350"/>
        <v>9.58375</v>
      </c>
      <c r="Y569" s="70"/>
      <c r="Z569" s="70"/>
      <c r="AA569" s="70">
        <f t="shared" si="345"/>
        <v>9.58375</v>
      </c>
      <c r="AB569" s="80">
        <v>7.24</v>
      </c>
      <c r="AC569" s="68">
        <f t="shared" si="342"/>
        <v>69.38635</v>
      </c>
      <c r="AD569" s="68">
        <f t="shared" si="343"/>
        <v>508.91713125</v>
      </c>
      <c r="AE569" s="68">
        <f t="shared" si="346"/>
        <v>151.08286875</v>
      </c>
    </row>
    <row r="570" customFormat="1" spans="1:31">
      <c r="A570" s="18"/>
      <c r="B570" s="19"/>
      <c r="C570" s="20">
        <v>240621000019</v>
      </c>
      <c r="D570" s="21">
        <v>45468</v>
      </c>
      <c r="E570" s="21" t="s">
        <v>85</v>
      </c>
      <c r="F570" s="19" t="s">
        <v>86</v>
      </c>
      <c r="G570" s="19" t="s">
        <v>328</v>
      </c>
      <c r="H570" s="19">
        <v>3.5</v>
      </c>
      <c r="I570" s="38">
        <v>420</v>
      </c>
      <c r="J570" s="39"/>
      <c r="K570" s="40"/>
      <c r="L570" s="19"/>
      <c r="M570" s="40"/>
      <c r="N570" s="41"/>
      <c r="O570" s="42">
        <f t="shared" si="353"/>
        <v>420</v>
      </c>
      <c r="P570" s="44"/>
      <c r="Q570" s="44"/>
      <c r="R570" s="68">
        <f t="shared" si="348"/>
        <v>273.4375</v>
      </c>
      <c r="S570" s="68"/>
      <c r="T570" s="69">
        <f t="shared" si="349"/>
        <v>6.26390625</v>
      </c>
      <c r="U570" s="68"/>
      <c r="V570" s="68"/>
      <c r="W570" s="68">
        <f t="shared" si="347"/>
        <v>279.70140625</v>
      </c>
      <c r="X570" s="70">
        <f t="shared" si="350"/>
        <v>6.09875</v>
      </c>
      <c r="Y570" s="70"/>
      <c r="Z570" s="70"/>
      <c r="AA570" s="70">
        <f t="shared" si="345"/>
        <v>6.09875</v>
      </c>
      <c r="AB570" s="80">
        <v>7.24</v>
      </c>
      <c r="AC570" s="68">
        <f t="shared" si="342"/>
        <v>44.15495</v>
      </c>
      <c r="AD570" s="68">
        <f t="shared" si="343"/>
        <v>323.85635625</v>
      </c>
      <c r="AE570" s="68">
        <f t="shared" si="346"/>
        <v>96.14364375</v>
      </c>
    </row>
    <row r="571" customFormat="1" spans="1:31">
      <c r="A571" s="18"/>
      <c r="B571" s="19"/>
      <c r="C571" s="20">
        <v>240621000027</v>
      </c>
      <c r="D571" s="21">
        <v>45468</v>
      </c>
      <c r="E571" s="21" t="s">
        <v>66</v>
      </c>
      <c r="F571" s="19" t="s">
        <v>100</v>
      </c>
      <c r="G571" s="19" t="s">
        <v>101</v>
      </c>
      <c r="H571" s="19">
        <v>0.62</v>
      </c>
      <c r="I571" s="42"/>
      <c r="J571" s="46">
        <v>24051</v>
      </c>
      <c r="K571" s="40"/>
      <c r="L571" s="47">
        <f>SUM(J571/M571)</f>
        <v>1506.01127113337</v>
      </c>
      <c r="M571" s="48">
        <v>15.97</v>
      </c>
      <c r="N571" s="41">
        <v>7.24</v>
      </c>
      <c r="O571" s="42">
        <f t="shared" ref="O571:O575" si="354">SUM(M571*N571)</f>
        <v>115.6228</v>
      </c>
      <c r="P571" s="44"/>
      <c r="Q571" s="44"/>
      <c r="R571" s="68">
        <f t="shared" si="348"/>
        <v>48.4375</v>
      </c>
      <c r="S571" s="68"/>
      <c r="T571" s="69">
        <f t="shared" si="349"/>
        <v>1.10960625</v>
      </c>
      <c r="U571" s="68"/>
      <c r="V571" s="68"/>
      <c r="W571" s="68">
        <f t="shared" si="347"/>
        <v>49.54710625</v>
      </c>
      <c r="X571" s="70">
        <f t="shared" si="350"/>
        <v>1.08035</v>
      </c>
      <c r="Y571" s="70"/>
      <c r="Z571" s="70"/>
      <c r="AA571" s="70">
        <f t="shared" si="345"/>
        <v>1.08035</v>
      </c>
      <c r="AB571" s="80">
        <v>7.24</v>
      </c>
      <c r="AC571" s="68">
        <f t="shared" si="342"/>
        <v>7.821734</v>
      </c>
      <c r="AD571" s="68">
        <f t="shared" si="343"/>
        <v>57.36884025</v>
      </c>
      <c r="AE571" s="68">
        <f t="shared" si="346"/>
        <v>58.25395975</v>
      </c>
    </row>
    <row r="572" customFormat="1" spans="1:31">
      <c r="A572" s="18"/>
      <c r="B572" s="19"/>
      <c r="C572" s="20">
        <v>240621000029</v>
      </c>
      <c r="D572" s="21">
        <v>45468</v>
      </c>
      <c r="E572" s="21" t="s">
        <v>41</v>
      </c>
      <c r="F572" s="19" t="s">
        <v>42</v>
      </c>
      <c r="G572" s="19" t="s">
        <v>298</v>
      </c>
      <c r="H572" s="19">
        <v>2.5</v>
      </c>
      <c r="I572" s="38">
        <v>300</v>
      </c>
      <c r="J572" s="39"/>
      <c r="K572" s="40"/>
      <c r="L572" s="19"/>
      <c r="M572" s="40"/>
      <c r="N572" s="41"/>
      <c r="O572" s="42">
        <f t="shared" ref="O572:O593" si="355">SUM(I572)</f>
        <v>300</v>
      </c>
      <c r="P572" s="44"/>
      <c r="Q572" s="44"/>
      <c r="R572" s="68">
        <f t="shared" si="348"/>
        <v>195.3125</v>
      </c>
      <c r="S572" s="68"/>
      <c r="T572" s="69">
        <f t="shared" si="349"/>
        <v>4.47421875</v>
      </c>
      <c r="U572" s="68"/>
      <c r="V572" s="68"/>
      <c r="W572" s="68">
        <f t="shared" si="347"/>
        <v>199.78671875</v>
      </c>
      <c r="X572" s="70">
        <f t="shared" si="350"/>
        <v>4.35625</v>
      </c>
      <c r="Y572" s="70"/>
      <c r="Z572" s="70"/>
      <c r="AA572" s="70">
        <f t="shared" si="345"/>
        <v>4.35625</v>
      </c>
      <c r="AB572" s="80">
        <v>7.24</v>
      </c>
      <c r="AC572" s="68">
        <f t="shared" si="342"/>
        <v>31.53925</v>
      </c>
      <c r="AD572" s="68">
        <f t="shared" si="343"/>
        <v>231.32596875</v>
      </c>
      <c r="AE572" s="68">
        <f t="shared" si="346"/>
        <v>68.67403125</v>
      </c>
    </row>
    <row r="573" customFormat="1" spans="1:31">
      <c r="A573" s="18"/>
      <c r="B573" s="19"/>
      <c r="C573" s="20">
        <v>240621000032</v>
      </c>
      <c r="D573" s="21">
        <v>45468</v>
      </c>
      <c r="E573" s="21" t="s">
        <v>41</v>
      </c>
      <c r="F573" s="19" t="s">
        <v>42</v>
      </c>
      <c r="G573" s="19" t="s">
        <v>438</v>
      </c>
      <c r="H573" s="19">
        <v>6.5</v>
      </c>
      <c r="I573" s="42"/>
      <c r="J573" s="46">
        <v>158581.8</v>
      </c>
      <c r="K573" s="40"/>
      <c r="L573" s="47">
        <f>SUM(J573/M573)</f>
        <v>1506</v>
      </c>
      <c r="M573" s="48">
        <v>105.3</v>
      </c>
      <c r="N573" s="41">
        <v>7.24</v>
      </c>
      <c r="O573" s="42">
        <f t="shared" si="354"/>
        <v>762.372</v>
      </c>
      <c r="P573" s="44"/>
      <c r="Q573" s="44"/>
      <c r="R573" s="68">
        <f t="shared" si="348"/>
        <v>507.8125</v>
      </c>
      <c r="S573" s="68"/>
      <c r="T573" s="69">
        <f t="shared" si="349"/>
        <v>11.63296875</v>
      </c>
      <c r="U573" s="68"/>
      <c r="V573" s="68"/>
      <c r="W573" s="68">
        <f t="shared" si="347"/>
        <v>519.44546875</v>
      </c>
      <c r="X573" s="70">
        <f t="shared" si="350"/>
        <v>11.32625</v>
      </c>
      <c r="Y573" s="70"/>
      <c r="Z573" s="70"/>
      <c r="AA573" s="70">
        <f t="shared" si="345"/>
        <v>11.32625</v>
      </c>
      <c r="AB573" s="80">
        <v>7.24</v>
      </c>
      <c r="AC573" s="68">
        <f t="shared" si="342"/>
        <v>82.00205</v>
      </c>
      <c r="AD573" s="68">
        <f t="shared" si="343"/>
        <v>601.44751875</v>
      </c>
      <c r="AE573" s="68">
        <f t="shared" si="346"/>
        <v>160.92448125</v>
      </c>
    </row>
    <row r="574" customFormat="1" spans="1:31">
      <c r="A574" s="18"/>
      <c r="B574" s="19"/>
      <c r="C574" s="20">
        <v>240623000002</v>
      </c>
      <c r="D574" s="21">
        <v>45468</v>
      </c>
      <c r="E574" s="21" t="s">
        <v>136</v>
      </c>
      <c r="F574" s="19" t="s">
        <v>137</v>
      </c>
      <c r="G574" s="19" t="s">
        <v>439</v>
      </c>
      <c r="H574" s="19">
        <v>4</v>
      </c>
      <c r="I574" s="38">
        <v>460</v>
      </c>
      <c r="J574" s="39"/>
      <c r="K574" s="40"/>
      <c r="L574" s="19"/>
      <c r="M574" s="40"/>
      <c r="N574" s="41"/>
      <c r="O574" s="42">
        <f t="shared" si="355"/>
        <v>460</v>
      </c>
      <c r="P574" s="44"/>
      <c r="Q574" s="44"/>
      <c r="R574" s="68">
        <f t="shared" si="348"/>
        <v>312.5</v>
      </c>
      <c r="S574" s="68"/>
      <c r="T574" s="69">
        <f t="shared" si="349"/>
        <v>7.15875</v>
      </c>
      <c r="U574" s="68"/>
      <c r="V574" s="68"/>
      <c r="W574" s="68">
        <f t="shared" si="347"/>
        <v>319.65875</v>
      </c>
      <c r="X574" s="70">
        <f t="shared" si="350"/>
        <v>6.97</v>
      </c>
      <c r="Y574" s="70"/>
      <c r="Z574" s="70"/>
      <c r="AA574" s="70">
        <f t="shared" si="345"/>
        <v>6.97</v>
      </c>
      <c r="AB574" s="80">
        <v>7.24</v>
      </c>
      <c r="AC574" s="68">
        <f t="shared" si="342"/>
        <v>50.4628</v>
      </c>
      <c r="AD574" s="68">
        <f t="shared" si="343"/>
        <v>370.12155</v>
      </c>
      <c r="AE574" s="68">
        <f t="shared" si="346"/>
        <v>89.87845</v>
      </c>
    </row>
    <row r="575" customFormat="1" spans="1:31">
      <c r="A575" s="18"/>
      <c r="B575" s="19"/>
      <c r="C575" s="20">
        <v>240623000003</v>
      </c>
      <c r="D575" s="21">
        <v>45468</v>
      </c>
      <c r="E575" s="21" t="s">
        <v>37</v>
      </c>
      <c r="F575" s="19" t="s">
        <v>83</v>
      </c>
      <c r="G575" s="19" t="s">
        <v>440</v>
      </c>
      <c r="H575" s="19">
        <v>29.5</v>
      </c>
      <c r="I575" s="42"/>
      <c r="J575" s="39"/>
      <c r="K575" s="40"/>
      <c r="L575" s="19"/>
      <c r="M575" s="40">
        <v>491.66998</v>
      </c>
      <c r="N575" s="41">
        <v>7.24</v>
      </c>
      <c r="O575" s="42">
        <f t="shared" si="354"/>
        <v>3559.6906552</v>
      </c>
      <c r="P575" s="44"/>
      <c r="Q575" s="44"/>
      <c r="R575" s="68">
        <f t="shared" si="348"/>
        <v>2304.6875</v>
      </c>
      <c r="S575" s="68"/>
      <c r="T575" s="69">
        <f t="shared" si="349"/>
        <v>52.79578125</v>
      </c>
      <c r="U575" s="68"/>
      <c r="V575" s="68"/>
      <c r="W575" s="68">
        <f t="shared" si="347"/>
        <v>2357.48328125</v>
      </c>
      <c r="X575" s="70">
        <f t="shared" si="350"/>
        <v>51.40375</v>
      </c>
      <c r="Y575" s="70"/>
      <c r="Z575" s="70"/>
      <c r="AA575" s="70">
        <f t="shared" si="345"/>
        <v>51.40375</v>
      </c>
      <c r="AB575" s="80">
        <v>7.24</v>
      </c>
      <c r="AC575" s="68">
        <f t="shared" si="342"/>
        <v>372.16315</v>
      </c>
      <c r="AD575" s="68">
        <f t="shared" si="343"/>
        <v>2729.64643125</v>
      </c>
      <c r="AE575" s="68">
        <f t="shared" si="346"/>
        <v>830.04422395</v>
      </c>
    </row>
    <row r="576" customFormat="1" spans="1:31">
      <c r="A576" s="18"/>
      <c r="B576" s="19"/>
      <c r="C576" s="20">
        <v>240623000005</v>
      </c>
      <c r="D576" s="21">
        <v>45468</v>
      </c>
      <c r="E576" s="21" t="s">
        <v>37</v>
      </c>
      <c r="F576" s="19" t="s">
        <v>37</v>
      </c>
      <c r="G576" s="19" t="s">
        <v>228</v>
      </c>
      <c r="H576" s="19">
        <v>2.5</v>
      </c>
      <c r="I576" s="38">
        <v>287.5</v>
      </c>
      <c r="J576" s="39"/>
      <c r="K576" s="40"/>
      <c r="L576" s="19"/>
      <c r="M576" s="40"/>
      <c r="N576" s="41"/>
      <c r="O576" s="42">
        <f t="shared" si="355"/>
        <v>287.5</v>
      </c>
      <c r="P576" s="44"/>
      <c r="Q576" s="44"/>
      <c r="R576" s="68">
        <f t="shared" si="348"/>
        <v>195.3125</v>
      </c>
      <c r="S576" s="68"/>
      <c r="T576" s="69">
        <f t="shared" si="349"/>
        <v>4.47421875</v>
      </c>
      <c r="U576" s="68"/>
      <c r="V576" s="68"/>
      <c r="W576" s="68">
        <f t="shared" si="347"/>
        <v>199.78671875</v>
      </c>
      <c r="X576" s="70">
        <f t="shared" si="350"/>
        <v>4.35625</v>
      </c>
      <c r="Y576" s="70"/>
      <c r="Z576" s="70"/>
      <c r="AA576" s="70">
        <f t="shared" si="345"/>
        <v>4.35625</v>
      </c>
      <c r="AB576" s="80">
        <v>7.24</v>
      </c>
      <c r="AC576" s="68">
        <f t="shared" si="342"/>
        <v>31.53925</v>
      </c>
      <c r="AD576" s="68">
        <f t="shared" si="343"/>
        <v>231.32596875</v>
      </c>
      <c r="AE576" s="68">
        <f t="shared" si="346"/>
        <v>56.17403125</v>
      </c>
    </row>
    <row r="577" customFormat="1" spans="1:31">
      <c r="A577" s="18"/>
      <c r="B577" s="19"/>
      <c r="C577" s="20">
        <v>240624000009</v>
      </c>
      <c r="D577" s="21">
        <v>45468</v>
      </c>
      <c r="E577" s="21" t="s">
        <v>44</v>
      </c>
      <c r="F577" s="19" t="s">
        <v>45</v>
      </c>
      <c r="G577" s="19" t="s">
        <v>306</v>
      </c>
      <c r="H577" s="19">
        <v>2</v>
      </c>
      <c r="I577" s="38">
        <v>240</v>
      </c>
      <c r="J577" s="39"/>
      <c r="K577" s="40"/>
      <c r="L577" s="19"/>
      <c r="M577" s="40"/>
      <c r="N577" s="96"/>
      <c r="O577" s="42">
        <f t="shared" si="355"/>
        <v>240</v>
      </c>
      <c r="P577" s="49"/>
      <c r="Q577" s="49"/>
      <c r="R577" s="68">
        <f t="shared" si="348"/>
        <v>156.25</v>
      </c>
      <c r="S577" s="68"/>
      <c r="T577" s="69">
        <f t="shared" si="349"/>
        <v>3.579375</v>
      </c>
      <c r="U577" s="68"/>
      <c r="V577" s="68"/>
      <c r="W577" s="68">
        <f t="shared" si="347"/>
        <v>159.829375</v>
      </c>
      <c r="X577" s="70">
        <f t="shared" si="350"/>
        <v>3.485</v>
      </c>
      <c r="Y577" s="70"/>
      <c r="Z577" s="70"/>
      <c r="AA577" s="70">
        <f t="shared" si="345"/>
        <v>3.485</v>
      </c>
      <c r="AB577" s="80">
        <v>7.24</v>
      </c>
      <c r="AC577" s="68">
        <f t="shared" si="342"/>
        <v>25.2314</v>
      </c>
      <c r="AD577" s="68">
        <f t="shared" si="343"/>
        <v>185.060775</v>
      </c>
      <c r="AE577" s="68">
        <f t="shared" ref="AE577:AE589" si="356">SUM(O577-AD577)</f>
        <v>54.939225</v>
      </c>
    </row>
    <row r="578" customFormat="1" spans="1:31">
      <c r="A578" s="18" t="s">
        <v>441</v>
      </c>
      <c r="B578" s="19" t="s">
        <v>442</v>
      </c>
      <c r="C578" s="20">
        <v>240625000032</v>
      </c>
      <c r="D578" s="21">
        <v>45468</v>
      </c>
      <c r="E578" s="21" t="s">
        <v>37</v>
      </c>
      <c r="F578" s="19" t="s">
        <v>37</v>
      </c>
      <c r="G578" s="19" t="s">
        <v>378</v>
      </c>
      <c r="H578" s="19">
        <v>499</v>
      </c>
      <c r="I578" s="45">
        <v>27453</v>
      </c>
      <c r="J578" s="39"/>
      <c r="K578" s="40"/>
      <c r="L578" s="19"/>
      <c r="M578" s="40"/>
      <c r="N578" s="41"/>
      <c r="O578" s="42">
        <f t="shared" si="355"/>
        <v>27453</v>
      </c>
      <c r="P578" s="90">
        <f>SUM(O578)</f>
        <v>27453</v>
      </c>
      <c r="Q578" s="90"/>
      <c r="R578" s="90"/>
      <c r="S578" s="90"/>
      <c r="T578" s="90"/>
      <c r="U578" s="90"/>
      <c r="V578" s="90"/>
      <c r="W578" s="68">
        <f t="shared" ref="W578:W589" si="357">SUM(R578:V578)</f>
        <v>0</v>
      </c>
      <c r="X578" s="93">
        <v>455.06</v>
      </c>
      <c r="Y578" s="93"/>
      <c r="Z578" s="93"/>
      <c r="AA578" s="70">
        <f t="shared" si="345"/>
        <v>455.06</v>
      </c>
      <c r="AB578" s="80">
        <v>7.24</v>
      </c>
      <c r="AC578" s="68">
        <f t="shared" ref="AC578:AC589" si="358">SUM(AA578*AB578)</f>
        <v>3294.6344</v>
      </c>
      <c r="AD578" s="68">
        <f t="shared" ref="AD578:AD589" si="359">SUM(W578+AC578)</f>
        <v>3294.6344</v>
      </c>
      <c r="AE578" s="68">
        <f t="shared" si="356"/>
        <v>24158.3656</v>
      </c>
    </row>
    <row r="579" customFormat="1" ht="15" spans="1:31">
      <c r="A579" s="18" t="s">
        <v>443</v>
      </c>
      <c r="B579" s="19" t="s">
        <v>444</v>
      </c>
      <c r="C579" s="20">
        <v>240625000014</v>
      </c>
      <c r="D579" s="21">
        <v>45469</v>
      </c>
      <c r="E579" s="21" t="s">
        <v>37</v>
      </c>
      <c r="F579" s="19" t="s">
        <v>37</v>
      </c>
      <c r="G579" s="19" t="s">
        <v>311</v>
      </c>
      <c r="H579" s="19">
        <v>32</v>
      </c>
      <c r="I579" s="38">
        <v>3700</v>
      </c>
      <c r="J579" s="42"/>
      <c r="K579" s="40"/>
      <c r="L579" s="42"/>
      <c r="M579" s="40"/>
      <c r="N579" s="88"/>
      <c r="O579" s="89">
        <f t="shared" si="355"/>
        <v>3700</v>
      </c>
      <c r="P579" s="90">
        <f>SUM(O579)</f>
        <v>3700</v>
      </c>
      <c r="Q579" s="116" t="s">
        <v>40</v>
      </c>
      <c r="R579" s="117">
        <v>2500</v>
      </c>
      <c r="S579" s="117"/>
      <c r="T579" s="118">
        <v>58.77</v>
      </c>
      <c r="U579" s="92">
        <v>20</v>
      </c>
      <c r="V579" s="92">
        <v>30</v>
      </c>
      <c r="W579" s="68">
        <f t="shared" si="357"/>
        <v>2608.77</v>
      </c>
      <c r="X579" s="93">
        <v>43.82</v>
      </c>
      <c r="Y579" s="93"/>
      <c r="Z579" s="93"/>
      <c r="AA579" s="70">
        <f t="shared" ref="AA579:AA589" si="360">SUM(X579:Z579)</f>
        <v>43.82</v>
      </c>
      <c r="AB579" s="80">
        <v>7.24</v>
      </c>
      <c r="AC579" s="68">
        <f t="shared" si="358"/>
        <v>317.2568</v>
      </c>
      <c r="AD579" s="68">
        <f t="shared" si="359"/>
        <v>2926.0268</v>
      </c>
      <c r="AE579" s="68">
        <f t="shared" si="356"/>
        <v>773.9732</v>
      </c>
    </row>
    <row r="580" customFormat="1" spans="1:31">
      <c r="A580" s="18" t="s">
        <v>445</v>
      </c>
      <c r="B580" s="19" t="s">
        <v>446</v>
      </c>
      <c r="C580" s="20">
        <v>240624000007</v>
      </c>
      <c r="D580" s="21">
        <v>45470</v>
      </c>
      <c r="E580" s="21" t="s">
        <v>44</v>
      </c>
      <c r="F580" s="19" t="s">
        <v>45</v>
      </c>
      <c r="G580" s="19" t="s">
        <v>306</v>
      </c>
      <c r="H580" s="19">
        <v>3.5</v>
      </c>
      <c r="I580" s="38">
        <v>450</v>
      </c>
      <c r="J580" s="42"/>
      <c r="K580" s="40"/>
      <c r="L580" s="42"/>
      <c r="M580" s="40"/>
      <c r="N580" s="41"/>
      <c r="O580" s="42">
        <f t="shared" si="355"/>
        <v>450</v>
      </c>
      <c r="P580" s="43">
        <f>SUM(O580:O589)</f>
        <v>5011</v>
      </c>
      <c r="Q580" s="43" t="s">
        <v>40</v>
      </c>
      <c r="R580" s="68">
        <f>SUM(2950/32)*H580</f>
        <v>322.65625</v>
      </c>
      <c r="S580" s="68"/>
      <c r="T580" s="68"/>
      <c r="U580" s="68"/>
      <c r="V580" s="119"/>
      <c r="W580" s="68">
        <f t="shared" si="357"/>
        <v>322.65625</v>
      </c>
      <c r="X580" s="70">
        <f>SUM(136.56/32)*H580</f>
        <v>14.93625</v>
      </c>
      <c r="Y580" s="70"/>
      <c r="Z580" s="70"/>
      <c r="AA580" s="70">
        <f t="shared" si="360"/>
        <v>14.93625</v>
      </c>
      <c r="AB580" s="80">
        <v>7.24</v>
      </c>
      <c r="AC580" s="68">
        <f t="shared" si="358"/>
        <v>108.13845</v>
      </c>
      <c r="AD580" s="68">
        <f t="shared" si="359"/>
        <v>430.7947</v>
      </c>
      <c r="AE580" s="68">
        <f t="shared" si="356"/>
        <v>19.2053</v>
      </c>
    </row>
    <row r="581" customFormat="1" spans="1:31">
      <c r="A581" s="18"/>
      <c r="B581" s="19"/>
      <c r="C581" s="20">
        <v>240624000014</v>
      </c>
      <c r="D581" s="21">
        <v>45470</v>
      </c>
      <c r="E581" s="21" t="s">
        <v>41</v>
      </c>
      <c r="F581" s="19" t="s">
        <v>42</v>
      </c>
      <c r="G581" s="19" t="s">
        <v>174</v>
      </c>
      <c r="H581" s="19">
        <v>0.86</v>
      </c>
      <c r="I581" s="38">
        <v>150</v>
      </c>
      <c r="J581" s="42"/>
      <c r="K581" s="40"/>
      <c r="L581" s="42"/>
      <c r="M581" s="40"/>
      <c r="N581" s="41"/>
      <c r="O581" s="42">
        <f t="shared" si="355"/>
        <v>150</v>
      </c>
      <c r="P581" s="44"/>
      <c r="Q581" s="44"/>
      <c r="R581" s="68">
        <f t="shared" ref="R581:R589" si="361">SUM(2950/32)*H581</f>
        <v>79.28125</v>
      </c>
      <c r="S581" s="68"/>
      <c r="T581" s="68"/>
      <c r="U581" s="68"/>
      <c r="V581" s="119"/>
      <c r="W581" s="68">
        <f t="shared" si="357"/>
        <v>79.28125</v>
      </c>
      <c r="X581" s="70">
        <f t="shared" ref="X581:X589" si="362">SUM(136.56/32)*H581</f>
        <v>3.67005</v>
      </c>
      <c r="Y581" s="70"/>
      <c r="Z581" s="70"/>
      <c r="AA581" s="70">
        <f t="shared" si="360"/>
        <v>3.67005</v>
      </c>
      <c r="AB581" s="80">
        <v>7.24</v>
      </c>
      <c r="AC581" s="68">
        <f t="shared" si="358"/>
        <v>26.571162</v>
      </c>
      <c r="AD581" s="68">
        <f t="shared" si="359"/>
        <v>105.852412</v>
      </c>
      <c r="AE581" s="68">
        <f t="shared" si="356"/>
        <v>44.147588</v>
      </c>
    </row>
    <row r="582" customFormat="1" spans="1:31">
      <c r="A582" s="18"/>
      <c r="B582" s="19"/>
      <c r="C582" s="20">
        <v>240624000022</v>
      </c>
      <c r="D582" s="21">
        <v>45470</v>
      </c>
      <c r="E582" s="21" t="s">
        <v>48</v>
      </c>
      <c r="F582" s="19" t="s">
        <v>49</v>
      </c>
      <c r="G582" s="19" t="s">
        <v>91</v>
      </c>
      <c r="H582" s="19">
        <v>3</v>
      </c>
      <c r="I582" s="38">
        <v>800</v>
      </c>
      <c r="J582" s="42"/>
      <c r="K582" s="40"/>
      <c r="L582" s="42"/>
      <c r="M582" s="40"/>
      <c r="N582" s="41"/>
      <c r="O582" s="42">
        <f t="shared" si="355"/>
        <v>800</v>
      </c>
      <c r="P582" s="44"/>
      <c r="Q582" s="44"/>
      <c r="R582" s="68">
        <f t="shared" si="361"/>
        <v>276.5625</v>
      </c>
      <c r="S582" s="68"/>
      <c r="T582" s="68"/>
      <c r="U582" s="68"/>
      <c r="V582" s="119"/>
      <c r="W582" s="68">
        <f t="shared" si="357"/>
        <v>276.5625</v>
      </c>
      <c r="X582" s="70">
        <f t="shared" si="362"/>
        <v>12.8025</v>
      </c>
      <c r="Y582" s="70"/>
      <c r="Z582" s="70"/>
      <c r="AA582" s="70">
        <f t="shared" si="360"/>
        <v>12.8025</v>
      </c>
      <c r="AB582" s="80">
        <v>7.24</v>
      </c>
      <c r="AC582" s="68">
        <f t="shared" si="358"/>
        <v>92.6901</v>
      </c>
      <c r="AD582" s="68">
        <f t="shared" si="359"/>
        <v>369.2526</v>
      </c>
      <c r="AE582" s="68">
        <f t="shared" si="356"/>
        <v>430.7474</v>
      </c>
    </row>
    <row r="583" customFormat="1" spans="1:31">
      <c r="A583" s="18"/>
      <c r="B583" s="19"/>
      <c r="C583" s="20">
        <v>240624000028</v>
      </c>
      <c r="D583" s="21">
        <v>45470</v>
      </c>
      <c r="E583" s="21" t="s">
        <v>41</v>
      </c>
      <c r="F583" s="19" t="s">
        <v>42</v>
      </c>
      <c r="G583" s="19" t="s">
        <v>298</v>
      </c>
      <c r="H583" s="19">
        <v>10.5</v>
      </c>
      <c r="I583" s="38">
        <v>1500</v>
      </c>
      <c r="J583" s="42"/>
      <c r="K583" s="40"/>
      <c r="L583" s="42"/>
      <c r="M583" s="40"/>
      <c r="N583" s="41"/>
      <c r="O583" s="42">
        <f t="shared" si="355"/>
        <v>1500</v>
      </c>
      <c r="P583" s="44"/>
      <c r="Q583" s="44"/>
      <c r="R583" s="68">
        <f t="shared" si="361"/>
        <v>967.96875</v>
      </c>
      <c r="S583" s="68"/>
      <c r="T583" s="68"/>
      <c r="U583" s="68"/>
      <c r="V583" s="119"/>
      <c r="W583" s="68">
        <f t="shared" si="357"/>
        <v>967.96875</v>
      </c>
      <c r="X583" s="70">
        <f t="shared" si="362"/>
        <v>44.80875</v>
      </c>
      <c r="Y583" s="70"/>
      <c r="Z583" s="70"/>
      <c r="AA583" s="70">
        <f t="shared" si="360"/>
        <v>44.80875</v>
      </c>
      <c r="AB583" s="80">
        <v>7.24</v>
      </c>
      <c r="AC583" s="68">
        <f t="shared" si="358"/>
        <v>324.41535</v>
      </c>
      <c r="AD583" s="68">
        <f t="shared" si="359"/>
        <v>1292.3841</v>
      </c>
      <c r="AE583" s="68">
        <f t="shared" si="356"/>
        <v>207.6159</v>
      </c>
    </row>
    <row r="584" customFormat="1" spans="1:31">
      <c r="A584" s="18"/>
      <c r="B584" s="19"/>
      <c r="C584" s="20">
        <v>240624000029</v>
      </c>
      <c r="D584" s="21">
        <v>45470</v>
      </c>
      <c r="E584" s="21" t="s">
        <v>41</v>
      </c>
      <c r="F584" s="19" t="s">
        <v>42</v>
      </c>
      <c r="G584" s="19" t="s">
        <v>298</v>
      </c>
      <c r="H584" s="19">
        <v>4</v>
      </c>
      <c r="I584" s="38">
        <v>480</v>
      </c>
      <c r="J584" s="42"/>
      <c r="K584" s="40"/>
      <c r="L584" s="42"/>
      <c r="M584" s="40"/>
      <c r="N584" s="41"/>
      <c r="O584" s="42">
        <f t="shared" si="355"/>
        <v>480</v>
      </c>
      <c r="P584" s="44"/>
      <c r="Q584" s="44"/>
      <c r="R584" s="68">
        <f t="shared" si="361"/>
        <v>368.75</v>
      </c>
      <c r="S584" s="68"/>
      <c r="T584" s="68"/>
      <c r="U584" s="68"/>
      <c r="V584" s="119"/>
      <c r="W584" s="68">
        <f t="shared" si="357"/>
        <v>368.75</v>
      </c>
      <c r="X584" s="70">
        <f t="shared" si="362"/>
        <v>17.07</v>
      </c>
      <c r="Y584" s="70"/>
      <c r="Z584" s="70"/>
      <c r="AA584" s="70">
        <f t="shared" si="360"/>
        <v>17.07</v>
      </c>
      <c r="AB584" s="80">
        <v>7.24</v>
      </c>
      <c r="AC584" s="68">
        <f t="shared" si="358"/>
        <v>123.5868</v>
      </c>
      <c r="AD584" s="68">
        <f t="shared" si="359"/>
        <v>492.3368</v>
      </c>
      <c r="AE584" s="68">
        <f t="shared" si="356"/>
        <v>-12.3368</v>
      </c>
    </row>
    <row r="585" customFormat="1" spans="1:31">
      <c r="A585" s="18"/>
      <c r="B585" s="19"/>
      <c r="C585" s="20">
        <v>240624000046</v>
      </c>
      <c r="D585" s="21">
        <v>45470</v>
      </c>
      <c r="E585" s="21" t="s">
        <v>44</v>
      </c>
      <c r="F585" s="19" t="s">
        <v>45</v>
      </c>
      <c r="G585" s="19" t="s">
        <v>306</v>
      </c>
      <c r="H585" s="19">
        <v>2</v>
      </c>
      <c r="I585" s="38">
        <v>246</v>
      </c>
      <c r="J585" s="42"/>
      <c r="K585" s="40"/>
      <c r="L585" s="42"/>
      <c r="M585" s="40"/>
      <c r="N585" s="41"/>
      <c r="O585" s="42">
        <f t="shared" si="355"/>
        <v>246</v>
      </c>
      <c r="P585" s="44"/>
      <c r="Q585" s="44"/>
      <c r="R585" s="68">
        <f t="shared" si="361"/>
        <v>184.375</v>
      </c>
      <c r="S585" s="68"/>
      <c r="T585" s="68"/>
      <c r="U585" s="68"/>
      <c r="V585" s="69">
        <v>66</v>
      </c>
      <c r="W585" s="68">
        <f t="shared" si="357"/>
        <v>250.375</v>
      </c>
      <c r="X585" s="70">
        <f t="shared" si="362"/>
        <v>8.535</v>
      </c>
      <c r="Y585" s="70"/>
      <c r="Z585" s="70"/>
      <c r="AA585" s="70">
        <f t="shared" si="360"/>
        <v>8.535</v>
      </c>
      <c r="AB585" s="80">
        <v>7.24</v>
      </c>
      <c r="AC585" s="68">
        <f t="shared" si="358"/>
        <v>61.7934</v>
      </c>
      <c r="AD585" s="68">
        <f t="shared" si="359"/>
        <v>312.1684</v>
      </c>
      <c r="AE585" s="68">
        <f t="shared" si="356"/>
        <v>-66.1684</v>
      </c>
    </row>
    <row r="586" customFormat="1" spans="1:31">
      <c r="A586" s="18"/>
      <c r="B586" s="19"/>
      <c r="C586" s="20">
        <v>240624000053</v>
      </c>
      <c r="D586" s="21">
        <v>45470</v>
      </c>
      <c r="E586" s="21" t="s">
        <v>136</v>
      </c>
      <c r="F586" s="19" t="s">
        <v>137</v>
      </c>
      <c r="G586" s="19" t="s">
        <v>447</v>
      </c>
      <c r="H586" s="19">
        <v>3.5</v>
      </c>
      <c r="I586" s="38">
        <v>525</v>
      </c>
      <c r="J586" s="42"/>
      <c r="K586" s="40"/>
      <c r="L586" s="42"/>
      <c r="M586" s="40"/>
      <c r="N586" s="41"/>
      <c r="O586" s="42">
        <f t="shared" si="355"/>
        <v>525</v>
      </c>
      <c r="P586" s="44"/>
      <c r="Q586" s="44"/>
      <c r="R586" s="68">
        <f t="shared" si="361"/>
        <v>322.65625</v>
      </c>
      <c r="S586" s="68"/>
      <c r="T586" s="68"/>
      <c r="U586" s="68"/>
      <c r="V586" s="68"/>
      <c r="W586" s="68">
        <f t="shared" si="357"/>
        <v>322.65625</v>
      </c>
      <c r="X586" s="70">
        <f t="shared" si="362"/>
        <v>14.93625</v>
      </c>
      <c r="Y586" s="70"/>
      <c r="Z586" s="70"/>
      <c r="AA586" s="70">
        <f t="shared" si="360"/>
        <v>14.93625</v>
      </c>
      <c r="AB586" s="80">
        <v>7.24</v>
      </c>
      <c r="AC586" s="68">
        <f t="shared" si="358"/>
        <v>108.13845</v>
      </c>
      <c r="AD586" s="68">
        <f t="shared" si="359"/>
        <v>430.7947</v>
      </c>
      <c r="AE586" s="68">
        <f t="shared" si="356"/>
        <v>94.2053</v>
      </c>
    </row>
    <row r="587" customFormat="1" spans="1:31">
      <c r="A587" s="18"/>
      <c r="B587" s="19"/>
      <c r="C587" s="20">
        <v>240624000054</v>
      </c>
      <c r="D587" s="21">
        <v>45470</v>
      </c>
      <c r="E587" s="21" t="s">
        <v>51</v>
      </c>
      <c r="F587" s="19" t="s">
        <v>52</v>
      </c>
      <c r="G587" s="19" t="s">
        <v>54</v>
      </c>
      <c r="H587" s="19">
        <v>0.4</v>
      </c>
      <c r="I587" s="38">
        <v>115</v>
      </c>
      <c r="J587" s="42"/>
      <c r="K587" s="40"/>
      <c r="L587" s="42"/>
      <c r="M587" s="40"/>
      <c r="N587" s="41"/>
      <c r="O587" s="42">
        <f t="shared" si="355"/>
        <v>115</v>
      </c>
      <c r="P587" s="44"/>
      <c r="Q587" s="44"/>
      <c r="R587" s="68">
        <f t="shared" si="361"/>
        <v>36.875</v>
      </c>
      <c r="S587" s="68"/>
      <c r="T587" s="68"/>
      <c r="U587" s="68"/>
      <c r="V587" s="68"/>
      <c r="W587" s="68">
        <f t="shared" si="357"/>
        <v>36.875</v>
      </c>
      <c r="X587" s="70">
        <f t="shared" si="362"/>
        <v>1.707</v>
      </c>
      <c r="Y587" s="70"/>
      <c r="Z587" s="70"/>
      <c r="AA587" s="70">
        <f t="shared" si="360"/>
        <v>1.707</v>
      </c>
      <c r="AB587" s="80">
        <v>7.24</v>
      </c>
      <c r="AC587" s="68">
        <f t="shared" ref="AC587:AC618" si="363">SUM(AA587*AB587)</f>
        <v>12.35868</v>
      </c>
      <c r="AD587" s="68">
        <f t="shared" ref="AD587:AD618" si="364">SUM(W587+AC587)</f>
        <v>49.23368</v>
      </c>
      <c r="AE587" s="68">
        <f t="shared" si="356"/>
        <v>65.76632</v>
      </c>
    </row>
    <row r="588" customFormat="1" spans="1:31">
      <c r="A588" s="18"/>
      <c r="B588" s="19"/>
      <c r="C588" s="20">
        <v>240625000007</v>
      </c>
      <c r="D588" s="21">
        <v>45470</v>
      </c>
      <c r="E588" s="21" t="s">
        <v>41</v>
      </c>
      <c r="F588" s="19" t="s">
        <v>42</v>
      </c>
      <c r="G588" s="19" t="s">
        <v>448</v>
      </c>
      <c r="H588" s="19">
        <v>0.221</v>
      </c>
      <c r="I588" s="38">
        <v>145</v>
      </c>
      <c r="J588" s="42"/>
      <c r="K588" s="40"/>
      <c r="L588" s="42"/>
      <c r="M588" s="40"/>
      <c r="N588" s="41"/>
      <c r="O588" s="42">
        <f t="shared" si="355"/>
        <v>145</v>
      </c>
      <c r="P588" s="44"/>
      <c r="Q588" s="44"/>
      <c r="R588" s="68">
        <f t="shared" si="361"/>
        <v>20.3734375</v>
      </c>
      <c r="S588" s="68"/>
      <c r="T588" s="68"/>
      <c r="U588" s="68"/>
      <c r="V588" s="68"/>
      <c r="W588" s="68">
        <f t="shared" ref="W588:W619" si="365">SUM(R588:V588)</f>
        <v>20.3734375</v>
      </c>
      <c r="X588" s="70">
        <f t="shared" si="362"/>
        <v>0.9431175</v>
      </c>
      <c r="Y588" s="70"/>
      <c r="Z588" s="70"/>
      <c r="AA588" s="70">
        <f t="shared" si="360"/>
        <v>0.9431175</v>
      </c>
      <c r="AB588" s="80">
        <v>7.24</v>
      </c>
      <c r="AC588" s="68">
        <f t="shared" si="363"/>
        <v>6.8281707</v>
      </c>
      <c r="AD588" s="68">
        <f t="shared" si="364"/>
        <v>27.2016082</v>
      </c>
      <c r="AE588" s="68">
        <f t="shared" si="356"/>
        <v>117.7983918</v>
      </c>
    </row>
    <row r="589" customFormat="1" spans="1:31">
      <c r="A589" s="18"/>
      <c r="B589" s="19"/>
      <c r="C589" s="20">
        <v>240625000026</v>
      </c>
      <c r="D589" s="21">
        <v>45470</v>
      </c>
      <c r="E589" s="21" t="s">
        <v>44</v>
      </c>
      <c r="F589" s="19" t="s">
        <v>45</v>
      </c>
      <c r="G589" s="19" t="s">
        <v>405</v>
      </c>
      <c r="H589" s="19">
        <v>5</v>
      </c>
      <c r="I589" s="38">
        <v>600</v>
      </c>
      <c r="J589" s="42"/>
      <c r="K589" s="40"/>
      <c r="L589" s="42"/>
      <c r="M589" s="40"/>
      <c r="N589" s="96"/>
      <c r="O589" s="42">
        <f t="shared" si="355"/>
        <v>600</v>
      </c>
      <c r="P589" s="49"/>
      <c r="Q589" s="49"/>
      <c r="R589" s="68">
        <f t="shared" si="361"/>
        <v>460.9375</v>
      </c>
      <c r="S589" s="68"/>
      <c r="T589" s="68"/>
      <c r="U589" s="68"/>
      <c r="V589" s="68"/>
      <c r="W589" s="68">
        <f t="shared" si="365"/>
        <v>460.9375</v>
      </c>
      <c r="X589" s="70">
        <f t="shared" si="362"/>
        <v>21.3375</v>
      </c>
      <c r="Y589" s="70"/>
      <c r="Z589" s="70"/>
      <c r="AA589" s="70">
        <f t="shared" ref="AA589:AA620" si="366">SUM(X589:Z589)</f>
        <v>21.3375</v>
      </c>
      <c r="AB589" s="80">
        <v>7.24</v>
      </c>
      <c r="AC589" s="68">
        <f t="shared" si="363"/>
        <v>154.4835</v>
      </c>
      <c r="AD589" s="68">
        <f t="shared" si="364"/>
        <v>615.421</v>
      </c>
      <c r="AE589" s="68">
        <f t="shared" ref="AE589:AE620" si="367">SUM(O589-AD589)</f>
        <v>-15.421</v>
      </c>
    </row>
    <row r="590" customFormat="1" spans="1:31">
      <c r="A590" s="18" t="s">
        <v>449</v>
      </c>
      <c r="B590" s="19" t="s">
        <v>450</v>
      </c>
      <c r="C590" s="20">
        <v>240612000002</v>
      </c>
      <c r="D590" s="21">
        <v>45470</v>
      </c>
      <c r="E590" s="21" t="s">
        <v>41</v>
      </c>
      <c r="F590" s="19" t="s">
        <v>42</v>
      </c>
      <c r="G590" s="19" t="s">
        <v>247</v>
      </c>
      <c r="H590" s="19">
        <v>0.3</v>
      </c>
      <c r="I590" s="38">
        <v>63</v>
      </c>
      <c r="J590" s="39"/>
      <c r="K590" s="40"/>
      <c r="L590" s="19"/>
      <c r="M590" s="40"/>
      <c r="N590" s="41"/>
      <c r="O590" s="42">
        <f t="shared" si="355"/>
        <v>63</v>
      </c>
      <c r="P590" s="43">
        <f>SUM(O590:O661)</f>
        <v>188638.0972362</v>
      </c>
      <c r="Q590" s="71" t="s">
        <v>106</v>
      </c>
      <c r="R590" s="68">
        <f>SUM(150174.5/3215)*H590</f>
        <v>14.0131726283048</v>
      </c>
      <c r="S590" s="68"/>
      <c r="T590" s="69">
        <f>SUM(230/3215)*H590</f>
        <v>0.0214618973561431</v>
      </c>
      <c r="U590" s="68"/>
      <c r="V590" s="68"/>
      <c r="W590" s="68">
        <f t="shared" si="365"/>
        <v>14.034634525661</v>
      </c>
      <c r="X590" s="70">
        <f>SUM(2497.64/3215)*H590</f>
        <v>0.233061275272162</v>
      </c>
      <c r="Y590" s="70"/>
      <c r="Z590" s="70"/>
      <c r="AA590" s="70">
        <f t="shared" si="366"/>
        <v>0.233061275272162</v>
      </c>
      <c r="AB590" s="80">
        <v>7.24</v>
      </c>
      <c r="AC590" s="68">
        <f t="shared" si="363"/>
        <v>1.68736363297045</v>
      </c>
      <c r="AD590" s="68">
        <f t="shared" si="364"/>
        <v>15.7219981586314</v>
      </c>
      <c r="AE590" s="68">
        <f t="shared" si="367"/>
        <v>47.2780018413686</v>
      </c>
    </row>
    <row r="591" customFormat="1" spans="1:31">
      <c r="A591" s="18"/>
      <c r="B591" s="19"/>
      <c r="C591" s="20">
        <v>240612000014</v>
      </c>
      <c r="D591" s="21">
        <v>45470</v>
      </c>
      <c r="E591" s="21" t="s">
        <v>48</v>
      </c>
      <c r="F591" s="19" t="s">
        <v>49</v>
      </c>
      <c r="G591" s="19" t="s">
        <v>420</v>
      </c>
      <c r="H591" s="19">
        <v>28</v>
      </c>
      <c r="I591" s="38">
        <v>1792</v>
      </c>
      <c r="J591" s="39"/>
      <c r="K591" s="40"/>
      <c r="L591" s="19"/>
      <c r="M591" s="40"/>
      <c r="N591" s="41"/>
      <c r="O591" s="42">
        <f t="shared" si="355"/>
        <v>1792</v>
      </c>
      <c r="P591" s="44"/>
      <c r="Q591" s="44"/>
      <c r="R591" s="68">
        <f t="shared" ref="R591:R622" si="368">SUM(150174.5/3215)*H591</f>
        <v>1307.89611197512</v>
      </c>
      <c r="S591" s="68"/>
      <c r="T591" s="69">
        <f t="shared" ref="T591:T622" si="369">SUM(230/3215)*H591</f>
        <v>2.00311041990669</v>
      </c>
      <c r="U591" s="68"/>
      <c r="V591" s="68"/>
      <c r="W591" s="68">
        <f t="shared" si="365"/>
        <v>1309.89922239502</v>
      </c>
      <c r="X591" s="70">
        <f t="shared" ref="X591:X622" si="370">SUM(2497.64/3215)*H591</f>
        <v>21.7523856920684</v>
      </c>
      <c r="Y591" s="70"/>
      <c r="Z591" s="70"/>
      <c r="AA591" s="70">
        <f t="shared" si="366"/>
        <v>21.7523856920684</v>
      </c>
      <c r="AB591" s="80">
        <v>7.24</v>
      </c>
      <c r="AC591" s="68">
        <f t="shared" si="363"/>
        <v>157.487272410575</v>
      </c>
      <c r="AD591" s="68">
        <f t="shared" si="364"/>
        <v>1467.3864948056</v>
      </c>
      <c r="AE591" s="68">
        <f t="shared" si="367"/>
        <v>324.6135051944</v>
      </c>
    </row>
    <row r="592" customFormat="1" spans="1:31">
      <c r="A592" s="18"/>
      <c r="B592" s="19"/>
      <c r="C592" s="20">
        <v>240613000011</v>
      </c>
      <c r="D592" s="21">
        <v>45470</v>
      </c>
      <c r="E592" s="21" t="s">
        <v>44</v>
      </c>
      <c r="F592" s="19" t="s">
        <v>45</v>
      </c>
      <c r="G592" s="19" t="s">
        <v>451</v>
      </c>
      <c r="H592" s="19">
        <v>1.5</v>
      </c>
      <c r="I592" s="45"/>
      <c r="J592" s="46">
        <v>31290</v>
      </c>
      <c r="K592" s="40"/>
      <c r="L592" s="47">
        <f>SUM(J592/M592)</f>
        <v>1522.62773722628</v>
      </c>
      <c r="M592" s="48">
        <v>20.55</v>
      </c>
      <c r="N592" s="97">
        <v>7.24</v>
      </c>
      <c r="O592" s="42">
        <f>SUM(M592*N592)</f>
        <v>148.782</v>
      </c>
      <c r="P592" s="44"/>
      <c r="Q592" s="44"/>
      <c r="R592" s="68">
        <f t="shared" si="368"/>
        <v>70.0658631415241</v>
      </c>
      <c r="S592" s="68"/>
      <c r="T592" s="69">
        <f t="shared" si="369"/>
        <v>0.107309486780715</v>
      </c>
      <c r="U592" s="68"/>
      <c r="V592" s="68"/>
      <c r="W592" s="68">
        <f t="shared" si="365"/>
        <v>70.1731726283048</v>
      </c>
      <c r="X592" s="70">
        <f t="shared" si="370"/>
        <v>1.16530637636081</v>
      </c>
      <c r="Y592" s="70"/>
      <c r="Z592" s="70"/>
      <c r="AA592" s="70">
        <f t="shared" si="366"/>
        <v>1.16530637636081</v>
      </c>
      <c r="AB592" s="80">
        <v>7.24</v>
      </c>
      <c r="AC592" s="68">
        <f t="shared" si="363"/>
        <v>8.43681816485225</v>
      </c>
      <c r="AD592" s="68">
        <f t="shared" si="364"/>
        <v>78.6099907931571</v>
      </c>
      <c r="AE592" s="68">
        <f t="shared" si="367"/>
        <v>70.1720092068429</v>
      </c>
    </row>
    <row r="593" customFormat="1" spans="1:31">
      <c r="A593" s="18"/>
      <c r="B593" s="19"/>
      <c r="C593" s="20">
        <v>240614000020</v>
      </c>
      <c r="D593" s="21">
        <v>45470</v>
      </c>
      <c r="E593" s="21" t="s">
        <v>51</v>
      </c>
      <c r="F593" s="19" t="s">
        <v>52</v>
      </c>
      <c r="G593" s="19" t="s">
        <v>452</v>
      </c>
      <c r="H593" s="19">
        <v>8</v>
      </c>
      <c r="I593" s="38">
        <v>508.2</v>
      </c>
      <c r="J593" s="39"/>
      <c r="K593" s="40"/>
      <c r="L593" s="19"/>
      <c r="M593" s="40"/>
      <c r="N593" s="41"/>
      <c r="O593" s="42">
        <f t="shared" si="355"/>
        <v>508.2</v>
      </c>
      <c r="P593" s="44"/>
      <c r="Q593" s="44"/>
      <c r="R593" s="68">
        <f t="shared" si="368"/>
        <v>373.684603421462</v>
      </c>
      <c r="S593" s="68"/>
      <c r="T593" s="69">
        <f t="shared" si="369"/>
        <v>0.572317262830482</v>
      </c>
      <c r="U593" s="68"/>
      <c r="V593" s="68"/>
      <c r="W593" s="68">
        <f t="shared" si="365"/>
        <v>374.256920684292</v>
      </c>
      <c r="X593" s="70">
        <f t="shared" si="370"/>
        <v>6.21496734059098</v>
      </c>
      <c r="Y593" s="70"/>
      <c r="Z593" s="70"/>
      <c r="AA593" s="70">
        <f t="shared" si="366"/>
        <v>6.21496734059098</v>
      </c>
      <c r="AB593" s="80">
        <v>7.24</v>
      </c>
      <c r="AC593" s="68">
        <f t="shared" si="363"/>
        <v>44.9963635458787</v>
      </c>
      <c r="AD593" s="68">
        <f t="shared" si="364"/>
        <v>419.253284230171</v>
      </c>
      <c r="AE593" s="68">
        <f t="shared" si="367"/>
        <v>88.946715769829</v>
      </c>
    </row>
    <row r="594" customFormat="1" spans="1:31">
      <c r="A594" s="18"/>
      <c r="B594" s="19"/>
      <c r="C594" s="20">
        <v>240614000029</v>
      </c>
      <c r="D594" s="21">
        <v>45470</v>
      </c>
      <c r="E594" s="21" t="s">
        <v>48</v>
      </c>
      <c r="F594" s="19" t="s">
        <v>49</v>
      </c>
      <c r="G594" s="19" t="s">
        <v>149</v>
      </c>
      <c r="H594" s="19">
        <v>0.47</v>
      </c>
      <c r="I594" s="45"/>
      <c r="J594" s="46">
        <v>15000</v>
      </c>
      <c r="K594" s="40"/>
      <c r="L594" s="47">
        <f t="shared" ref="L594:L599" si="371">SUM(J594/M594)</f>
        <v>1567.39811912226</v>
      </c>
      <c r="M594" s="48">
        <v>9.57</v>
      </c>
      <c r="N594" s="41">
        <v>7.24</v>
      </c>
      <c r="O594" s="42">
        <f t="shared" ref="O594:O599" si="372">SUM(M594*N594)</f>
        <v>69.2868</v>
      </c>
      <c r="P594" s="44"/>
      <c r="Q594" s="44"/>
      <c r="R594" s="68">
        <f t="shared" si="368"/>
        <v>21.9539704510109</v>
      </c>
      <c r="S594" s="68"/>
      <c r="T594" s="69">
        <f t="shared" si="369"/>
        <v>0.0336236391912908</v>
      </c>
      <c r="U594" s="68"/>
      <c r="V594" s="68"/>
      <c r="W594" s="68">
        <f t="shared" si="365"/>
        <v>21.9875940902022</v>
      </c>
      <c r="X594" s="70">
        <f t="shared" si="370"/>
        <v>0.36512933125972</v>
      </c>
      <c r="Y594" s="70"/>
      <c r="Z594" s="70"/>
      <c r="AA594" s="70">
        <f t="shared" si="366"/>
        <v>0.36512933125972</v>
      </c>
      <c r="AB594" s="80">
        <v>7.24</v>
      </c>
      <c r="AC594" s="68">
        <f t="shared" si="363"/>
        <v>2.64353635832037</v>
      </c>
      <c r="AD594" s="68">
        <f t="shared" si="364"/>
        <v>24.6311304485225</v>
      </c>
      <c r="AE594" s="68">
        <f t="shared" si="367"/>
        <v>44.6556695514775</v>
      </c>
    </row>
    <row r="595" customFormat="1" spans="1:31">
      <c r="A595" s="18"/>
      <c r="B595" s="19"/>
      <c r="C595" s="20">
        <v>240614000031</v>
      </c>
      <c r="D595" s="21">
        <v>45470</v>
      </c>
      <c r="E595" s="21" t="s">
        <v>85</v>
      </c>
      <c r="F595" s="19" t="s">
        <v>86</v>
      </c>
      <c r="G595" s="19" t="s">
        <v>453</v>
      </c>
      <c r="H595" s="19">
        <v>315</v>
      </c>
      <c r="I595" s="38">
        <v>18635</v>
      </c>
      <c r="J595" s="39"/>
      <c r="K595" s="40"/>
      <c r="L595" s="19"/>
      <c r="M595" s="40"/>
      <c r="N595" s="41"/>
      <c r="O595" s="42">
        <f t="shared" ref="O595:O597" si="373">SUM(I595)</f>
        <v>18635</v>
      </c>
      <c r="P595" s="44"/>
      <c r="Q595" s="44"/>
      <c r="R595" s="68">
        <f t="shared" si="368"/>
        <v>14713.8312597201</v>
      </c>
      <c r="S595" s="68"/>
      <c r="T595" s="69">
        <f t="shared" si="369"/>
        <v>22.5349922239502</v>
      </c>
      <c r="U595" s="68"/>
      <c r="V595" s="68"/>
      <c r="W595" s="68">
        <f t="shared" si="365"/>
        <v>14736.366251944</v>
      </c>
      <c r="X595" s="70">
        <f t="shared" si="370"/>
        <v>244.71433903577</v>
      </c>
      <c r="Y595" s="70"/>
      <c r="Z595" s="70"/>
      <c r="AA595" s="70">
        <f t="shared" si="366"/>
        <v>244.71433903577</v>
      </c>
      <c r="AB595" s="80">
        <v>7.24</v>
      </c>
      <c r="AC595" s="68">
        <f t="shared" si="363"/>
        <v>1771.73181461897</v>
      </c>
      <c r="AD595" s="68">
        <f t="shared" si="364"/>
        <v>16508.098066563</v>
      </c>
      <c r="AE595" s="68">
        <f t="shared" si="367"/>
        <v>2126.901933437</v>
      </c>
    </row>
    <row r="596" customFormat="1" spans="1:31">
      <c r="A596" s="18"/>
      <c r="B596" s="19"/>
      <c r="C596" s="20">
        <v>240614000034</v>
      </c>
      <c r="D596" s="21">
        <v>45470</v>
      </c>
      <c r="E596" s="21" t="s">
        <v>48</v>
      </c>
      <c r="F596" s="19" t="s">
        <v>49</v>
      </c>
      <c r="G596" s="19" t="s">
        <v>389</v>
      </c>
      <c r="H596" s="19">
        <v>2</v>
      </c>
      <c r="I596" s="45"/>
      <c r="J596" s="46">
        <v>28416</v>
      </c>
      <c r="K596" s="40"/>
      <c r="L596" s="47">
        <f>SUM(J596/M596)</f>
        <v>1608.1494057725</v>
      </c>
      <c r="M596" s="48">
        <v>17.67</v>
      </c>
      <c r="N596" s="97">
        <v>7.24</v>
      </c>
      <c r="O596" s="42">
        <f>SUM(M596*N596)</f>
        <v>127.9308</v>
      </c>
      <c r="P596" s="44"/>
      <c r="Q596" s="44"/>
      <c r="R596" s="68">
        <f t="shared" si="368"/>
        <v>93.4211508553655</v>
      </c>
      <c r="S596" s="68"/>
      <c r="T596" s="69">
        <f t="shared" si="369"/>
        <v>0.143079315707621</v>
      </c>
      <c r="U596" s="68"/>
      <c r="V596" s="68"/>
      <c r="W596" s="68">
        <f t="shared" si="365"/>
        <v>93.5642301710731</v>
      </c>
      <c r="X596" s="70">
        <f t="shared" si="370"/>
        <v>1.55374183514774</v>
      </c>
      <c r="Y596" s="70"/>
      <c r="Z596" s="70"/>
      <c r="AA596" s="70">
        <f t="shared" si="366"/>
        <v>1.55374183514774</v>
      </c>
      <c r="AB596" s="80">
        <v>7.24</v>
      </c>
      <c r="AC596" s="68">
        <f t="shared" si="363"/>
        <v>11.2490908864697</v>
      </c>
      <c r="AD596" s="68">
        <f t="shared" si="364"/>
        <v>104.813321057543</v>
      </c>
      <c r="AE596" s="68">
        <f t="shared" si="367"/>
        <v>23.117478942457</v>
      </c>
    </row>
    <row r="597" customFormat="1" spans="1:31">
      <c r="A597" s="18"/>
      <c r="B597" s="19"/>
      <c r="C597" s="20">
        <v>240614000038</v>
      </c>
      <c r="D597" s="21">
        <v>45470</v>
      </c>
      <c r="E597" s="21" t="s">
        <v>37</v>
      </c>
      <c r="F597" s="19" t="s">
        <v>37</v>
      </c>
      <c r="G597" s="19" t="s">
        <v>290</v>
      </c>
      <c r="H597" s="19">
        <v>4.5</v>
      </c>
      <c r="I597" s="38">
        <v>630</v>
      </c>
      <c r="J597" s="39"/>
      <c r="K597" s="40"/>
      <c r="L597" s="19"/>
      <c r="M597" s="40"/>
      <c r="N597" s="41"/>
      <c r="O597" s="42">
        <f t="shared" si="373"/>
        <v>630</v>
      </c>
      <c r="P597" s="44"/>
      <c r="Q597" s="44"/>
      <c r="R597" s="68">
        <f t="shared" si="368"/>
        <v>210.197589424572</v>
      </c>
      <c r="S597" s="68"/>
      <c r="T597" s="69">
        <f t="shared" si="369"/>
        <v>0.321928460342146</v>
      </c>
      <c r="U597" s="68"/>
      <c r="V597" s="68"/>
      <c r="W597" s="68">
        <f t="shared" si="365"/>
        <v>210.519517884914</v>
      </c>
      <c r="X597" s="70">
        <f t="shared" si="370"/>
        <v>3.49591912908243</v>
      </c>
      <c r="Y597" s="70"/>
      <c r="Z597" s="70"/>
      <c r="AA597" s="70">
        <f t="shared" si="366"/>
        <v>3.49591912908243</v>
      </c>
      <c r="AB597" s="80">
        <v>7.24</v>
      </c>
      <c r="AC597" s="68">
        <f t="shared" si="363"/>
        <v>25.3104544945568</v>
      </c>
      <c r="AD597" s="68">
        <f t="shared" si="364"/>
        <v>235.829972379471</v>
      </c>
      <c r="AE597" s="68">
        <f t="shared" si="367"/>
        <v>394.170027620529</v>
      </c>
    </row>
    <row r="598" customFormat="1" spans="1:31">
      <c r="A598" s="18"/>
      <c r="B598" s="19"/>
      <c r="C598" s="20">
        <v>240614000048</v>
      </c>
      <c r="D598" s="21">
        <v>45470</v>
      </c>
      <c r="E598" s="21" t="s">
        <v>51</v>
      </c>
      <c r="F598" s="19" t="s">
        <v>52</v>
      </c>
      <c r="G598" s="19" t="s">
        <v>107</v>
      </c>
      <c r="H598" s="19">
        <v>5</v>
      </c>
      <c r="I598" s="45"/>
      <c r="J598" s="46">
        <v>76923</v>
      </c>
      <c r="K598" s="40"/>
      <c r="L598" s="47">
        <f t="shared" si="371"/>
        <v>1520.21739130435</v>
      </c>
      <c r="M598" s="48">
        <v>50.6</v>
      </c>
      <c r="N598" s="41">
        <v>7.24</v>
      </c>
      <c r="O598" s="42">
        <f t="shared" si="372"/>
        <v>366.344</v>
      </c>
      <c r="P598" s="44"/>
      <c r="Q598" s="44"/>
      <c r="R598" s="68">
        <f t="shared" si="368"/>
        <v>233.552877138414</v>
      </c>
      <c r="S598" s="68"/>
      <c r="T598" s="69">
        <f t="shared" si="369"/>
        <v>0.357698289269051</v>
      </c>
      <c r="U598" s="68"/>
      <c r="V598" s="68"/>
      <c r="W598" s="68">
        <f t="shared" si="365"/>
        <v>233.910575427683</v>
      </c>
      <c r="X598" s="70">
        <f t="shared" si="370"/>
        <v>3.88435458786936</v>
      </c>
      <c r="Y598" s="70"/>
      <c r="Z598" s="70"/>
      <c r="AA598" s="70">
        <f t="shared" si="366"/>
        <v>3.88435458786936</v>
      </c>
      <c r="AB598" s="80">
        <v>7.24</v>
      </c>
      <c r="AC598" s="68">
        <f t="shared" si="363"/>
        <v>28.1227272161742</v>
      </c>
      <c r="AD598" s="68">
        <f t="shared" si="364"/>
        <v>262.033302643857</v>
      </c>
      <c r="AE598" s="68">
        <f t="shared" si="367"/>
        <v>104.310697356143</v>
      </c>
    </row>
    <row r="599" customFormat="1" spans="1:31">
      <c r="A599" s="18"/>
      <c r="B599" s="19"/>
      <c r="C599" s="20">
        <v>240614000052</v>
      </c>
      <c r="D599" s="21">
        <v>45470</v>
      </c>
      <c r="E599" s="21" t="s">
        <v>51</v>
      </c>
      <c r="F599" s="19" t="s">
        <v>52</v>
      </c>
      <c r="G599" s="19" t="s">
        <v>454</v>
      </c>
      <c r="H599" s="19">
        <v>20.5</v>
      </c>
      <c r="I599" s="45"/>
      <c r="J599" s="46">
        <v>320659.5</v>
      </c>
      <c r="K599" s="40"/>
      <c r="L599" s="47">
        <f t="shared" si="371"/>
        <v>1520.43385490754</v>
      </c>
      <c r="M599" s="48">
        <v>210.9</v>
      </c>
      <c r="N599" s="41">
        <v>7.24</v>
      </c>
      <c r="O599" s="42">
        <f t="shared" si="372"/>
        <v>1526.916</v>
      </c>
      <c r="P599" s="44"/>
      <c r="Q599" s="44"/>
      <c r="R599" s="68">
        <f t="shared" si="368"/>
        <v>957.566796267496</v>
      </c>
      <c r="S599" s="68"/>
      <c r="T599" s="69">
        <f t="shared" si="369"/>
        <v>1.46656298600311</v>
      </c>
      <c r="U599" s="68">
        <v>60</v>
      </c>
      <c r="V599" s="68"/>
      <c r="W599" s="68">
        <f t="shared" si="365"/>
        <v>1019.0333592535</v>
      </c>
      <c r="X599" s="70">
        <f t="shared" si="370"/>
        <v>15.9258538102644</v>
      </c>
      <c r="Y599" s="70">
        <v>24.17</v>
      </c>
      <c r="Z599" s="70"/>
      <c r="AA599" s="70">
        <f t="shared" si="366"/>
        <v>40.0958538102644</v>
      </c>
      <c r="AB599" s="80">
        <v>7.24</v>
      </c>
      <c r="AC599" s="68">
        <f t="shared" si="363"/>
        <v>290.293981586314</v>
      </c>
      <c r="AD599" s="68">
        <f t="shared" si="364"/>
        <v>1309.32734083981</v>
      </c>
      <c r="AE599" s="68">
        <f t="shared" si="367"/>
        <v>217.58865916019</v>
      </c>
    </row>
    <row r="600" customFormat="1" spans="1:31">
      <c r="A600" s="18"/>
      <c r="B600" s="19"/>
      <c r="C600" s="20">
        <v>240614000062</v>
      </c>
      <c r="D600" s="21">
        <v>45470</v>
      </c>
      <c r="E600" s="21" t="s">
        <v>44</v>
      </c>
      <c r="F600" s="19" t="s">
        <v>45</v>
      </c>
      <c r="G600" s="19" t="s">
        <v>392</v>
      </c>
      <c r="H600" s="19">
        <v>10</v>
      </c>
      <c r="I600" s="38">
        <v>699</v>
      </c>
      <c r="J600" s="39"/>
      <c r="K600" s="40"/>
      <c r="L600" s="19"/>
      <c r="M600" s="40"/>
      <c r="N600" s="41"/>
      <c r="O600" s="42">
        <f t="shared" ref="O600:O604" si="374">SUM(I600)</f>
        <v>699</v>
      </c>
      <c r="P600" s="44"/>
      <c r="Q600" s="44"/>
      <c r="R600" s="68">
        <f t="shared" si="368"/>
        <v>467.105754276827</v>
      </c>
      <c r="S600" s="68"/>
      <c r="T600" s="69">
        <f t="shared" si="369"/>
        <v>0.715396578538103</v>
      </c>
      <c r="U600" s="68"/>
      <c r="V600" s="68"/>
      <c r="W600" s="68">
        <f t="shared" si="365"/>
        <v>467.821150855365</v>
      </c>
      <c r="X600" s="70">
        <f t="shared" si="370"/>
        <v>7.76870917573872</v>
      </c>
      <c r="Y600" s="70"/>
      <c r="Z600" s="70"/>
      <c r="AA600" s="70">
        <f t="shared" si="366"/>
        <v>7.76870917573872</v>
      </c>
      <c r="AB600" s="80">
        <v>7.24</v>
      </c>
      <c r="AC600" s="68">
        <f t="shared" si="363"/>
        <v>56.2454544323484</v>
      </c>
      <c r="AD600" s="68">
        <f t="shared" si="364"/>
        <v>524.066605287714</v>
      </c>
      <c r="AE600" s="68">
        <f t="shared" si="367"/>
        <v>174.933394712286</v>
      </c>
    </row>
    <row r="601" customFormat="1" spans="1:31">
      <c r="A601" s="18"/>
      <c r="B601" s="19"/>
      <c r="C601" s="20">
        <v>240615000001</v>
      </c>
      <c r="D601" s="21">
        <v>45470</v>
      </c>
      <c r="E601" s="21" t="s">
        <v>51</v>
      </c>
      <c r="F601" s="19" t="s">
        <v>52</v>
      </c>
      <c r="G601" s="19" t="s">
        <v>455</v>
      </c>
      <c r="H601" s="19">
        <v>3.5</v>
      </c>
      <c r="I601" s="38">
        <v>374.4</v>
      </c>
      <c r="J601" s="39"/>
      <c r="K601" s="40"/>
      <c r="L601" s="19"/>
      <c r="M601" s="40"/>
      <c r="N601" s="41"/>
      <c r="O601" s="42">
        <f t="shared" si="374"/>
        <v>374.4</v>
      </c>
      <c r="P601" s="44"/>
      <c r="Q601" s="44"/>
      <c r="R601" s="68">
        <f t="shared" si="368"/>
        <v>163.48701399689</v>
      </c>
      <c r="S601" s="68"/>
      <c r="T601" s="69">
        <f t="shared" si="369"/>
        <v>0.250388802488336</v>
      </c>
      <c r="U601" s="68"/>
      <c r="V601" s="68"/>
      <c r="W601" s="68">
        <f t="shared" si="365"/>
        <v>163.737402799378</v>
      </c>
      <c r="X601" s="70">
        <f t="shared" si="370"/>
        <v>2.71904821150855</v>
      </c>
      <c r="Y601" s="70"/>
      <c r="Z601" s="70"/>
      <c r="AA601" s="70">
        <f t="shared" si="366"/>
        <v>2.71904821150855</v>
      </c>
      <c r="AB601" s="80">
        <v>7.24</v>
      </c>
      <c r="AC601" s="68">
        <f t="shared" si="363"/>
        <v>19.6859090513219</v>
      </c>
      <c r="AD601" s="68">
        <f t="shared" si="364"/>
        <v>183.4233118507</v>
      </c>
      <c r="AE601" s="68">
        <f t="shared" si="367"/>
        <v>190.9766881493</v>
      </c>
    </row>
    <row r="602" customFormat="1" spans="1:31">
      <c r="A602" s="18"/>
      <c r="B602" s="19"/>
      <c r="C602" s="20">
        <v>240615000005</v>
      </c>
      <c r="D602" s="21">
        <v>45470</v>
      </c>
      <c r="E602" s="21" t="s">
        <v>44</v>
      </c>
      <c r="F602" s="19" t="s">
        <v>45</v>
      </c>
      <c r="G602" s="19" t="s">
        <v>456</v>
      </c>
      <c r="H602" s="19">
        <v>19.5</v>
      </c>
      <c r="I602" s="38">
        <v>1909</v>
      </c>
      <c r="J602" s="39"/>
      <c r="K602" s="40"/>
      <c r="L602" s="19"/>
      <c r="M602" s="40"/>
      <c r="N602" s="41"/>
      <c r="O602" s="42">
        <f t="shared" si="374"/>
        <v>1909</v>
      </c>
      <c r="P602" s="44"/>
      <c r="Q602" s="44"/>
      <c r="R602" s="68">
        <f t="shared" si="368"/>
        <v>910.856220839813</v>
      </c>
      <c r="S602" s="68"/>
      <c r="T602" s="69">
        <f t="shared" si="369"/>
        <v>1.3950233281493</v>
      </c>
      <c r="U602" s="68"/>
      <c r="V602" s="68"/>
      <c r="W602" s="68">
        <f t="shared" si="365"/>
        <v>912.251244167963</v>
      </c>
      <c r="X602" s="70">
        <f t="shared" si="370"/>
        <v>15.1489828926905</v>
      </c>
      <c r="Y602" s="70"/>
      <c r="Z602" s="70"/>
      <c r="AA602" s="70">
        <f t="shared" si="366"/>
        <v>15.1489828926905</v>
      </c>
      <c r="AB602" s="80">
        <v>7.24</v>
      </c>
      <c r="AC602" s="68">
        <f t="shared" si="363"/>
        <v>109.678636143079</v>
      </c>
      <c r="AD602" s="68">
        <f t="shared" si="364"/>
        <v>1021.92988031104</v>
      </c>
      <c r="AE602" s="68">
        <f t="shared" si="367"/>
        <v>887.07011968896</v>
      </c>
    </row>
    <row r="603" customFormat="1" spans="1:31">
      <c r="A603" s="18"/>
      <c r="B603" s="19"/>
      <c r="C603" s="20">
        <v>240615000006</v>
      </c>
      <c r="D603" s="21">
        <v>45470</v>
      </c>
      <c r="E603" s="21" t="s">
        <v>85</v>
      </c>
      <c r="F603" s="19" t="s">
        <v>86</v>
      </c>
      <c r="G603" s="19" t="s">
        <v>457</v>
      </c>
      <c r="H603" s="19">
        <v>6</v>
      </c>
      <c r="I603" s="38">
        <v>373</v>
      </c>
      <c r="J603" s="39"/>
      <c r="K603" s="40"/>
      <c r="L603" s="19"/>
      <c r="M603" s="40"/>
      <c r="N603" s="41"/>
      <c r="O603" s="42">
        <f t="shared" si="374"/>
        <v>373</v>
      </c>
      <c r="P603" s="44"/>
      <c r="Q603" s="44"/>
      <c r="R603" s="68">
        <f t="shared" si="368"/>
        <v>280.263452566096</v>
      </c>
      <c r="S603" s="68"/>
      <c r="T603" s="69">
        <f t="shared" si="369"/>
        <v>0.429237947122862</v>
      </c>
      <c r="U603" s="68"/>
      <c r="V603" s="68"/>
      <c r="W603" s="68">
        <f t="shared" si="365"/>
        <v>280.692690513219</v>
      </c>
      <c r="X603" s="70">
        <f t="shared" si="370"/>
        <v>4.66122550544323</v>
      </c>
      <c r="Y603" s="70"/>
      <c r="Z603" s="70"/>
      <c r="AA603" s="70">
        <f t="shared" si="366"/>
        <v>4.66122550544323</v>
      </c>
      <c r="AB603" s="80">
        <v>7.24</v>
      </c>
      <c r="AC603" s="68">
        <f t="shared" si="363"/>
        <v>33.747272659409</v>
      </c>
      <c r="AD603" s="68">
        <f t="shared" si="364"/>
        <v>314.439963172628</v>
      </c>
      <c r="AE603" s="68">
        <f t="shared" si="367"/>
        <v>58.560036827372</v>
      </c>
    </row>
    <row r="604" customFormat="1" spans="1:31">
      <c r="A604" s="18"/>
      <c r="B604" s="19"/>
      <c r="C604" s="20">
        <v>240615000008</v>
      </c>
      <c r="D604" s="21">
        <v>45470</v>
      </c>
      <c r="E604" s="21" t="s">
        <v>37</v>
      </c>
      <c r="F604" s="19" t="s">
        <v>37</v>
      </c>
      <c r="G604" s="19" t="s">
        <v>254</v>
      </c>
      <c r="H604" s="19">
        <v>30</v>
      </c>
      <c r="I604" s="45">
        <v>2232.5</v>
      </c>
      <c r="J604" s="39"/>
      <c r="K604" s="40"/>
      <c r="L604" s="19"/>
      <c r="M604" s="40"/>
      <c r="N604" s="41"/>
      <c r="O604" s="42">
        <f t="shared" si="374"/>
        <v>2232.5</v>
      </c>
      <c r="P604" s="44"/>
      <c r="Q604" s="44"/>
      <c r="R604" s="68">
        <f t="shared" si="368"/>
        <v>1401.31726283048</v>
      </c>
      <c r="S604" s="68"/>
      <c r="T604" s="69">
        <f t="shared" si="369"/>
        <v>2.14618973561431</v>
      </c>
      <c r="U604" s="69">
        <f>SUM(100+60)</f>
        <v>160</v>
      </c>
      <c r="V604" s="68"/>
      <c r="W604" s="68">
        <f t="shared" si="365"/>
        <v>1563.4634525661</v>
      </c>
      <c r="X604" s="70">
        <f t="shared" si="370"/>
        <v>23.3061275272162</v>
      </c>
      <c r="Y604" s="70"/>
      <c r="Z604" s="70"/>
      <c r="AA604" s="70">
        <f t="shared" si="366"/>
        <v>23.3061275272162</v>
      </c>
      <c r="AB604" s="80">
        <v>7.24</v>
      </c>
      <c r="AC604" s="68">
        <f t="shared" si="363"/>
        <v>168.736363297045</v>
      </c>
      <c r="AD604" s="68">
        <f t="shared" si="364"/>
        <v>1732.19981586314</v>
      </c>
      <c r="AE604" s="68">
        <f t="shared" si="367"/>
        <v>500.30018413686</v>
      </c>
    </row>
    <row r="605" customFormat="1" spans="1:31">
      <c r="A605" s="18"/>
      <c r="B605" s="19"/>
      <c r="C605" s="20">
        <v>240615000013</v>
      </c>
      <c r="D605" s="21">
        <v>45470</v>
      </c>
      <c r="E605" s="21" t="s">
        <v>37</v>
      </c>
      <c r="F605" s="19" t="s">
        <v>37</v>
      </c>
      <c r="G605" s="19" t="s">
        <v>458</v>
      </c>
      <c r="H605" s="19">
        <v>12.5</v>
      </c>
      <c r="I605" s="42"/>
      <c r="J605" s="46">
        <v>183551</v>
      </c>
      <c r="K605" s="40"/>
      <c r="L605" s="47">
        <f t="shared" ref="L605:L608" si="375">SUM(J605/M605)</f>
        <v>1505.99764087637</v>
      </c>
      <c r="M605" s="48">
        <v>121.880005</v>
      </c>
      <c r="N605" s="41">
        <v>7.24</v>
      </c>
      <c r="O605" s="42">
        <f t="shared" ref="O605:O608" si="376">SUM(M605*N605)</f>
        <v>882.4112362</v>
      </c>
      <c r="P605" s="44"/>
      <c r="Q605" s="44"/>
      <c r="R605" s="68">
        <f t="shared" si="368"/>
        <v>583.882192846034</v>
      </c>
      <c r="S605" s="68"/>
      <c r="T605" s="69">
        <f t="shared" si="369"/>
        <v>0.894245723172628</v>
      </c>
      <c r="U605" s="68"/>
      <c r="V605" s="68"/>
      <c r="W605" s="68">
        <f t="shared" si="365"/>
        <v>584.776438569207</v>
      </c>
      <c r="X605" s="70">
        <f t="shared" si="370"/>
        <v>9.7108864696734</v>
      </c>
      <c r="Y605" s="70"/>
      <c r="Z605" s="70"/>
      <c r="AA605" s="70">
        <f t="shared" si="366"/>
        <v>9.7108864696734</v>
      </c>
      <c r="AB605" s="80">
        <v>7.24</v>
      </c>
      <c r="AC605" s="68">
        <f t="shared" si="363"/>
        <v>70.3068180404354</v>
      </c>
      <c r="AD605" s="68">
        <f t="shared" si="364"/>
        <v>655.083256609642</v>
      </c>
      <c r="AE605" s="68">
        <f t="shared" si="367"/>
        <v>227.327979590358</v>
      </c>
    </row>
    <row r="606" customFormat="1" spans="1:31">
      <c r="A606" s="18"/>
      <c r="B606" s="19"/>
      <c r="C606" s="20">
        <v>240616000002</v>
      </c>
      <c r="D606" s="21">
        <v>45470</v>
      </c>
      <c r="E606" s="21" t="s">
        <v>51</v>
      </c>
      <c r="F606" s="19" t="s">
        <v>52</v>
      </c>
      <c r="G606" s="19" t="s">
        <v>53</v>
      </c>
      <c r="H606" s="19">
        <v>1.5</v>
      </c>
      <c r="I606" s="45"/>
      <c r="J606" s="46">
        <v>19440</v>
      </c>
      <c r="K606" s="40"/>
      <c r="L606" s="47">
        <f t="shared" si="375"/>
        <v>1514.01869158879</v>
      </c>
      <c r="M606" s="48">
        <v>12.84</v>
      </c>
      <c r="N606" s="41">
        <v>7.24</v>
      </c>
      <c r="O606" s="42">
        <f t="shared" si="376"/>
        <v>92.9616</v>
      </c>
      <c r="P606" s="44"/>
      <c r="Q606" s="44"/>
      <c r="R606" s="68">
        <f t="shared" si="368"/>
        <v>70.0658631415241</v>
      </c>
      <c r="S606" s="68"/>
      <c r="T606" s="69">
        <f t="shared" si="369"/>
        <v>0.107309486780715</v>
      </c>
      <c r="U606" s="68"/>
      <c r="V606" s="68"/>
      <c r="W606" s="68">
        <f t="shared" si="365"/>
        <v>70.1731726283048</v>
      </c>
      <c r="X606" s="70">
        <f t="shared" si="370"/>
        <v>1.16530637636081</v>
      </c>
      <c r="Y606" s="70"/>
      <c r="Z606" s="70"/>
      <c r="AA606" s="70">
        <f t="shared" si="366"/>
        <v>1.16530637636081</v>
      </c>
      <c r="AB606" s="80">
        <v>7.24</v>
      </c>
      <c r="AC606" s="68">
        <f t="shared" si="363"/>
        <v>8.43681816485225</v>
      </c>
      <c r="AD606" s="68">
        <f t="shared" si="364"/>
        <v>78.6099907931571</v>
      </c>
      <c r="AE606" s="68">
        <f t="shared" si="367"/>
        <v>14.3516092068429</v>
      </c>
    </row>
    <row r="607" customFormat="1" spans="1:31">
      <c r="A607" s="18"/>
      <c r="B607" s="19"/>
      <c r="C607" s="20">
        <v>240616000009</v>
      </c>
      <c r="D607" s="21">
        <v>45470</v>
      </c>
      <c r="E607" s="21" t="s">
        <v>41</v>
      </c>
      <c r="F607" s="19" t="s">
        <v>42</v>
      </c>
      <c r="G607" s="19" t="s">
        <v>242</v>
      </c>
      <c r="H607" s="19">
        <v>16</v>
      </c>
      <c r="I607" s="45"/>
      <c r="J607" s="46">
        <v>192780</v>
      </c>
      <c r="K607" s="40"/>
      <c r="L607" s="47">
        <f t="shared" si="375"/>
        <v>1520.46691379446</v>
      </c>
      <c r="M607" s="48">
        <v>126.79</v>
      </c>
      <c r="N607" s="41">
        <v>7.24</v>
      </c>
      <c r="O607" s="42">
        <f t="shared" si="376"/>
        <v>917.9596</v>
      </c>
      <c r="P607" s="44"/>
      <c r="Q607" s="44"/>
      <c r="R607" s="68">
        <f t="shared" si="368"/>
        <v>747.369206842924</v>
      </c>
      <c r="S607" s="68"/>
      <c r="T607" s="69">
        <f t="shared" si="369"/>
        <v>1.14463452566096</v>
      </c>
      <c r="U607" s="68"/>
      <c r="V607" s="68"/>
      <c r="W607" s="68">
        <f t="shared" si="365"/>
        <v>748.513841368585</v>
      </c>
      <c r="X607" s="70">
        <f t="shared" si="370"/>
        <v>12.429934681182</v>
      </c>
      <c r="Y607" s="70"/>
      <c r="Z607" s="70"/>
      <c r="AA607" s="70">
        <f t="shared" si="366"/>
        <v>12.429934681182</v>
      </c>
      <c r="AB607" s="80">
        <v>7.24</v>
      </c>
      <c r="AC607" s="68">
        <f t="shared" si="363"/>
        <v>89.9927270917574</v>
      </c>
      <c r="AD607" s="68">
        <f t="shared" si="364"/>
        <v>838.506568460342</v>
      </c>
      <c r="AE607" s="68">
        <f t="shared" si="367"/>
        <v>79.453031539658</v>
      </c>
    </row>
    <row r="608" customFormat="1" spans="1:31">
      <c r="A608" s="18"/>
      <c r="B608" s="19"/>
      <c r="C608" s="20">
        <v>240616000010</v>
      </c>
      <c r="D608" s="21">
        <v>45470</v>
      </c>
      <c r="E608" s="21" t="s">
        <v>41</v>
      </c>
      <c r="F608" s="19" t="s">
        <v>42</v>
      </c>
      <c r="G608" s="19" t="s">
        <v>125</v>
      </c>
      <c r="H608" s="19">
        <v>3.5</v>
      </c>
      <c r="I608" s="42"/>
      <c r="J608" s="46">
        <v>44502.3</v>
      </c>
      <c r="K608" s="40"/>
      <c r="L608" s="47">
        <f t="shared" si="375"/>
        <v>1506</v>
      </c>
      <c r="M608" s="48">
        <v>29.55</v>
      </c>
      <c r="N608" s="41">
        <v>7.24</v>
      </c>
      <c r="O608" s="42">
        <f t="shared" si="376"/>
        <v>213.942</v>
      </c>
      <c r="P608" s="44"/>
      <c r="Q608" s="44"/>
      <c r="R608" s="68">
        <f t="shared" si="368"/>
        <v>163.48701399689</v>
      </c>
      <c r="S608" s="68"/>
      <c r="T608" s="69">
        <f t="shared" si="369"/>
        <v>0.250388802488336</v>
      </c>
      <c r="U608" s="68"/>
      <c r="V608" s="68"/>
      <c r="W608" s="68">
        <f t="shared" si="365"/>
        <v>163.737402799378</v>
      </c>
      <c r="X608" s="70">
        <f t="shared" si="370"/>
        <v>2.71904821150855</v>
      </c>
      <c r="Y608" s="70"/>
      <c r="Z608" s="70"/>
      <c r="AA608" s="70">
        <f t="shared" si="366"/>
        <v>2.71904821150855</v>
      </c>
      <c r="AB608" s="80">
        <v>7.24</v>
      </c>
      <c r="AC608" s="68">
        <f t="shared" si="363"/>
        <v>19.6859090513219</v>
      </c>
      <c r="AD608" s="68">
        <f t="shared" si="364"/>
        <v>183.4233118507</v>
      </c>
      <c r="AE608" s="68">
        <f t="shared" si="367"/>
        <v>30.5186881493</v>
      </c>
    </row>
    <row r="609" customFormat="1" spans="1:31">
      <c r="A609" s="18"/>
      <c r="B609" s="19"/>
      <c r="C609" s="20">
        <v>240616000012</v>
      </c>
      <c r="D609" s="21">
        <v>45470</v>
      </c>
      <c r="E609" s="21" t="s">
        <v>41</v>
      </c>
      <c r="F609" s="19" t="s">
        <v>42</v>
      </c>
      <c r="G609" s="19" t="s">
        <v>247</v>
      </c>
      <c r="H609" s="19">
        <v>6.5</v>
      </c>
      <c r="I609" s="38">
        <v>415</v>
      </c>
      <c r="J609" s="39"/>
      <c r="K609" s="40"/>
      <c r="L609" s="19"/>
      <c r="M609" s="40"/>
      <c r="N609" s="41"/>
      <c r="O609" s="42">
        <f t="shared" ref="O609:O611" si="377">SUM(I609)</f>
        <v>415</v>
      </c>
      <c r="P609" s="44"/>
      <c r="Q609" s="44"/>
      <c r="R609" s="68">
        <f t="shared" si="368"/>
        <v>303.618740279938</v>
      </c>
      <c r="S609" s="68"/>
      <c r="T609" s="69">
        <f t="shared" si="369"/>
        <v>0.465007776049767</v>
      </c>
      <c r="U609" s="68"/>
      <c r="V609" s="68"/>
      <c r="W609" s="68">
        <f t="shared" si="365"/>
        <v>304.083748055988</v>
      </c>
      <c r="X609" s="70">
        <f t="shared" si="370"/>
        <v>5.04966096423017</v>
      </c>
      <c r="Y609" s="70"/>
      <c r="Z609" s="70"/>
      <c r="AA609" s="70">
        <f t="shared" si="366"/>
        <v>5.04966096423017</v>
      </c>
      <c r="AB609" s="80">
        <v>7.24</v>
      </c>
      <c r="AC609" s="68">
        <f t="shared" si="363"/>
        <v>36.5595453810264</v>
      </c>
      <c r="AD609" s="68">
        <f t="shared" si="364"/>
        <v>340.643293437014</v>
      </c>
      <c r="AE609" s="68">
        <f t="shared" si="367"/>
        <v>74.356706562986</v>
      </c>
    </row>
    <row r="610" customFormat="1" spans="1:31">
      <c r="A610" s="18"/>
      <c r="B610" s="19"/>
      <c r="C610" s="20">
        <v>240616000015</v>
      </c>
      <c r="D610" s="21">
        <v>45470</v>
      </c>
      <c r="E610" s="21" t="s">
        <v>44</v>
      </c>
      <c r="F610" s="19" t="s">
        <v>45</v>
      </c>
      <c r="G610" s="19" t="s">
        <v>219</v>
      </c>
      <c r="H610" s="19">
        <v>1.5</v>
      </c>
      <c r="I610" s="38">
        <v>143</v>
      </c>
      <c r="J610" s="39"/>
      <c r="K610" s="40"/>
      <c r="L610" s="19"/>
      <c r="M610" s="40"/>
      <c r="N610" s="41"/>
      <c r="O610" s="42">
        <f t="shared" si="377"/>
        <v>143</v>
      </c>
      <c r="P610" s="44"/>
      <c r="Q610" s="44"/>
      <c r="R610" s="68">
        <f t="shared" si="368"/>
        <v>70.0658631415241</v>
      </c>
      <c r="S610" s="68"/>
      <c r="T610" s="69">
        <f t="shared" si="369"/>
        <v>0.107309486780715</v>
      </c>
      <c r="U610" s="68"/>
      <c r="V610" s="68"/>
      <c r="W610" s="68">
        <f t="shared" si="365"/>
        <v>70.1731726283048</v>
      </c>
      <c r="X610" s="70">
        <f t="shared" si="370"/>
        <v>1.16530637636081</v>
      </c>
      <c r="Y610" s="70"/>
      <c r="Z610" s="70"/>
      <c r="AA610" s="70">
        <f t="shared" si="366"/>
        <v>1.16530637636081</v>
      </c>
      <c r="AB610" s="80">
        <v>7.24</v>
      </c>
      <c r="AC610" s="68">
        <f t="shared" si="363"/>
        <v>8.43681816485225</v>
      </c>
      <c r="AD610" s="68">
        <f t="shared" si="364"/>
        <v>78.6099907931571</v>
      </c>
      <c r="AE610" s="68">
        <f t="shared" si="367"/>
        <v>64.3900092068429</v>
      </c>
    </row>
    <row r="611" customFormat="1" spans="1:31">
      <c r="A611" s="18"/>
      <c r="B611" s="19"/>
      <c r="C611" s="20">
        <v>240616000016</v>
      </c>
      <c r="D611" s="21">
        <v>45470</v>
      </c>
      <c r="E611" s="21" t="s">
        <v>44</v>
      </c>
      <c r="F611" s="19" t="s">
        <v>45</v>
      </c>
      <c r="G611" s="19" t="s">
        <v>117</v>
      </c>
      <c r="H611" s="19">
        <v>2.5</v>
      </c>
      <c r="I611" s="38">
        <v>165</v>
      </c>
      <c r="J611" s="39"/>
      <c r="K611" s="40"/>
      <c r="L611" s="19"/>
      <c r="M611" s="40"/>
      <c r="N611" s="41"/>
      <c r="O611" s="42">
        <f t="shared" si="377"/>
        <v>165</v>
      </c>
      <c r="P611" s="44"/>
      <c r="Q611" s="44"/>
      <c r="R611" s="68">
        <f t="shared" si="368"/>
        <v>116.776438569207</v>
      </c>
      <c r="S611" s="68"/>
      <c r="T611" s="69">
        <f t="shared" si="369"/>
        <v>0.178849144634526</v>
      </c>
      <c r="U611" s="68"/>
      <c r="V611" s="68"/>
      <c r="W611" s="68">
        <f t="shared" si="365"/>
        <v>116.955287713841</v>
      </c>
      <c r="X611" s="70">
        <f t="shared" si="370"/>
        <v>1.94217729393468</v>
      </c>
      <c r="Y611" s="70"/>
      <c r="Z611" s="70"/>
      <c r="AA611" s="70">
        <f t="shared" si="366"/>
        <v>1.94217729393468</v>
      </c>
      <c r="AB611" s="80">
        <v>7.24</v>
      </c>
      <c r="AC611" s="68">
        <f t="shared" si="363"/>
        <v>14.0613636080871</v>
      </c>
      <c r="AD611" s="68">
        <f t="shared" si="364"/>
        <v>131.016651321928</v>
      </c>
      <c r="AE611" s="68">
        <f t="shared" si="367"/>
        <v>33.983348678072</v>
      </c>
    </row>
    <row r="612" customFormat="1" spans="1:31">
      <c r="A612" s="18"/>
      <c r="B612" s="19"/>
      <c r="C612" s="20">
        <v>240617000006</v>
      </c>
      <c r="D612" s="21">
        <v>45470</v>
      </c>
      <c r="E612" s="21" t="s">
        <v>48</v>
      </c>
      <c r="F612" s="19" t="s">
        <v>49</v>
      </c>
      <c r="G612" s="19" t="s">
        <v>80</v>
      </c>
      <c r="H612" s="19">
        <v>7.5</v>
      </c>
      <c r="I612" s="45"/>
      <c r="J612" s="46">
        <v>110662.5</v>
      </c>
      <c r="K612" s="40"/>
      <c r="L612" s="47">
        <f t="shared" ref="L612:L616" si="378">SUM(J612/M612)</f>
        <v>1643.5838407842</v>
      </c>
      <c r="M612" s="48">
        <v>67.33</v>
      </c>
      <c r="N612" s="41">
        <v>7.24</v>
      </c>
      <c r="O612" s="42">
        <f t="shared" ref="O612:O616" si="379">SUM(M612*N612)</f>
        <v>487.4692</v>
      </c>
      <c r="P612" s="44"/>
      <c r="Q612" s="44"/>
      <c r="R612" s="68">
        <f t="shared" si="368"/>
        <v>350.32931570762</v>
      </c>
      <c r="S612" s="68"/>
      <c r="T612" s="69">
        <f t="shared" si="369"/>
        <v>0.536547433903577</v>
      </c>
      <c r="U612" s="68"/>
      <c r="V612" s="68"/>
      <c r="W612" s="68">
        <f t="shared" si="365"/>
        <v>350.865863141524</v>
      </c>
      <c r="X612" s="70">
        <f t="shared" si="370"/>
        <v>5.82653188180404</v>
      </c>
      <c r="Y612" s="70"/>
      <c r="Z612" s="70"/>
      <c r="AA612" s="70">
        <f t="shared" si="366"/>
        <v>5.82653188180404</v>
      </c>
      <c r="AB612" s="80">
        <v>7.24</v>
      </c>
      <c r="AC612" s="68">
        <f t="shared" si="363"/>
        <v>42.1840908242613</v>
      </c>
      <c r="AD612" s="68">
        <f t="shared" si="364"/>
        <v>393.049953965785</v>
      </c>
      <c r="AE612" s="68">
        <f t="shared" si="367"/>
        <v>94.419246034215</v>
      </c>
    </row>
    <row r="613" customFormat="1" spans="1:31">
      <c r="A613" s="18"/>
      <c r="B613" s="19"/>
      <c r="C613" s="81">
        <v>240617000008</v>
      </c>
      <c r="D613" s="82">
        <v>45470</v>
      </c>
      <c r="E613" s="21" t="s">
        <v>48</v>
      </c>
      <c r="F613" s="83" t="s">
        <v>49</v>
      </c>
      <c r="G613" s="83" t="s">
        <v>459</v>
      </c>
      <c r="H613" s="83">
        <v>4</v>
      </c>
      <c r="I613" s="45"/>
      <c r="J613" s="46">
        <v>68087.5</v>
      </c>
      <c r="K613" s="40"/>
      <c r="L613" s="47">
        <f t="shared" si="378"/>
        <v>1517.10115864528</v>
      </c>
      <c r="M613" s="48">
        <v>44.88</v>
      </c>
      <c r="N613" s="41">
        <v>7.24</v>
      </c>
      <c r="O613" s="42">
        <f t="shared" si="379"/>
        <v>324.9312</v>
      </c>
      <c r="P613" s="44"/>
      <c r="Q613" s="44"/>
      <c r="R613" s="68">
        <f t="shared" si="368"/>
        <v>186.842301710731</v>
      </c>
      <c r="S613" s="68"/>
      <c r="T613" s="69">
        <f t="shared" si="369"/>
        <v>0.286158631415241</v>
      </c>
      <c r="U613" s="68"/>
      <c r="V613" s="68"/>
      <c r="W613" s="68">
        <f t="shared" si="365"/>
        <v>187.128460342146</v>
      </c>
      <c r="X613" s="70">
        <f t="shared" si="370"/>
        <v>3.10748367029549</v>
      </c>
      <c r="Y613" s="70"/>
      <c r="Z613" s="70"/>
      <c r="AA613" s="70">
        <f t="shared" si="366"/>
        <v>3.10748367029549</v>
      </c>
      <c r="AB613" s="80">
        <v>7.24</v>
      </c>
      <c r="AC613" s="68">
        <f t="shared" si="363"/>
        <v>22.4981817729393</v>
      </c>
      <c r="AD613" s="68">
        <f t="shared" si="364"/>
        <v>209.626642115086</v>
      </c>
      <c r="AE613" s="68">
        <f t="shared" si="367"/>
        <v>115.304557884914</v>
      </c>
    </row>
    <row r="614" customFormat="1" spans="1:31">
      <c r="A614" s="18"/>
      <c r="B614" s="19"/>
      <c r="C614" s="20">
        <v>240617000011</v>
      </c>
      <c r="D614" s="21">
        <v>45470</v>
      </c>
      <c r="E614" s="21" t="s">
        <v>51</v>
      </c>
      <c r="F614" s="19" t="s">
        <v>52</v>
      </c>
      <c r="G614" s="19" t="s">
        <v>460</v>
      </c>
      <c r="H614" s="19">
        <v>1.5</v>
      </c>
      <c r="I614" s="38">
        <v>130.2</v>
      </c>
      <c r="J614" s="39"/>
      <c r="K614" s="40"/>
      <c r="L614" s="19"/>
      <c r="M614" s="40"/>
      <c r="N614" s="41"/>
      <c r="O614" s="42">
        <f t="shared" ref="O614:O626" si="380">SUM(I614)</f>
        <v>130.2</v>
      </c>
      <c r="P614" s="44"/>
      <c r="Q614" s="44"/>
      <c r="R614" s="68">
        <f t="shared" si="368"/>
        <v>70.0658631415241</v>
      </c>
      <c r="S614" s="68"/>
      <c r="T614" s="69">
        <f t="shared" si="369"/>
        <v>0.107309486780715</v>
      </c>
      <c r="U614" s="68"/>
      <c r="V614" s="68"/>
      <c r="W614" s="68">
        <f t="shared" si="365"/>
        <v>70.1731726283048</v>
      </c>
      <c r="X614" s="70">
        <f t="shared" si="370"/>
        <v>1.16530637636081</v>
      </c>
      <c r="Y614" s="70"/>
      <c r="Z614" s="70"/>
      <c r="AA614" s="70">
        <f t="shared" si="366"/>
        <v>1.16530637636081</v>
      </c>
      <c r="AB614" s="80">
        <v>7.24</v>
      </c>
      <c r="AC614" s="68">
        <f t="shared" si="363"/>
        <v>8.43681816485225</v>
      </c>
      <c r="AD614" s="68">
        <f t="shared" si="364"/>
        <v>78.6099907931571</v>
      </c>
      <c r="AE614" s="68">
        <f t="shared" si="367"/>
        <v>51.5900092068429</v>
      </c>
    </row>
    <row r="615" customFormat="1" spans="1:31">
      <c r="A615" s="18"/>
      <c r="B615" s="19"/>
      <c r="C615" s="20">
        <v>240617000012</v>
      </c>
      <c r="D615" s="21">
        <v>45470</v>
      </c>
      <c r="E615" s="21" t="s">
        <v>48</v>
      </c>
      <c r="F615" s="19" t="s">
        <v>49</v>
      </c>
      <c r="G615" s="19" t="s">
        <v>461</v>
      </c>
      <c r="H615" s="19">
        <v>5</v>
      </c>
      <c r="I615" s="38">
        <v>358.3</v>
      </c>
      <c r="J615" s="39"/>
      <c r="K615" s="40"/>
      <c r="L615" s="19"/>
      <c r="M615" s="40"/>
      <c r="N615" s="41"/>
      <c r="O615" s="42">
        <f t="shared" si="380"/>
        <v>358.3</v>
      </c>
      <c r="P615" s="44"/>
      <c r="Q615" s="44"/>
      <c r="R615" s="68">
        <f t="shared" si="368"/>
        <v>233.552877138414</v>
      </c>
      <c r="S615" s="68"/>
      <c r="T615" s="69">
        <f t="shared" si="369"/>
        <v>0.357698289269051</v>
      </c>
      <c r="U615" s="68"/>
      <c r="V615" s="68"/>
      <c r="W615" s="68">
        <f t="shared" si="365"/>
        <v>233.910575427683</v>
      </c>
      <c r="X615" s="70">
        <f t="shared" si="370"/>
        <v>3.88435458786936</v>
      </c>
      <c r="Y615" s="70"/>
      <c r="Z615" s="70"/>
      <c r="AA615" s="70">
        <f t="shared" si="366"/>
        <v>3.88435458786936</v>
      </c>
      <c r="AB615" s="80">
        <v>7.24</v>
      </c>
      <c r="AC615" s="68">
        <f t="shared" si="363"/>
        <v>28.1227272161742</v>
      </c>
      <c r="AD615" s="68">
        <f t="shared" si="364"/>
        <v>262.033302643857</v>
      </c>
      <c r="AE615" s="68">
        <f t="shared" si="367"/>
        <v>96.266697356143</v>
      </c>
    </row>
    <row r="616" customFormat="1" spans="1:31">
      <c r="A616" s="18"/>
      <c r="B616" s="19"/>
      <c r="C616" s="20">
        <v>240617000016</v>
      </c>
      <c r="D616" s="21">
        <v>45470</v>
      </c>
      <c r="E616" s="21" t="s">
        <v>48</v>
      </c>
      <c r="F616" s="19" t="s">
        <v>49</v>
      </c>
      <c r="G616" s="19" t="s">
        <v>462</v>
      </c>
      <c r="H616" s="19">
        <v>28.5</v>
      </c>
      <c r="I616" s="45"/>
      <c r="J616" s="46">
        <v>389340</v>
      </c>
      <c r="K616" s="40"/>
      <c r="L616" s="47">
        <f t="shared" si="378"/>
        <v>1520.44362869528</v>
      </c>
      <c r="M616" s="48">
        <v>256.07</v>
      </c>
      <c r="N616" s="41">
        <v>7.24</v>
      </c>
      <c r="O616" s="42">
        <f t="shared" si="379"/>
        <v>1853.9468</v>
      </c>
      <c r="P616" s="44"/>
      <c r="Q616" s="44"/>
      <c r="R616" s="68">
        <f t="shared" si="368"/>
        <v>1331.25139968896</v>
      </c>
      <c r="S616" s="68"/>
      <c r="T616" s="69">
        <f t="shared" si="369"/>
        <v>2.03888024883359</v>
      </c>
      <c r="U616" s="68"/>
      <c r="V616" s="69">
        <v>30</v>
      </c>
      <c r="W616" s="68">
        <f t="shared" si="365"/>
        <v>1363.29027993779</v>
      </c>
      <c r="X616" s="70">
        <f t="shared" si="370"/>
        <v>22.1408211508554</v>
      </c>
      <c r="Y616" s="70"/>
      <c r="Z616" s="70"/>
      <c r="AA616" s="70">
        <f t="shared" si="366"/>
        <v>22.1408211508554</v>
      </c>
      <c r="AB616" s="80">
        <v>7.24</v>
      </c>
      <c r="AC616" s="68">
        <f t="shared" si="363"/>
        <v>160.299545132193</v>
      </c>
      <c r="AD616" s="68">
        <f t="shared" si="364"/>
        <v>1523.58982506998</v>
      </c>
      <c r="AE616" s="68">
        <f t="shared" si="367"/>
        <v>330.35697493002</v>
      </c>
    </row>
    <row r="617" customFormat="1" spans="1:31">
      <c r="A617" s="18"/>
      <c r="B617" s="19"/>
      <c r="C617" s="20">
        <v>240617000017</v>
      </c>
      <c r="D617" s="21">
        <v>45470</v>
      </c>
      <c r="E617" s="21" t="s">
        <v>48</v>
      </c>
      <c r="F617" s="19" t="s">
        <v>49</v>
      </c>
      <c r="G617" s="19" t="s">
        <v>142</v>
      </c>
      <c r="H617" s="19">
        <v>2</v>
      </c>
      <c r="I617" s="38">
        <v>150</v>
      </c>
      <c r="J617" s="39"/>
      <c r="K617" s="40"/>
      <c r="L617" s="19"/>
      <c r="M617" s="40"/>
      <c r="N617" s="41"/>
      <c r="O617" s="42">
        <f t="shared" si="380"/>
        <v>150</v>
      </c>
      <c r="P617" s="44"/>
      <c r="Q617" s="44"/>
      <c r="R617" s="68">
        <f t="shared" si="368"/>
        <v>93.4211508553655</v>
      </c>
      <c r="S617" s="68"/>
      <c r="T617" s="69">
        <f t="shared" si="369"/>
        <v>0.143079315707621</v>
      </c>
      <c r="U617" s="68"/>
      <c r="V617" s="68"/>
      <c r="W617" s="68">
        <f t="shared" si="365"/>
        <v>93.5642301710731</v>
      </c>
      <c r="X617" s="70">
        <f t="shared" si="370"/>
        <v>1.55374183514774</v>
      </c>
      <c r="Y617" s="70"/>
      <c r="Z617" s="70"/>
      <c r="AA617" s="70">
        <f t="shared" si="366"/>
        <v>1.55374183514774</v>
      </c>
      <c r="AB617" s="80">
        <v>7.24</v>
      </c>
      <c r="AC617" s="68">
        <f t="shared" si="363"/>
        <v>11.2490908864697</v>
      </c>
      <c r="AD617" s="68">
        <f t="shared" si="364"/>
        <v>104.813321057543</v>
      </c>
      <c r="AE617" s="68">
        <f t="shared" si="367"/>
        <v>45.186678942457</v>
      </c>
    </row>
    <row r="618" customFormat="1" spans="1:31">
      <c r="A618" s="18"/>
      <c r="B618" s="19"/>
      <c r="C618" s="20">
        <v>240617000019</v>
      </c>
      <c r="D618" s="21">
        <v>45470</v>
      </c>
      <c r="E618" s="21" t="s">
        <v>51</v>
      </c>
      <c r="F618" s="19" t="s">
        <v>52</v>
      </c>
      <c r="G618" s="19" t="s">
        <v>463</v>
      </c>
      <c r="H618" s="19">
        <v>5.5</v>
      </c>
      <c r="I618" s="38">
        <v>402.6</v>
      </c>
      <c r="J618" s="39"/>
      <c r="K618" s="40"/>
      <c r="L618" s="19"/>
      <c r="M618" s="40"/>
      <c r="N618" s="41"/>
      <c r="O618" s="42">
        <f t="shared" si="380"/>
        <v>402.6</v>
      </c>
      <c r="P618" s="44"/>
      <c r="Q618" s="44"/>
      <c r="R618" s="68">
        <f t="shared" si="368"/>
        <v>256.908164852255</v>
      </c>
      <c r="S618" s="68"/>
      <c r="T618" s="69">
        <f t="shared" si="369"/>
        <v>0.393468118195956</v>
      </c>
      <c r="U618" s="68"/>
      <c r="V618" s="68"/>
      <c r="W618" s="68">
        <f t="shared" si="365"/>
        <v>257.301632970451</v>
      </c>
      <c r="X618" s="70">
        <f t="shared" si="370"/>
        <v>4.2727900466563</v>
      </c>
      <c r="Y618" s="70"/>
      <c r="Z618" s="70"/>
      <c r="AA618" s="70">
        <f t="shared" si="366"/>
        <v>4.2727900466563</v>
      </c>
      <c r="AB618" s="80">
        <v>7.24</v>
      </c>
      <c r="AC618" s="68">
        <f t="shared" si="363"/>
        <v>30.9349999377916</v>
      </c>
      <c r="AD618" s="68">
        <f t="shared" si="364"/>
        <v>288.236632908243</v>
      </c>
      <c r="AE618" s="68">
        <f t="shared" si="367"/>
        <v>114.363367091757</v>
      </c>
    </row>
    <row r="619" customFormat="1" spans="1:31">
      <c r="A619" s="18"/>
      <c r="B619" s="19"/>
      <c r="C619" s="20">
        <v>240617000020</v>
      </c>
      <c r="D619" s="21">
        <v>45470</v>
      </c>
      <c r="E619" s="21" t="s">
        <v>48</v>
      </c>
      <c r="F619" s="19" t="s">
        <v>49</v>
      </c>
      <c r="G619" s="19" t="s">
        <v>464</v>
      </c>
      <c r="H619" s="19">
        <v>10</v>
      </c>
      <c r="I619" s="38">
        <v>630</v>
      </c>
      <c r="J619" s="39"/>
      <c r="K619" s="40"/>
      <c r="L619" s="19"/>
      <c r="M619" s="40"/>
      <c r="N619" s="41"/>
      <c r="O619" s="42">
        <f t="shared" si="380"/>
        <v>630</v>
      </c>
      <c r="P619" s="44"/>
      <c r="Q619" s="44"/>
      <c r="R619" s="68">
        <f t="shared" si="368"/>
        <v>467.105754276827</v>
      </c>
      <c r="S619" s="68"/>
      <c r="T619" s="69">
        <f t="shared" si="369"/>
        <v>0.715396578538103</v>
      </c>
      <c r="U619" s="68"/>
      <c r="V619" s="68"/>
      <c r="W619" s="68">
        <f t="shared" si="365"/>
        <v>467.821150855365</v>
      </c>
      <c r="X619" s="70">
        <f t="shared" si="370"/>
        <v>7.76870917573872</v>
      </c>
      <c r="Y619" s="70"/>
      <c r="Z619" s="70"/>
      <c r="AA619" s="70">
        <f t="shared" si="366"/>
        <v>7.76870917573872</v>
      </c>
      <c r="AB619" s="80">
        <v>7.24</v>
      </c>
      <c r="AC619" s="68">
        <f t="shared" ref="AC619:AC660" si="381">SUM(AA619*AB619)</f>
        <v>56.2454544323484</v>
      </c>
      <c r="AD619" s="68">
        <f t="shared" ref="AD619:AD660" si="382">SUM(W619+AC619)</f>
        <v>524.066605287714</v>
      </c>
      <c r="AE619" s="68">
        <f t="shared" si="367"/>
        <v>105.933394712286</v>
      </c>
    </row>
    <row r="620" customFormat="1" spans="1:31">
      <c r="A620" s="18"/>
      <c r="B620" s="19"/>
      <c r="C620" s="20">
        <v>240617000025</v>
      </c>
      <c r="D620" s="21">
        <v>45470</v>
      </c>
      <c r="E620" s="21" t="s">
        <v>48</v>
      </c>
      <c r="F620" s="19" t="s">
        <v>49</v>
      </c>
      <c r="G620" s="19" t="s">
        <v>334</v>
      </c>
      <c r="H620" s="19">
        <v>2.5</v>
      </c>
      <c r="I620" s="45"/>
      <c r="J620" s="46">
        <v>35258.85</v>
      </c>
      <c r="K620" s="40"/>
      <c r="L620" s="47">
        <f>SUM(J620/M620)</f>
        <v>1517.16222030981</v>
      </c>
      <c r="M620" s="48">
        <v>23.24</v>
      </c>
      <c r="N620" s="97">
        <v>7.24</v>
      </c>
      <c r="O620" s="42">
        <f>SUM(M620*N620)</f>
        <v>168.2576</v>
      </c>
      <c r="P620" s="44"/>
      <c r="Q620" s="44"/>
      <c r="R620" s="68">
        <f t="shared" si="368"/>
        <v>116.776438569207</v>
      </c>
      <c r="S620" s="68"/>
      <c r="T620" s="69">
        <f t="shared" si="369"/>
        <v>0.178849144634526</v>
      </c>
      <c r="U620" s="68"/>
      <c r="V620" s="68"/>
      <c r="W620" s="68">
        <f t="shared" ref="W620:W660" si="383">SUM(R620:V620)</f>
        <v>116.955287713841</v>
      </c>
      <c r="X620" s="70">
        <f t="shared" si="370"/>
        <v>1.94217729393468</v>
      </c>
      <c r="Y620" s="70"/>
      <c r="Z620" s="70"/>
      <c r="AA620" s="70">
        <f t="shared" si="366"/>
        <v>1.94217729393468</v>
      </c>
      <c r="AB620" s="80">
        <v>7.24</v>
      </c>
      <c r="AC620" s="68">
        <f t="shared" si="381"/>
        <v>14.0613636080871</v>
      </c>
      <c r="AD620" s="68">
        <f t="shared" si="382"/>
        <v>131.016651321928</v>
      </c>
      <c r="AE620" s="68">
        <f t="shared" si="367"/>
        <v>37.240948678072</v>
      </c>
    </row>
    <row r="621" customFormat="1" spans="1:31">
      <c r="A621" s="18"/>
      <c r="B621" s="19"/>
      <c r="C621" s="20">
        <v>240617000033</v>
      </c>
      <c r="D621" s="21">
        <v>45470</v>
      </c>
      <c r="E621" s="21" t="s">
        <v>44</v>
      </c>
      <c r="F621" s="19" t="s">
        <v>45</v>
      </c>
      <c r="G621" s="19" t="s">
        <v>306</v>
      </c>
      <c r="H621" s="19">
        <v>6.5</v>
      </c>
      <c r="I621" s="38">
        <v>457</v>
      </c>
      <c r="J621" s="39"/>
      <c r="K621" s="40"/>
      <c r="L621" s="19"/>
      <c r="M621" s="40"/>
      <c r="N621" s="41"/>
      <c r="O621" s="42">
        <f t="shared" si="380"/>
        <v>457</v>
      </c>
      <c r="P621" s="44"/>
      <c r="Q621" s="44"/>
      <c r="R621" s="68">
        <f t="shared" si="368"/>
        <v>303.618740279938</v>
      </c>
      <c r="S621" s="68"/>
      <c r="T621" s="69">
        <f t="shared" si="369"/>
        <v>0.465007776049767</v>
      </c>
      <c r="U621" s="68"/>
      <c r="V621" s="68"/>
      <c r="W621" s="68">
        <f t="shared" si="383"/>
        <v>304.083748055988</v>
      </c>
      <c r="X621" s="70">
        <f t="shared" si="370"/>
        <v>5.04966096423017</v>
      </c>
      <c r="Y621" s="70"/>
      <c r="Z621" s="70"/>
      <c r="AA621" s="70">
        <f t="shared" ref="AA621:AA660" si="384">SUM(X621:Z621)</f>
        <v>5.04966096423017</v>
      </c>
      <c r="AB621" s="80">
        <v>7.24</v>
      </c>
      <c r="AC621" s="68">
        <f t="shared" si="381"/>
        <v>36.5595453810264</v>
      </c>
      <c r="AD621" s="68">
        <f t="shared" si="382"/>
        <v>340.643293437014</v>
      </c>
      <c r="AE621" s="68">
        <f t="shared" ref="AE621:AE660" si="385">SUM(O621-AD621)</f>
        <v>116.356706562986</v>
      </c>
    </row>
    <row r="622" customFormat="1" spans="1:31">
      <c r="A622" s="18"/>
      <c r="B622" s="19"/>
      <c r="C622" s="20">
        <v>240617000036</v>
      </c>
      <c r="D622" s="21">
        <v>45470</v>
      </c>
      <c r="E622" s="21" t="s">
        <v>48</v>
      </c>
      <c r="F622" s="19" t="s">
        <v>49</v>
      </c>
      <c r="G622" s="19" t="s">
        <v>465</v>
      </c>
      <c r="H622" s="19">
        <v>0.78</v>
      </c>
      <c r="I622" s="38">
        <v>85.9</v>
      </c>
      <c r="J622" s="39"/>
      <c r="K622" s="40"/>
      <c r="L622" s="19"/>
      <c r="M622" s="40"/>
      <c r="N622" s="41"/>
      <c r="O622" s="42">
        <f t="shared" si="380"/>
        <v>85.9</v>
      </c>
      <c r="P622" s="44"/>
      <c r="Q622" s="44"/>
      <c r="R622" s="68">
        <f t="shared" si="368"/>
        <v>36.4342488335925</v>
      </c>
      <c r="S622" s="68"/>
      <c r="T622" s="69">
        <f t="shared" si="369"/>
        <v>0.055800933125972</v>
      </c>
      <c r="U622" s="68"/>
      <c r="V622" s="68"/>
      <c r="W622" s="68">
        <f t="shared" si="383"/>
        <v>36.4900497667185</v>
      </c>
      <c r="X622" s="70">
        <f t="shared" si="370"/>
        <v>0.605959315707621</v>
      </c>
      <c r="Y622" s="70"/>
      <c r="Z622" s="70"/>
      <c r="AA622" s="70">
        <f t="shared" si="384"/>
        <v>0.605959315707621</v>
      </c>
      <c r="AB622" s="80">
        <v>7.24</v>
      </c>
      <c r="AC622" s="68">
        <f t="shared" si="381"/>
        <v>4.38714544572317</v>
      </c>
      <c r="AD622" s="68">
        <f t="shared" si="382"/>
        <v>40.8771952124417</v>
      </c>
      <c r="AE622" s="68">
        <f t="shared" si="385"/>
        <v>45.0228047875583</v>
      </c>
    </row>
    <row r="623" customFormat="1" spans="1:31">
      <c r="A623" s="18"/>
      <c r="B623" s="19"/>
      <c r="C623" s="20">
        <v>240617000040</v>
      </c>
      <c r="D623" s="21">
        <v>45470</v>
      </c>
      <c r="E623" s="21" t="s">
        <v>37</v>
      </c>
      <c r="F623" s="19" t="s">
        <v>37</v>
      </c>
      <c r="G623" s="19" t="s">
        <v>169</v>
      </c>
      <c r="H623" s="19">
        <v>0.6</v>
      </c>
      <c r="I623" s="38">
        <v>88.2</v>
      </c>
      <c r="J623" s="39"/>
      <c r="K623" s="40"/>
      <c r="L623" s="19"/>
      <c r="M623" s="40"/>
      <c r="N623" s="41"/>
      <c r="O623" s="42">
        <f t="shared" si="380"/>
        <v>88.2</v>
      </c>
      <c r="P623" s="44"/>
      <c r="Q623" s="44"/>
      <c r="R623" s="68">
        <f t="shared" ref="R623:R661" si="386">SUM(150174.5/3215)*H623</f>
        <v>28.0263452566096</v>
      </c>
      <c r="S623" s="68"/>
      <c r="T623" s="69">
        <f t="shared" ref="T623:T661" si="387">SUM(230/3215)*H623</f>
        <v>0.0429237947122862</v>
      </c>
      <c r="U623" s="68"/>
      <c r="V623" s="68"/>
      <c r="W623" s="68">
        <f t="shared" si="383"/>
        <v>28.0692690513219</v>
      </c>
      <c r="X623" s="70">
        <f t="shared" ref="X623:X661" si="388">SUM(2497.64/3215)*H623</f>
        <v>0.466122550544323</v>
      </c>
      <c r="Y623" s="70"/>
      <c r="Z623" s="70"/>
      <c r="AA623" s="70">
        <f t="shared" si="384"/>
        <v>0.466122550544323</v>
      </c>
      <c r="AB623" s="80">
        <v>7.24</v>
      </c>
      <c r="AC623" s="68">
        <f t="shared" si="381"/>
        <v>3.3747272659409</v>
      </c>
      <c r="AD623" s="68">
        <f t="shared" si="382"/>
        <v>31.4439963172628</v>
      </c>
      <c r="AE623" s="68">
        <f t="shared" si="385"/>
        <v>56.7560036827372</v>
      </c>
    </row>
    <row r="624" customFormat="1" spans="1:31">
      <c r="A624" s="18"/>
      <c r="B624" s="19"/>
      <c r="C624" s="20">
        <v>240617000041</v>
      </c>
      <c r="D624" s="21">
        <v>45470</v>
      </c>
      <c r="E624" s="21" t="s">
        <v>51</v>
      </c>
      <c r="F624" s="19" t="s">
        <v>52</v>
      </c>
      <c r="G624" s="19" t="s">
        <v>70</v>
      </c>
      <c r="H624" s="19">
        <v>12.5</v>
      </c>
      <c r="I624" s="38">
        <v>1143</v>
      </c>
      <c r="J624" s="39"/>
      <c r="K624" s="40"/>
      <c r="L624" s="19"/>
      <c r="M624" s="40"/>
      <c r="N624" s="41"/>
      <c r="O624" s="42">
        <f t="shared" si="380"/>
        <v>1143</v>
      </c>
      <c r="P624" s="44"/>
      <c r="Q624" s="44"/>
      <c r="R624" s="68">
        <f t="shared" si="386"/>
        <v>583.882192846034</v>
      </c>
      <c r="S624" s="68"/>
      <c r="T624" s="69">
        <f t="shared" si="387"/>
        <v>0.894245723172628</v>
      </c>
      <c r="U624" s="68"/>
      <c r="V624" s="68"/>
      <c r="W624" s="68">
        <f t="shared" si="383"/>
        <v>584.776438569207</v>
      </c>
      <c r="X624" s="70">
        <f t="shared" si="388"/>
        <v>9.7108864696734</v>
      </c>
      <c r="Y624" s="70"/>
      <c r="Z624" s="70"/>
      <c r="AA624" s="70">
        <f t="shared" si="384"/>
        <v>9.7108864696734</v>
      </c>
      <c r="AB624" s="80">
        <v>7.24</v>
      </c>
      <c r="AC624" s="68">
        <f t="shared" si="381"/>
        <v>70.3068180404354</v>
      </c>
      <c r="AD624" s="68">
        <f t="shared" si="382"/>
        <v>655.083256609642</v>
      </c>
      <c r="AE624" s="68">
        <f t="shared" si="385"/>
        <v>487.916743390358</v>
      </c>
    </row>
    <row r="625" customFormat="1" spans="1:31">
      <c r="A625" s="18"/>
      <c r="B625" s="19"/>
      <c r="C625" s="20">
        <v>240617000044</v>
      </c>
      <c r="D625" s="21">
        <v>45470</v>
      </c>
      <c r="E625" s="21" t="s">
        <v>48</v>
      </c>
      <c r="F625" s="19" t="s">
        <v>49</v>
      </c>
      <c r="G625" s="19" t="s">
        <v>153</v>
      </c>
      <c r="H625" s="19">
        <v>12.5</v>
      </c>
      <c r="I625" s="38">
        <v>725</v>
      </c>
      <c r="J625" s="39"/>
      <c r="K625" s="40"/>
      <c r="L625" s="19"/>
      <c r="M625" s="40"/>
      <c r="N625" s="41"/>
      <c r="O625" s="42">
        <f t="shared" si="380"/>
        <v>725</v>
      </c>
      <c r="P625" s="44"/>
      <c r="Q625" s="44"/>
      <c r="R625" s="68">
        <f t="shared" si="386"/>
        <v>583.882192846034</v>
      </c>
      <c r="S625" s="68"/>
      <c r="T625" s="69">
        <f t="shared" si="387"/>
        <v>0.894245723172628</v>
      </c>
      <c r="U625" s="68"/>
      <c r="V625" s="68"/>
      <c r="W625" s="68">
        <f t="shared" si="383"/>
        <v>584.776438569207</v>
      </c>
      <c r="X625" s="70">
        <f t="shared" si="388"/>
        <v>9.7108864696734</v>
      </c>
      <c r="Y625" s="70"/>
      <c r="Z625" s="70"/>
      <c r="AA625" s="70">
        <f t="shared" si="384"/>
        <v>9.7108864696734</v>
      </c>
      <c r="AB625" s="80">
        <v>7.24</v>
      </c>
      <c r="AC625" s="68">
        <f t="shared" si="381"/>
        <v>70.3068180404354</v>
      </c>
      <c r="AD625" s="68">
        <f t="shared" si="382"/>
        <v>655.083256609642</v>
      </c>
      <c r="AE625" s="68">
        <f t="shared" si="385"/>
        <v>69.9167433903577</v>
      </c>
    </row>
    <row r="626" customFormat="1" spans="1:31">
      <c r="A626" s="18"/>
      <c r="B626" s="19"/>
      <c r="C626" s="20">
        <v>240617000045</v>
      </c>
      <c r="D626" s="21">
        <v>45470</v>
      </c>
      <c r="E626" s="21" t="s">
        <v>48</v>
      </c>
      <c r="F626" s="19" t="s">
        <v>49</v>
      </c>
      <c r="G626" s="19" t="s">
        <v>153</v>
      </c>
      <c r="H626" s="19">
        <v>9.5</v>
      </c>
      <c r="I626" s="38">
        <v>522</v>
      </c>
      <c r="J626" s="39"/>
      <c r="K626" s="40"/>
      <c r="L626" s="19"/>
      <c r="M626" s="40"/>
      <c r="N626" s="41"/>
      <c r="O626" s="42">
        <f t="shared" si="380"/>
        <v>522</v>
      </c>
      <c r="P626" s="44"/>
      <c r="Q626" s="44"/>
      <c r="R626" s="68">
        <f t="shared" si="386"/>
        <v>443.750466562986</v>
      </c>
      <c r="S626" s="68"/>
      <c r="T626" s="69">
        <f t="shared" si="387"/>
        <v>0.679626749611198</v>
      </c>
      <c r="U626" s="68"/>
      <c r="V626" s="68"/>
      <c r="W626" s="68">
        <f t="shared" si="383"/>
        <v>444.430093312597</v>
      </c>
      <c r="X626" s="70">
        <f t="shared" si="388"/>
        <v>7.38027371695179</v>
      </c>
      <c r="Y626" s="70"/>
      <c r="Z626" s="70"/>
      <c r="AA626" s="70">
        <f t="shared" si="384"/>
        <v>7.38027371695179</v>
      </c>
      <c r="AB626" s="80">
        <v>7.24</v>
      </c>
      <c r="AC626" s="68">
        <f t="shared" si="381"/>
        <v>53.4331817107309</v>
      </c>
      <c r="AD626" s="68">
        <f t="shared" si="382"/>
        <v>497.863275023328</v>
      </c>
      <c r="AE626" s="68">
        <f t="shared" si="385"/>
        <v>24.1367249766719</v>
      </c>
    </row>
    <row r="627" customFormat="1" spans="1:31">
      <c r="A627" s="18"/>
      <c r="B627" s="19"/>
      <c r="C627" s="20">
        <v>240617000046</v>
      </c>
      <c r="D627" s="21">
        <v>45470</v>
      </c>
      <c r="E627" s="21" t="s">
        <v>48</v>
      </c>
      <c r="F627" s="19" t="s">
        <v>49</v>
      </c>
      <c r="G627" s="19" t="s">
        <v>80</v>
      </c>
      <c r="H627" s="19">
        <v>2.5</v>
      </c>
      <c r="I627" s="45"/>
      <c r="J627" s="46">
        <v>36887.5</v>
      </c>
      <c r="K627" s="40"/>
      <c r="L627" s="47">
        <f>SUM(J627/M627)</f>
        <v>1643.82798573975</v>
      </c>
      <c r="M627" s="48">
        <v>22.44</v>
      </c>
      <c r="N627" s="41">
        <v>7.24</v>
      </c>
      <c r="O627" s="42">
        <f t="shared" ref="O627:O631" si="389">SUM(M627*N627)</f>
        <v>162.4656</v>
      </c>
      <c r="P627" s="44"/>
      <c r="Q627" s="44"/>
      <c r="R627" s="68">
        <f t="shared" si="386"/>
        <v>116.776438569207</v>
      </c>
      <c r="S627" s="68"/>
      <c r="T627" s="69">
        <f t="shared" si="387"/>
        <v>0.178849144634526</v>
      </c>
      <c r="U627" s="68"/>
      <c r="V627" s="68"/>
      <c r="W627" s="68">
        <f t="shared" si="383"/>
        <v>116.955287713841</v>
      </c>
      <c r="X627" s="70">
        <f t="shared" si="388"/>
        <v>1.94217729393468</v>
      </c>
      <c r="Y627" s="70"/>
      <c r="Z627" s="70"/>
      <c r="AA627" s="70">
        <f t="shared" si="384"/>
        <v>1.94217729393468</v>
      </c>
      <c r="AB627" s="80">
        <v>7.24</v>
      </c>
      <c r="AC627" s="68">
        <f t="shared" si="381"/>
        <v>14.0613636080871</v>
      </c>
      <c r="AD627" s="68">
        <f t="shared" si="382"/>
        <v>131.016651321928</v>
      </c>
      <c r="AE627" s="68">
        <f t="shared" si="385"/>
        <v>31.4489486780715</v>
      </c>
    </row>
    <row r="628" customFormat="1" spans="1:31">
      <c r="A628" s="18"/>
      <c r="B628" s="19"/>
      <c r="C628" s="20">
        <v>240617000049</v>
      </c>
      <c r="D628" s="21">
        <v>45470</v>
      </c>
      <c r="E628" s="21" t="s">
        <v>44</v>
      </c>
      <c r="F628" s="19" t="s">
        <v>45</v>
      </c>
      <c r="G628" s="19" t="s">
        <v>62</v>
      </c>
      <c r="H628" s="19">
        <v>32.5</v>
      </c>
      <c r="I628" s="42"/>
      <c r="J628" s="46">
        <v>444177.6</v>
      </c>
      <c r="K628" s="40"/>
      <c r="L628" s="47">
        <f>SUM(J628/M628)</f>
        <v>1640</v>
      </c>
      <c r="M628" s="48">
        <v>270.84</v>
      </c>
      <c r="N628" s="41">
        <v>7.24</v>
      </c>
      <c r="O628" s="42">
        <f t="shared" si="389"/>
        <v>1960.8816</v>
      </c>
      <c r="P628" s="44"/>
      <c r="Q628" s="44"/>
      <c r="R628" s="68">
        <f t="shared" si="386"/>
        <v>1518.09370139969</v>
      </c>
      <c r="S628" s="68"/>
      <c r="T628" s="69">
        <f t="shared" si="387"/>
        <v>2.32503888024883</v>
      </c>
      <c r="U628" s="68"/>
      <c r="V628" s="68"/>
      <c r="W628" s="68">
        <f t="shared" si="383"/>
        <v>1520.41874027994</v>
      </c>
      <c r="X628" s="70">
        <f t="shared" si="388"/>
        <v>25.2483048211509</v>
      </c>
      <c r="Y628" s="70"/>
      <c r="Z628" s="70"/>
      <c r="AA628" s="70">
        <f t="shared" si="384"/>
        <v>25.2483048211509</v>
      </c>
      <c r="AB628" s="80">
        <v>7.24</v>
      </c>
      <c r="AC628" s="68">
        <f t="shared" si="381"/>
        <v>182.797726905132</v>
      </c>
      <c r="AD628" s="68">
        <f t="shared" si="382"/>
        <v>1703.21646718507</v>
      </c>
      <c r="AE628" s="68">
        <f t="shared" si="385"/>
        <v>257.66513281493</v>
      </c>
    </row>
    <row r="629" customFormat="1" spans="1:31">
      <c r="A629" s="18"/>
      <c r="B629" s="19"/>
      <c r="C629" s="20">
        <v>240617000050</v>
      </c>
      <c r="D629" s="21">
        <v>45470</v>
      </c>
      <c r="E629" s="21" t="s">
        <v>85</v>
      </c>
      <c r="F629" s="19" t="s">
        <v>86</v>
      </c>
      <c r="G629" s="19" t="s">
        <v>131</v>
      </c>
      <c r="H629" s="19">
        <v>13.5</v>
      </c>
      <c r="I629" s="38">
        <v>825.5</v>
      </c>
      <c r="J629" s="39"/>
      <c r="K629" s="40"/>
      <c r="L629" s="19"/>
      <c r="M629" s="40"/>
      <c r="N629" s="41"/>
      <c r="O629" s="42">
        <f t="shared" ref="O629:O634" si="390">SUM(I629)</f>
        <v>825.5</v>
      </c>
      <c r="P629" s="44"/>
      <c r="Q629" s="44"/>
      <c r="R629" s="68">
        <f t="shared" si="386"/>
        <v>630.592768273717</v>
      </c>
      <c r="S629" s="68"/>
      <c r="T629" s="69">
        <f t="shared" si="387"/>
        <v>0.965785381026439</v>
      </c>
      <c r="U629" s="68"/>
      <c r="V629" s="68"/>
      <c r="W629" s="68">
        <f t="shared" si="383"/>
        <v>631.558553654743</v>
      </c>
      <c r="X629" s="70">
        <f t="shared" si="388"/>
        <v>10.4877573872473</v>
      </c>
      <c r="Y629" s="70"/>
      <c r="Z629" s="70"/>
      <c r="AA629" s="70">
        <f t="shared" si="384"/>
        <v>10.4877573872473</v>
      </c>
      <c r="AB629" s="80">
        <v>7.24</v>
      </c>
      <c r="AC629" s="68">
        <f t="shared" si="381"/>
        <v>75.9313634836703</v>
      </c>
      <c r="AD629" s="68">
        <f t="shared" si="382"/>
        <v>707.489917138414</v>
      </c>
      <c r="AE629" s="68">
        <f t="shared" si="385"/>
        <v>118.010082861586</v>
      </c>
    </row>
    <row r="630" customFormat="1" spans="1:31">
      <c r="A630" s="18"/>
      <c r="B630" s="19"/>
      <c r="C630" s="20">
        <v>240618000002</v>
      </c>
      <c r="D630" s="21">
        <v>45470</v>
      </c>
      <c r="E630" s="21" t="s">
        <v>48</v>
      </c>
      <c r="F630" s="19" t="s">
        <v>49</v>
      </c>
      <c r="G630" s="19" t="s">
        <v>323</v>
      </c>
      <c r="H630" s="19">
        <v>4.5</v>
      </c>
      <c r="I630" s="38">
        <v>300.3</v>
      </c>
      <c r="J630" s="39"/>
      <c r="K630" s="40"/>
      <c r="L630" s="19"/>
      <c r="M630" s="40"/>
      <c r="N630" s="41"/>
      <c r="O630" s="42">
        <f t="shared" si="390"/>
        <v>300.3</v>
      </c>
      <c r="P630" s="44"/>
      <c r="Q630" s="44"/>
      <c r="R630" s="68">
        <f t="shared" si="386"/>
        <v>210.197589424572</v>
      </c>
      <c r="S630" s="68"/>
      <c r="T630" s="69">
        <f t="shared" si="387"/>
        <v>0.321928460342146</v>
      </c>
      <c r="U630" s="68"/>
      <c r="V630" s="68"/>
      <c r="W630" s="68">
        <f t="shared" si="383"/>
        <v>210.519517884914</v>
      </c>
      <c r="X630" s="70">
        <f t="shared" si="388"/>
        <v>3.49591912908243</v>
      </c>
      <c r="Y630" s="70"/>
      <c r="Z630" s="70"/>
      <c r="AA630" s="70">
        <f t="shared" si="384"/>
        <v>3.49591912908243</v>
      </c>
      <c r="AB630" s="80">
        <v>7.24</v>
      </c>
      <c r="AC630" s="68">
        <f t="shared" si="381"/>
        <v>25.3104544945568</v>
      </c>
      <c r="AD630" s="68">
        <f t="shared" si="382"/>
        <v>235.829972379471</v>
      </c>
      <c r="AE630" s="68">
        <f t="shared" si="385"/>
        <v>64.4700276205288</v>
      </c>
    </row>
    <row r="631" customFormat="1" spans="1:31">
      <c r="A631" s="18"/>
      <c r="B631" s="19"/>
      <c r="C631" s="20">
        <v>240618000005</v>
      </c>
      <c r="D631" s="21">
        <v>45470</v>
      </c>
      <c r="E631" s="21" t="s">
        <v>48</v>
      </c>
      <c r="F631" s="19" t="s">
        <v>49</v>
      </c>
      <c r="G631" s="19" t="s">
        <v>466</v>
      </c>
      <c r="H631" s="19">
        <v>40</v>
      </c>
      <c r="I631" s="45"/>
      <c r="J631" s="46">
        <v>546000</v>
      </c>
      <c r="K631" s="40"/>
      <c r="L631" s="47">
        <f>SUM(J631/M631)</f>
        <v>1520.42549636602</v>
      </c>
      <c r="M631" s="48">
        <v>359.11</v>
      </c>
      <c r="N631" s="41">
        <v>7.24</v>
      </c>
      <c r="O631" s="42">
        <f t="shared" si="389"/>
        <v>2599.9564</v>
      </c>
      <c r="P631" s="44"/>
      <c r="Q631" s="44"/>
      <c r="R631" s="68">
        <f t="shared" si="386"/>
        <v>1868.42301710731</v>
      </c>
      <c r="S631" s="68"/>
      <c r="T631" s="69">
        <f t="shared" si="387"/>
        <v>2.86158631415241</v>
      </c>
      <c r="U631" s="68"/>
      <c r="V631" s="68"/>
      <c r="W631" s="68">
        <f t="shared" si="383"/>
        <v>1871.28460342146</v>
      </c>
      <c r="X631" s="70">
        <f t="shared" si="388"/>
        <v>31.0748367029549</v>
      </c>
      <c r="Y631" s="70"/>
      <c r="Z631" s="70"/>
      <c r="AA631" s="70">
        <f t="shared" si="384"/>
        <v>31.0748367029549</v>
      </c>
      <c r="AB631" s="80">
        <v>7.24</v>
      </c>
      <c r="AC631" s="68">
        <f t="shared" si="381"/>
        <v>224.981817729393</v>
      </c>
      <c r="AD631" s="68">
        <f t="shared" si="382"/>
        <v>2096.26642115086</v>
      </c>
      <c r="AE631" s="68">
        <f t="shared" si="385"/>
        <v>503.689978849145</v>
      </c>
    </row>
    <row r="632" customFormat="1" spans="1:31">
      <c r="A632" s="18"/>
      <c r="B632" s="19"/>
      <c r="C632" s="20">
        <v>240618000008</v>
      </c>
      <c r="D632" s="21">
        <v>45470</v>
      </c>
      <c r="E632" s="21" t="s">
        <v>41</v>
      </c>
      <c r="F632" s="19" t="s">
        <v>42</v>
      </c>
      <c r="G632" s="19" t="s">
        <v>247</v>
      </c>
      <c r="H632" s="19">
        <v>2</v>
      </c>
      <c r="I632" s="38">
        <v>136</v>
      </c>
      <c r="J632" s="39"/>
      <c r="K632" s="40"/>
      <c r="L632" s="19"/>
      <c r="M632" s="40"/>
      <c r="N632" s="41"/>
      <c r="O632" s="42">
        <f t="shared" si="390"/>
        <v>136</v>
      </c>
      <c r="P632" s="44"/>
      <c r="Q632" s="44"/>
      <c r="R632" s="68">
        <f t="shared" si="386"/>
        <v>93.4211508553655</v>
      </c>
      <c r="S632" s="68"/>
      <c r="T632" s="69">
        <f t="shared" si="387"/>
        <v>0.143079315707621</v>
      </c>
      <c r="U632" s="68"/>
      <c r="V632" s="68"/>
      <c r="W632" s="68">
        <f t="shared" si="383"/>
        <v>93.5642301710731</v>
      </c>
      <c r="X632" s="70">
        <f t="shared" si="388"/>
        <v>1.55374183514774</v>
      </c>
      <c r="Y632" s="70"/>
      <c r="Z632" s="70"/>
      <c r="AA632" s="70">
        <f t="shared" si="384"/>
        <v>1.55374183514774</v>
      </c>
      <c r="AB632" s="80">
        <v>7.24</v>
      </c>
      <c r="AC632" s="68">
        <f t="shared" si="381"/>
        <v>11.2490908864697</v>
      </c>
      <c r="AD632" s="68">
        <f t="shared" si="382"/>
        <v>104.813321057543</v>
      </c>
      <c r="AE632" s="68">
        <f t="shared" si="385"/>
        <v>31.1866789424572</v>
      </c>
    </row>
    <row r="633" customFormat="1" spans="1:31">
      <c r="A633" s="18"/>
      <c r="B633" s="19"/>
      <c r="C633" s="20">
        <v>240618000010</v>
      </c>
      <c r="D633" s="21">
        <v>45470</v>
      </c>
      <c r="E633" s="21" t="s">
        <v>51</v>
      </c>
      <c r="F633" s="19" t="s">
        <v>52</v>
      </c>
      <c r="G633" s="19" t="s">
        <v>467</v>
      </c>
      <c r="H633" s="19">
        <v>14</v>
      </c>
      <c r="I633" s="38">
        <v>884.4</v>
      </c>
      <c r="J633" s="39"/>
      <c r="K633" s="40"/>
      <c r="L633" s="19"/>
      <c r="M633" s="40"/>
      <c r="N633" s="41"/>
      <c r="O633" s="42">
        <f t="shared" si="390"/>
        <v>884.4</v>
      </c>
      <c r="P633" s="44"/>
      <c r="Q633" s="44"/>
      <c r="R633" s="68">
        <f t="shared" si="386"/>
        <v>653.948055987558</v>
      </c>
      <c r="S633" s="68"/>
      <c r="T633" s="69">
        <f t="shared" si="387"/>
        <v>1.00155520995334</v>
      </c>
      <c r="U633" s="68"/>
      <c r="V633" s="68"/>
      <c r="W633" s="68">
        <f t="shared" si="383"/>
        <v>654.949611197512</v>
      </c>
      <c r="X633" s="70">
        <f t="shared" si="388"/>
        <v>10.8761928460342</v>
      </c>
      <c r="Y633" s="70"/>
      <c r="Z633" s="70"/>
      <c r="AA633" s="70">
        <f t="shared" si="384"/>
        <v>10.8761928460342</v>
      </c>
      <c r="AB633" s="80">
        <v>7.24</v>
      </c>
      <c r="AC633" s="68">
        <f t="shared" si="381"/>
        <v>78.7436362052877</v>
      </c>
      <c r="AD633" s="68">
        <f t="shared" si="382"/>
        <v>733.693247402799</v>
      </c>
      <c r="AE633" s="68">
        <f t="shared" si="385"/>
        <v>150.706752597201</v>
      </c>
    </row>
    <row r="634" customFormat="1" spans="1:31">
      <c r="A634" s="18"/>
      <c r="B634" s="19"/>
      <c r="C634" s="20">
        <v>240618000016</v>
      </c>
      <c r="D634" s="21">
        <v>45470</v>
      </c>
      <c r="E634" s="21" t="s">
        <v>37</v>
      </c>
      <c r="F634" s="19" t="s">
        <v>37</v>
      </c>
      <c r="G634" s="19" t="s">
        <v>202</v>
      </c>
      <c r="H634" s="19">
        <v>466</v>
      </c>
      <c r="I634" s="38">
        <v>25596</v>
      </c>
      <c r="J634" s="39"/>
      <c r="K634" s="40"/>
      <c r="L634" s="19"/>
      <c r="M634" s="40"/>
      <c r="N634" s="41"/>
      <c r="O634" s="42">
        <f t="shared" si="390"/>
        <v>25596</v>
      </c>
      <c r="P634" s="44"/>
      <c r="Q634" s="44"/>
      <c r="R634" s="68">
        <f t="shared" si="386"/>
        <v>21767.1281493002</v>
      </c>
      <c r="S634" s="68"/>
      <c r="T634" s="69">
        <f t="shared" si="387"/>
        <v>33.3374805598756</v>
      </c>
      <c r="U634" s="68"/>
      <c r="V634" s="68"/>
      <c r="W634" s="68">
        <f t="shared" si="383"/>
        <v>21800.46562986</v>
      </c>
      <c r="X634" s="70">
        <f t="shared" si="388"/>
        <v>362.021847589425</v>
      </c>
      <c r="Y634" s="70"/>
      <c r="Z634" s="70"/>
      <c r="AA634" s="70">
        <f t="shared" si="384"/>
        <v>362.021847589425</v>
      </c>
      <c r="AB634" s="80">
        <v>7.24</v>
      </c>
      <c r="AC634" s="68">
        <f t="shared" si="381"/>
        <v>2621.03817654743</v>
      </c>
      <c r="AD634" s="68">
        <f t="shared" si="382"/>
        <v>24421.5038064075</v>
      </c>
      <c r="AE634" s="68">
        <f t="shared" si="385"/>
        <v>1174.49619359253</v>
      </c>
    </row>
    <row r="635" customFormat="1" spans="1:31">
      <c r="A635" s="18"/>
      <c r="B635" s="19"/>
      <c r="C635" s="20">
        <v>240618000021</v>
      </c>
      <c r="D635" s="21">
        <v>45470</v>
      </c>
      <c r="E635" s="21" t="s">
        <v>51</v>
      </c>
      <c r="F635" s="19" t="s">
        <v>52</v>
      </c>
      <c r="G635" s="19" t="s">
        <v>468</v>
      </c>
      <c r="H635" s="19">
        <v>21.5</v>
      </c>
      <c r="I635" s="42"/>
      <c r="J635" s="46">
        <v>347042</v>
      </c>
      <c r="K635" s="40"/>
      <c r="L635" s="47">
        <f>SUM(J635/M635)</f>
        <v>1505.99722270439</v>
      </c>
      <c r="M635" s="48">
        <v>230.44</v>
      </c>
      <c r="N635" s="41">
        <v>7.24</v>
      </c>
      <c r="O635" s="42">
        <f>SUM(M635*N635)</f>
        <v>1668.3856</v>
      </c>
      <c r="P635" s="44"/>
      <c r="Q635" s="44"/>
      <c r="R635" s="68">
        <f t="shared" si="386"/>
        <v>1004.27737169518</v>
      </c>
      <c r="S635" s="68"/>
      <c r="T635" s="69">
        <f t="shared" si="387"/>
        <v>1.53810264385692</v>
      </c>
      <c r="U635" s="68"/>
      <c r="V635" s="68"/>
      <c r="W635" s="68">
        <f t="shared" si="383"/>
        <v>1005.81547433904</v>
      </c>
      <c r="X635" s="70">
        <f t="shared" si="388"/>
        <v>16.7027247278383</v>
      </c>
      <c r="Y635" s="70"/>
      <c r="Z635" s="70"/>
      <c r="AA635" s="70">
        <f t="shared" si="384"/>
        <v>16.7027247278383</v>
      </c>
      <c r="AB635" s="80">
        <v>7.24</v>
      </c>
      <c r="AC635" s="68">
        <f t="shared" si="381"/>
        <v>120.927727029549</v>
      </c>
      <c r="AD635" s="68">
        <f t="shared" si="382"/>
        <v>1126.74320136858</v>
      </c>
      <c r="AE635" s="68">
        <f t="shared" si="385"/>
        <v>541.642398631415</v>
      </c>
    </row>
    <row r="636" customFormat="1" spans="1:31">
      <c r="A636" s="18"/>
      <c r="B636" s="19"/>
      <c r="C636" s="20">
        <v>240618000024</v>
      </c>
      <c r="D636" s="21">
        <v>45470</v>
      </c>
      <c r="E636" s="21" t="s">
        <v>48</v>
      </c>
      <c r="F636" s="19" t="s">
        <v>49</v>
      </c>
      <c r="G636" s="19" t="s">
        <v>183</v>
      </c>
      <c r="H636" s="19">
        <v>8.5</v>
      </c>
      <c r="I636" s="38">
        <v>535.5</v>
      </c>
      <c r="J636" s="39"/>
      <c r="K636" s="40"/>
      <c r="L636" s="19"/>
      <c r="M636" s="40"/>
      <c r="N636" s="41"/>
      <c r="O636" s="42">
        <f t="shared" ref="O636:O644" si="391">SUM(I636)</f>
        <v>535.5</v>
      </c>
      <c r="P636" s="44"/>
      <c r="Q636" s="44"/>
      <c r="R636" s="68">
        <f t="shared" si="386"/>
        <v>397.039891135303</v>
      </c>
      <c r="S636" s="68"/>
      <c r="T636" s="69">
        <f t="shared" si="387"/>
        <v>0.608087091757387</v>
      </c>
      <c r="U636" s="68"/>
      <c r="V636" s="68"/>
      <c r="W636" s="68">
        <f t="shared" si="383"/>
        <v>397.647978227061</v>
      </c>
      <c r="X636" s="70">
        <f t="shared" si="388"/>
        <v>6.60340279937791</v>
      </c>
      <c r="Y636" s="70"/>
      <c r="Z636" s="70"/>
      <c r="AA636" s="70">
        <f t="shared" si="384"/>
        <v>6.60340279937791</v>
      </c>
      <c r="AB636" s="80">
        <v>7.24</v>
      </c>
      <c r="AC636" s="68">
        <f t="shared" si="381"/>
        <v>47.8086362674961</v>
      </c>
      <c r="AD636" s="68">
        <f t="shared" si="382"/>
        <v>445.456614494557</v>
      </c>
      <c r="AE636" s="68">
        <f t="shared" si="385"/>
        <v>90.0433855054432</v>
      </c>
    </row>
    <row r="637" customFormat="1" spans="1:31">
      <c r="A637" s="18"/>
      <c r="B637" s="19"/>
      <c r="C637" s="81">
        <v>240618000029</v>
      </c>
      <c r="D637" s="82">
        <v>45470</v>
      </c>
      <c r="E637" s="21" t="s">
        <v>37</v>
      </c>
      <c r="F637" s="83" t="s">
        <v>37</v>
      </c>
      <c r="G637" s="83" t="s">
        <v>469</v>
      </c>
      <c r="H637" s="83">
        <v>2</v>
      </c>
      <c r="I637" s="38">
        <v>153.75</v>
      </c>
      <c r="J637" s="39"/>
      <c r="K637" s="40"/>
      <c r="L637" s="19"/>
      <c r="M637" s="40"/>
      <c r="N637" s="41"/>
      <c r="O637" s="42">
        <f t="shared" si="391"/>
        <v>153.75</v>
      </c>
      <c r="P637" s="44"/>
      <c r="Q637" s="44"/>
      <c r="R637" s="68">
        <f t="shared" si="386"/>
        <v>93.4211508553655</v>
      </c>
      <c r="S637" s="68"/>
      <c r="T637" s="69">
        <f t="shared" si="387"/>
        <v>0.143079315707621</v>
      </c>
      <c r="U637" s="68"/>
      <c r="V637" s="68"/>
      <c r="W637" s="68">
        <f t="shared" si="383"/>
        <v>93.5642301710731</v>
      </c>
      <c r="X637" s="70">
        <f t="shared" si="388"/>
        <v>1.55374183514774</v>
      </c>
      <c r="Y637" s="70"/>
      <c r="Z637" s="70"/>
      <c r="AA637" s="70">
        <f t="shared" si="384"/>
        <v>1.55374183514774</v>
      </c>
      <c r="AB637" s="80">
        <v>7.24</v>
      </c>
      <c r="AC637" s="68">
        <f t="shared" si="381"/>
        <v>11.2490908864697</v>
      </c>
      <c r="AD637" s="68">
        <f t="shared" si="382"/>
        <v>104.813321057543</v>
      </c>
      <c r="AE637" s="68">
        <f t="shared" si="385"/>
        <v>48.9366789424572</v>
      </c>
    </row>
    <row r="638" customFormat="1" spans="1:31">
      <c r="A638" s="18"/>
      <c r="B638" s="19"/>
      <c r="C638" s="20">
        <v>240618000030</v>
      </c>
      <c r="D638" s="21">
        <v>45470</v>
      </c>
      <c r="E638" s="21" t="s">
        <v>264</v>
      </c>
      <c r="F638" s="19" t="s">
        <v>37</v>
      </c>
      <c r="G638" s="19" t="s">
        <v>265</v>
      </c>
      <c r="H638" s="19">
        <v>7.5</v>
      </c>
      <c r="I638" s="38">
        <v>637.5</v>
      </c>
      <c r="J638" s="39"/>
      <c r="K638" s="40"/>
      <c r="L638" s="19"/>
      <c r="M638" s="40"/>
      <c r="N638" s="41"/>
      <c r="O638" s="42">
        <f t="shared" si="391"/>
        <v>637.5</v>
      </c>
      <c r="P638" s="44"/>
      <c r="Q638" s="44"/>
      <c r="R638" s="68">
        <f t="shared" si="386"/>
        <v>350.32931570762</v>
      </c>
      <c r="S638" s="68"/>
      <c r="T638" s="69">
        <f t="shared" si="387"/>
        <v>0.536547433903577</v>
      </c>
      <c r="U638" s="68"/>
      <c r="V638" s="68"/>
      <c r="W638" s="68">
        <f t="shared" si="383"/>
        <v>350.865863141524</v>
      </c>
      <c r="X638" s="70">
        <f t="shared" si="388"/>
        <v>5.82653188180404</v>
      </c>
      <c r="Y638" s="70"/>
      <c r="Z638" s="70"/>
      <c r="AA638" s="70">
        <f t="shared" si="384"/>
        <v>5.82653188180404</v>
      </c>
      <c r="AB638" s="80">
        <v>7.24</v>
      </c>
      <c r="AC638" s="68">
        <f t="shared" si="381"/>
        <v>42.1840908242613</v>
      </c>
      <c r="AD638" s="68">
        <f t="shared" si="382"/>
        <v>393.049953965785</v>
      </c>
      <c r="AE638" s="68">
        <f t="shared" si="385"/>
        <v>244.450046034215</v>
      </c>
    </row>
    <row r="639" customFormat="1" spans="1:31">
      <c r="A639" s="18"/>
      <c r="B639" s="19"/>
      <c r="C639" s="20">
        <v>240618000032</v>
      </c>
      <c r="D639" s="21">
        <v>45470</v>
      </c>
      <c r="E639" s="21" t="s">
        <v>48</v>
      </c>
      <c r="F639" s="19" t="s">
        <v>49</v>
      </c>
      <c r="G639" s="19" t="s">
        <v>400</v>
      </c>
      <c r="H639" s="19">
        <v>3.5</v>
      </c>
      <c r="I639" s="38">
        <v>262.5</v>
      </c>
      <c r="J639" s="39"/>
      <c r="K639" s="40"/>
      <c r="L639" s="19"/>
      <c r="M639" s="40"/>
      <c r="N639" s="41"/>
      <c r="O639" s="42">
        <f t="shared" si="391"/>
        <v>262.5</v>
      </c>
      <c r="P639" s="44"/>
      <c r="Q639" s="44"/>
      <c r="R639" s="68">
        <f t="shared" si="386"/>
        <v>163.48701399689</v>
      </c>
      <c r="S639" s="68"/>
      <c r="T639" s="69">
        <f t="shared" si="387"/>
        <v>0.250388802488336</v>
      </c>
      <c r="U639" s="68"/>
      <c r="V639" s="68"/>
      <c r="W639" s="68">
        <f t="shared" si="383"/>
        <v>163.737402799378</v>
      </c>
      <c r="X639" s="70">
        <f t="shared" si="388"/>
        <v>2.71904821150855</v>
      </c>
      <c r="Y639" s="70"/>
      <c r="Z639" s="70"/>
      <c r="AA639" s="70">
        <f t="shared" si="384"/>
        <v>2.71904821150855</v>
      </c>
      <c r="AB639" s="80">
        <v>7.24</v>
      </c>
      <c r="AC639" s="68">
        <f t="shared" si="381"/>
        <v>19.6859090513219</v>
      </c>
      <c r="AD639" s="68">
        <f t="shared" si="382"/>
        <v>183.4233118507</v>
      </c>
      <c r="AE639" s="68">
        <f t="shared" si="385"/>
        <v>79.0766881493002</v>
      </c>
    </row>
    <row r="640" customFormat="1" spans="1:31">
      <c r="A640" s="18"/>
      <c r="B640" s="19"/>
      <c r="C640" s="20">
        <v>240618000037</v>
      </c>
      <c r="D640" s="21">
        <v>45470</v>
      </c>
      <c r="E640" s="21" t="s">
        <v>51</v>
      </c>
      <c r="F640" s="19" t="s">
        <v>204</v>
      </c>
      <c r="G640" s="19" t="s">
        <v>205</v>
      </c>
      <c r="H640" s="19">
        <v>0.4</v>
      </c>
      <c r="I640" s="38">
        <v>75.9</v>
      </c>
      <c r="J640" s="39"/>
      <c r="K640" s="40"/>
      <c r="L640" s="19"/>
      <c r="M640" s="40"/>
      <c r="N640" s="41"/>
      <c r="O640" s="42">
        <f t="shared" si="391"/>
        <v>75.9</v>
      </c>
      <c r="P640" s="44"/>
      <c r="Q640" s="44"/>
      <c r="R640" s="68">
        <f t="shared" si="386"/>
        <v>18.6842301710731</v>
      </c>
      <c r="S640" s="68"/>
      <c r="T640" s="69">
        <f t="shared" si="387"/>
        <v>0.0286158631415241</v>
      </c>
      <c r="U640" s="68"/>
      <c r="V640" s="68"/>
      <c r="W640" s="68">
        <f t="shared" si="383"/>
        <v>18.7128460342146</v>
      </c>
      <c r="X640" s="70">
        <f t="shared" si="388"/>
        <v>0.310748367029549</v>
      </c>
      <c r="Y640" s="70"/>
      <c r="Z640" s="70"/>
      <c r="AA640" s="70">
        <f t="shared" si="384"/>
        <v>0.310748367029549</v>
      </c>
      <c r="AB640" s="80">
        <v>7.24</v>
      </c>
      <c r="AC640" s="68">
        <f t="shared" si="381"/>
        <v>2.24981817729393</v>
      </c>
      <c r="AD640" s="68">
        <f t="shared" si="382"/>
        <v>20.9626642115086</v>
      </c>
      <c r="AE640" s="68">
        <f t="shared" si="385"/>
        <v>54.9373357884915</v>
      </c>
    </row>
    <row r="641" customFormat="1" spans="1:31">
      <c r="A641" s="18"/>
      <c r="B641" s="19"/>
      <c r="C641" s="20">
        <v>240618000040</v>
      </c>
      <c r="D641" s="21">
        <v>45470</v>
      </c>
      <c r="E641" s="21" t="s">
        <v>48</v>
      </c>
      <c r="F641" s="19" t="s">
        <v>49</v>
      </c>
      <c r="G641" s="19" t="s">
        <v>470</v>
      </c>
      <c r="H641" s="19">
        <v>13.5</v>
      </c>
      <c r="I641" s="38">
        <v>873</v>
      </c>
      <c r="J641" s="39"/>
      <c r="K641" s="40"/>
      <c r="L641" s="19"/>
      <c r="M641" s="40"/>
      <c r="N641" s="41"/>
      <c r="O641" s="42">
        <f t="shared" si="391"/>
        <v>873</v>
      </c>
      <c r="P641" s="44"/>
      <c r="Q641" s="44"/>
      <c r="R641" s="68">
        <f t="shared" si="386"/>
        <v>630.592768273717</v>
      </c>
      <c r="S641" s="68"/>
      <c r="T641" s="69">
        <f t="shared" si="387"/>
        <v>0.965785381026439</v>
      </c>
      <c r="U641" s="68"/>
      <c r="V641" s="69">
        <v>38</v>
      </c>
      <c r="W641" s="68">
        <f t="shared" si="383"/>
        <v>669.558553654743</v>
      </c>
      <c r="X641" s="70">
        <f t="shared" si="388"/>
        <v>10.4877573872473</v>
      </c>
      <c r="Y641" s="70"/>
      <c r="Z641" s="70"/>
      <c r="AA641" s="70">
        <f t="shared" si="384"/>
        <v>10.4877573872473</v>
      </c>
      <c r="AB641" s="80">
        <v>7.24</v>
      </c>
      <c r="AC641" s="68">
        <f t="shared" si="381"/>
        <v>75.9313634836703</v>
      </c>
      <c r="AD641" s="68">
        <f t="shared" si="382"/>
        <v>745.489917138414</v>
      </c>
      <c r="AE641" s="68">
        <f t="shared" si="385"/>
        <v>127.510082861586</v>
      </c>
    </row>
    <row r="642" customFormat="1" spans="1:31">
      <c r="A642" s="18"/>
      <c r="B642" s="19"/>
      <c r="C642" s="20">
        <v>240618000045</v>
      </c>
      <c r="D642" s="21">
        <v>45470</v>
      </c>
      <c r="E642" s="21" t="s">
        <v>37</v>
      </c>
      <c r="F642" s="19" t="s">
        <v>37</v>
      </c>
      <c r="G642" s="19" t="s">
        <v>408</v>
      </c>
      <c r="H642" s="19">
        <v>193</v>
      </c>
      <c r="I642" s="45">
        <v>11685.3</v>
      </c>
      <c r="J642" s="39"/>
      <c r="K642" s="40"/>
      <c r="L642" s="19"/>
      <c r="M642" s="40"/>
      <c r="N642" s="41"/>
      <c r="O642" s="42">
        <f t="shared" si="391"/>
        <v>11685.3</v>
      </c>
      <c r="P642" s="44"/>
      <c r="Q642" s="44"/>
      <c r="R642" s="68">
        <f t="shared" si="386"/>
        <v>9015.14105754277</v>
      </c>
      <c r="S642" s="68"/>
      <c r="T642" s="69">
        <f t="shared" si="387"/>
        <v>13.8071539657854</v>
      </c>
      <c r="U642" s="68"/>
      <c r="V642" s="68"/>
      <c r="W642" s="68">
        <f t="shared" si="383"/>
        <v>9028.94821150855</v>
      </c>
      <c r="X642" s="70">
        <f t="shared" si="388"/>
        <v>149.936087091757</v>
      </c>
      <c r="Y642" s="70"/>
      <c r="Z642" s="70"/>
      <c r="AA642" s="70">
        <f t="shared" si="384"/>
        <v>149.936087091757</v>
      </c>
      <c r="AB642" s="80">
        <v>7.24</v>
      </c>
      <c r="AC642" s="68">
        <f t="shared" si="381"/>
        <v>1085.53727054432</v>
      </c>
      <c r="AD642" s="68">
        <f t="shared" si="382"/>
        <v>10114.4854820529</v>
      </c>
      <c r="AE642" s="68">
        <f t="shared" si="385"/>
        <v>1570.81451794712</v>
      </c>
    </row>
    <row r="643" customFormat="1" spans="1:31">
      <c r="A643" s="18"/>
      <c r="B643" s="19"/>
      <c r="C643" s="20">
        <v>240618000047</v>
      </c>
      <c r="D643" s="21">
        <v>45470</v>
      </c>
      <c r="E643" s="21" t="s">
        <v>48</v>
      </c>
      <c r="F643" s="19" t="s">
        <v>49</v>
      </c>
      <c r="G643" s="19" t="s">
        <v>120</v>
      </c>
      <c r="H643" s="19">
        <v>3.5</v>
      </c>
      <c r="I643" s="38">
        <v>231.5</v>
      </c>
      <c r="J643" s="39"/>
      <c r="K643" s="40"/>
      <c r="L643" s="19"/>
      <c r="M643" s="40"/>
      <c r="N643" s="41"/>
      <c r="O643" s="42">
        <f t="shared" si="391"/>
        <v>231.5</v>
      </c>
      <c r="P643" s="44"/>
      <c r="Q643" s="44"/>
      <c r="R643" s="68">
        <f t="shared" si="386"/>
        <v>163.48701399689</v>
      </c>
      <c r="S643" s="68"/>
      <c r="T643" s="69">
        <f t="shared" si="387"/>
        <v>0.250388802488336</v>
      </c>
      <c r="U643" s="68"/>
      <c r="V643" s="68"/>
      <c r="W643" s="68">
        <f t="shared" si="383"/>
        <v>163.737402799378</v>
      </c>
      <c r="X643" s="70">
        <f t="shared" si="388"/>
        <v>2.71904821150855</v>
      </c>
      <c r="Y643" s="70"/>
      <c r="Z643" s="70"/>
      <c r="AA643" s="70">
        <f t="shared" si="384"/>
        <v>2.71904821150855</v>
      </c>
      <c r="AB643" s="80">
        <v>7.24</v>
      </c>
      <c r="AC643" s="68">
        <f t="shared" si="381"/>
        <v>19.6859090513219</v>
      </c>
      <c r="AD643" s="68">
        <f t="shared" si="382"/>
        <v>183.4233118507</v>
      </c>
      <c r="AE643" s="68">
        <f t="shared" si="385"/>
        <v>48.0766881493002</v>
      </c>
    </row>
    <row r="644" customFormat="1" spans="1:31">
      <c r="A644" s="18"/>
      <c r="B644" s="19"/>
      <c r="C644" s="20">
        <v>240618000049</v>
      </c>
      <c r="D644" s="21">
        <v>45470</v>
      </c>
      <c r="E644" s="21" t="s">
        <v>37</v>
      </c>
      <c r="F644" s="19" t="s">
        <v>37</v>
      </c>
      <c r="G644" s="19" t="s">
        <v>207</v>
      </c>
      <c r="H644" s="19">
        <v>628</v>
      </c>
      <c r="I644" s="45">
        <v>32656</v>
      </c>
      <c r="J644" s="39"/>
      <c r="K644" s="40"/>
      <c r="L644" s="19"/>
      <c r="M644" s="40"/>
      <c r="N644" s="41"/>
      <c r="O644" s="42">
        <f t="shared" si="391"/>
        <v>32656</v>
      </c>
      <c r="P644" s="44"/>
      <c r="Q644" s="44"/>
      <c r="R644" s="68">
        <f t="shared" si="386"/>
        <v>29334.2413685848</v>
      </c>
      <c r="S644" s="68"/>
      <c r="T644" s="69">
        <f t="shared" si="387"/>
        <v>44.9269051321928</v>
      </c>
      <c r="U644" s="68"/>
      <c r="V644" s="95"/>
      <c r="W644" s="68">
        <f t="shared" si="383"/>
        <v>29379.168273717</v>
      </c>
      <c r="X644" s="70">
        <f t="shared" si="388"/>
        <v>487.874936236392</v>
      </c>
      <c r="Y644" s="70"/>
      <c r="Z644" s="70"/>
      <c r="AA644" s="70">
        <f t="shared" si="384"/>
        <v>487.874936236392</v>
      </c>
      <c r="AB644" s="80">
        <v>7.24</v>
      </c>
      <c r="AC644" s="68">
        <f t="shared" si="381"/>
        <v>3532.21453835148</v>
      </c>
      <c r="AD644" s="68">
        <f t="shared" si="382"/>
        <v>32911.3828120684</v>
      </c>
      <c r="AE644" s="68">
        <f t="shared" si="385"/>
        <v>-255.382812068427</v>
      </c>
    </row>
    <row r="645" customFormat="1" spans="1:31">
      <c r="A645" s="18"/>
      <c r="B645" s="19"/>
      <c r="C645" s="20">
        <v>240619000004</v>
      </c>
      <c r="D645" s="21">
        <v>45470</v>
      </c>
      <c r="E645" s="21" t="s">
        <v>48</v>
      </c>
      <c r="F645" s="19" t="s">
        <v>49</v>
      </c>
      <c r="G645" s="19" t="s">
        <v>471</v>
      </c>
      <c r="H645" s="19">
        <v>2.5</v>
      </c>
      <c r="I645" s="45"/>
      <c r="J645" s="46">
        <v>44874.9</v>
      </c>
      <c r="K645" s="40"/>
      <c r="L645" s="47">
        <f>SUM(J645/M645)</f>
        <v>1517.06896551724</v>
      </c>
      <c r="M645" s="48">
        <v>29.58</v>
      </c>
      <c r="N645" s="41">
        <v>7.24</v>
      </c>
      <c r="O645" s="42">
        <f>SUM(M645*N645)</f>
        <v>214.1592</v>
      </c>
      <c r="P645" s="44"/>
      <c r="Q645" s="44"/>
      <c r="R645" s="68">
        <f t="shared" si="386"/>
        <v>116.776438569207</v>
      </c>
      <c r="S645" s="68"/>
      <c r="T645" s="69">
        <f t="shared" si="387"/>
        <v>0.178849144634526</v>
      </c>
      <c r="U645" s="68"/>
      <c r="V645" s="68"/>
      <c r="W645" s="68">
        <f t="shared" si="383"/>
        <v>116.955287713841</v>
      </c>
      <c r="X645" s="70">
        <f t="shared" si="388"/>
        <v>1.94217729393468</v>
      </c>
      <c r="Y645" s="70"/>
      <c r="Z645" s="70"/>
      <c r="AA645" s="70">
        <f t="shared" si="384"/>
        <v>1.94217729393468</v>
      </c>
      <c r="AB645" s="80">
        <v>7.24</v>
      </c>
      <c r="AC645" s="68">
        <f t="shared" si="381"/>
        <v>14.0613636080871</v>
      </c>
      <c r="AD645" s="68">
        <f t="shared" si="382"/>
        <v>131.016651321928</v>
      </c>
      <c r="AE645" s="68">
        <f t="shared" si="385"/>
        <v>83.1425486780715</v>
      </c>
    </row>
    <row r="646" customFormat="1" spans="1:31">
      <c r="A646" s="18"/>
      <c r="B646" s="19"/>
      <c r="C646" s="20">
        <v>240619000005</v>
      </c>
      <c r="D646" s="21">
        <v>45470</v>
      </c>
      <c r="E646" s="21" t="s">
        <v>41</v>
      </c>
      <c r="F646" s="19" t="s">
        <v>42</v>
      </c>
      <c r="G646" s="19" t="s">
        <v>74</v>
      </c>
      <c r="H646" s="19">
        <v>3.5</v>
      </c>
      <c r="I646" s="38">
        <v>272.65</v>
      </c>
      <c r="J646" s="39"/>
      <c r="K646" s="40"/>
      <c r="L646" s="19"/>
      <c r="M646" s="40"/>
      <c r="N646" s="41"/>
      <c r="O646" s="42">
        <f t="shared" ref="O646:O650" si="392">SUM(I646)</f>
        <v>272.65</v>
      </c>
      <c r="P646" s="44"/>
      <c r="Q646" s="44"/>
      <c r="R646" s="68">
        <f t="shared" si="386"/>
        <v>163.48701399689</v>
      </c>
      <c r="S646" s="68"/>
      <c r="T646" s="69">
        <f t="shared" si="387"/>
        <v>0.250388802488336</v>
      </c>
      <c r="U646" s="68"/>
      <c r="V646" s="68"/>
      <c r="W646" s="68">
        <f t="shared" si="383"/>
        <v>163.737402799378</v>
      </c>
      <c r="X646" s="70">
        <f t="shared" si="388"/>
        <v>2.71904821150855</v>
      </c>
      <c r="Y646" s="70"/>
      <c r="Z646" s="70"/>
      <c r="AA646" s="70">
        <f t="shared" si="384"/>
        <v>2.71904821150855</v>
      </c>
      <c r="AB646" s="80">
        <v>7.24</v>
      </c>
      <c r="AC646" s="68">
        <f t="shared" si="381"/>
        <v>19.6859090513219</v>
      </c>
      <c r="AD646" s="68">
        <f t="shared" si="382"/>
        <v>183.4233118507</v>
      </c>
      <c r="AE646" s="68">
        <f t="shared" si="385"/>
        <v>89.2266881493001</v>
      </c>
    </row>
    <row r="647" customFormat="1" spans="1:31">
      <c r="A647" s="18"/>
      <c r="B647" s="19"/>
      <c r="C647" s="20">
        <v>240619000011</v>
      </c>
      <c r="D647" s="21">
        <v>45470</v>
      </c>
      <c r="E647" s="21" t="s">
        <v>51</v>
      </c>
      <c r="F647" s="19" t="s">
        <v>52</v>
      </c>
      <c r="G647" s="19" t="s">
        <v>472</v>
      </c>
      <c r="H647" s="19">
        <v>6.5</v>
      </c>
      <c r="I647" s="45"/>
      <c r="J647" s="46">
        <v>86971.5</v>
      </c>
      <c r="K647" s="40"/>
      <c r="L647" s="47">
        <f>SUM(J647/M647)</f>
        <v>1520.48076923077</v>
      </c>
      <c r="M647" s="48">
        <v>57.2</v>
      </c>
      <c r="N647" s="41">
        <v>7.24</v>
      </c>
      <c r="O647" s="42">
        <f>SUM(M647*N647)</f>
        <v>414.128</v>
      </c>
      <c r="P647" s="44"/>
      <c r="Q647" s="44"/>
      <c r="R647" s="68">
        <f t="shared" si="386"/>
        <v>303.618740279938</v>
      </c>
      <c r="S647" s="68"/>
      <c r="T647" s="69">
        <f t="shared" si="387"/>
        <v>0.465007776049767</v>
      </c>
      <c r="U647" s="68"/>
      <c r="V647" s="68"/>
      <c r="W647" s="68">
        <f t="shared" si="383"/>
        <v>304.083748055988</v>
      </c>
      <c r="X647" s="70">
        <f t="shared" si="388"/>
        <v>5.04966096423017</v>
      </c>
      <c r="Y647" s="70"/>
      <c r="Z647" s="70"/>
      <c r="AA647" s="70">
        <f t="shared" si="384"/>
        <v>5.04966096423017</v>
      </c>
      <c r="AB647" s="80">
        <v>7.24</v>
      </c>
      <c r="AC647" s="68">
        <f t="shared" si="381"/>
        <v>36.5595453810264</v>
      </c>
      <c r="AD647" s="68">
        <f t="shared" si="382"/>
        <v>340.643293437014</v>
      </c>
      <c r="AE647" s="68">
        <f t="shared" si="385"/>
        <v>73.484706562986</v>
      </c>
    </row>
    <row r="648" customFormat="1" spans="1:31">
      <c r="A648" s="18"/>
      <c r="B648" s="19"/>
      <c r="C648" s="20">
        <v>240619000015</v>
      </c>
      <c r="D648" s="21">
        <v>45470</v>
      </c>
      <c r="E648" s="21" t="s">
        <v>48</v>
      </c>
      <c r="F648" s="19" t="s">
        <v>49</v>
      </c>
      <c r="G648" s="19" t="s">
        <v>473</v>
      </c>
      <c r="H648" s="19">
        <v>2.5</v>
      </c>
      <c r="I648" s="38">
        <v>162.5</v>
      </c>
      <c r="J648" s="39"/>
      <c r="K648" s="40"/>
      <c r="L648" s="19"/>
      <c r="M648" s="40"/>
      <c r="N648" s="41"/>
      <c r="O648" s="42">
        <f t="shared" si="392"/>
        <v>162.5</v>
      </c>
      <c r="P648" s="44"/>
      <c r="Q648" s="44"/>
      <c r="R648" s="68">
        <f t="shared" si="386"/>
        <v>116.776438569207</v>
      </c>
      <c r="S648" s="68"/>
      <c r="T648" s="69">
        <f t="shared" si="387"/>
        <v>0.178849144634526</v>
      </c>
      <c r="U648" s="68"/>
      <c r="V648" s="68"/>
      <c r="W648" s="68">
        <f t="shared" si="383"/>
        <v>116.955287713841</v>
      </c>
      <c r="X648" s="70">
        <f t="shared" si="388"/>
        <v>1.94217729393468</v>
      </c>
      <c r="Y648" s="70"/>
      <c r="Z648" s="70"/>
      <c r="AA648" s="70">
        <f t="shared" si="384"/>
        <v>1.94217729393468</v>
      </c>
      <c r="AB648" s="80">
        <v>7.24</v>
      </c>
      <c r="AC648" s="68">
        <f t="shared" si="381"/>
        <v>14.0613636080871</v>
      </c>
      <c r="AD648" s="68">
        <f t="shared" si="382"/>
        <v>131.016651321928</v>
      </c>
      <c r="AE648" s="68">
        <f t="shared" si="385"/>
        <v>31.4833486780715</v>
      </c>
    </row>
    <row r="649" customFormat="1" spans="1:31">
      <c r="A649" s="18"/>
      <c r="B649" s="19"/>
      <c r="C649" s="20">
        <v>240619000019</v>
      </c>
      <c r="D649" s="21">
        <v>45470</v>
      </c>
      <c r="E649" s="21" t="s">
        <v>37</v>
      </c>
      <c r="F649" s="19" t="s">
        <v>37</v>
      </c>
      <c r="G649" s="19" t="s">
        <v>474</v>
      </c>
      <c r="H649" s="19">
        <v>21.5</v>
      </c>
      <c r="I649" s="38">
        <v>1420</v>
      </c>
      <c r="J649" s="39"/>
      <c r="K649" s="40"/>
      <c r="L649" s="19"/>
      <c r="M649" s="40"/>
      <c r="N649" s="41"/>
      <c r="O649" s="42">
        <f t="shared" si="392"/>
        <v>1420</v>
      </c>
      <c r="P649" s="44"/>
      <c r="Q649" s="44"/>
      <c r="R649" s="68">
        <f t="shared" si="386"/>
        <v>1004.27737169518</v>
      </c>
      <c r="S649" s="68"/>
      <c r="T649" s="69">
        <f t="shared" si="387"/>
        <v>1.53810264385692</v>
      </c>
      <c r="U649" s="68"/>
      <c r="V649" s="68"/>
      <c r="W649" s="68">
        <f t="shared" si="383"/>
        <v>1005.81547433904</v>
      </c>
      <c r="X649" s="70">
        <f t="shared" si="388"/>
        <v>16.7027247278383</v>
      </c>
      <c r="Y649" s="70"/>
      <c r="Z649" s="70"/>
      <c r="AA649" s="70">
        <f t="shared" si="384"/>
        <v>16.7027247278383</v>
      </c>
      <c r="AB649" s="80">
        <v>7.24</v>
      </c>
      <c r="AC649" s="68">
        <f t="shared" si="381"/>
        <v>120.927727029549</v>
      </c>
      <c r="AD649" s="68">
        <f t="shared" si="382"/>
        <v>1126.74320136858</v>
      </c>
      <c r="AE649" s="68">
        <f t="shared" si="385"/>
        <v>293.256798631415</v>
      </c>
    </row>
    <row r="650" customFormat="1" spans="1:31">
      <c r="A650" s="18"/>
      <c r="B650" s="19"/>
      <c r="C650" s="20">
        <v>240619000025</v>
      </c>
      <c r="D650" s="21">
        <v>45470</v>
      </c>
      <c r="E650" s="21" t="s">
        <v>48</v>
      </c>
      <c r="F650" s="19" t="s">
        <v>49</v>
      </c>
      <c r="G650" s="19" t="s">
        <v>475</v>
      </c>
      <c r="H650" s="19">
        <v>9</v>
      </c>
      <c r="I650" s="38">
        <v>585</v>
      </c>
      <c r="J650" s="39"/>
      <c r="K650" s="40"/>
      <c r="L650" s="19"/>
      <c r="M650" s="40"/>
      <c r="N650" s="41"/>
      <c r="O650" s="42">
        <f t="shared" si="392"/>
        <v>585</v>
      </c>
      <c r="P650" s="44"/>
      <c r="Q650" s="44"/>
      <c r="R650" s="68">
        <f t="shared" si="386"/>
        <v>420.395178849145</v>
      </c>
      <c r="S650" s="68"/>
      <c r="T650" s="69">
        <f t="shared" si="387"/>
        <v>0.643856920684292</v>
      </c>
      <c r="U650" s="68"/>
      <c r="V650" s="68"/>
      <c r="W650" s="68">
        <f t="shared" si="383"/>
        <v>421.039035769829</v>
      </c>
      <c r="X650" s="70">
        <f t="shared" si="388"/>
        <v>6.99183825816485</v>
      </c>
      <c r="Y650" s="70"/>
      <c r="Z650" s="70"/>
      <c r="AA650" s="70">
        <f t="shared" si="384"/>
        <v>6.99183825816485</v>
      </c>
      <c r="AB650" s="80">
        <v>7.24</v>
      </c>
      <c r="AC650" s="68">
        <f t="shared" si="381"/>
        <v>50.6209089891135</v>
      </c>
      <c r="AD650" s="68">
        <f t="shared" si="382"/>
        <v>471.659944758942</v>
      </c>
      <c r="AE650" s="68">
        <f t="shared" si="385"/>
        <v>113.340055241058</v>
      </c>
    </row>
    <row r="651" customFormat="1" spans="1:31">
      <c r="A651" s="18"/>
      <c r="B651" s="19"/>
      <c r="C651" s="20">
        <v>240619000027</v>
      </c>
      <c r="D651" s="21">
        <v>45470</v>
      </c>
      <c r="E651" s="21" t="s">
        <v>44</v>
      </c>
      <c r="F651" s="19" t="s">
        <v>476</v>
      </c>
      <c r="G651" s="19" t="s">
        <v>477</v>
      </c>
      <c r="H651" s="19">
        <v>4.5</v>
      </c>
      <c r="I651" s="85">
        <v>301.2</v>
      </c>
      <c r="J651" s="39"/>
      <c r="K651" s="40"/>
      <c r="L651" s="19"/>
      <c r="M651" s="40"/>
      <c r="N651" s="41"/>
      <c r="O651" s="42">
        <f>SUBTOTAL(9,I651)</f>
        <v>301.2</v>
      </c>
      <c r="P651" s="44"/>
      <c r="Q651" s="44"/>
      <c r="R651" s="68">
        <f t="shared" si="386"/>
        <v>210.197589424572</v>
      </c>
      <c r="S651" s="68"/>
      <c r="T651" s="69">
        <f t="shared" si="387"/>
        <v>0.321928460342146</v>
      </c>
      <c r="U651" s="68"/>
      <c r="V651" s="68"/>
      <c r="W651" s="68">
        <f t="shared" si="383"/>
        <v>210.519517884914</v>
      </c>
      <c r="X651" s="70">
        <f t="shared" si="388"/>
        <v>3.49591912908243</v>
      </c>
      <c r="Y651" s="70"/>
      <c r="Z651" s="70"/>
      <c r="AA651" s="70">
        <f t="shared" si="384"/>
        <v>3.49591912908243</v>
      </c>
      <c r="AB651" s="80">
        <v>7.24</v>
      </c>
      <c r="AC651" s="68">
        <f t="shared" si="381"/>
        <v>25.3104544945568</v>
      </c>
      <c r="AD651" s="68">
        <f t="shared" si="382"/>
        <v>235.829972379471</v>
      </c>
      <c r="AE651" s="68">
        <f t="shared" si="385"/>
        <v>65.370027620529</v>
      </c>
    </row>
    <row r="652" customFormat="1" spans="1:31">
      <c r="A652" s="18"/>
      <c r="B652" s="19"/>
      <c r="C652" s="20">
        <v>240620000007</v>
      </c>
      <c r="D652" s="21">
        <v>45470</v>
      </c>
      <c r="E652" s="21" t="s">
        <v>51</v>
      </c>
      <c r="F652" s="19" t="s">
        <v>52</v>
      </c>
      <c r="G652" s="19" t="s">
        <v>218</v>
      </c>
      <c r="H652" s="19">
        <v>0.22</v>
      </c>
      <c r="I652" s="45"/>
      <c r="J652" s="46">
        <v>18477</v>
      </c>
      <c r="K652" s="40"/>
      <c r="L652" s="47">
        <f>SUM(J652/M652)</f>
        <v>1516.99507389163</v>
      </c>
      <c r="M652" s="48">
        <v>12.18</v>
      </c>
      <c r="N652" s="41">
        <v>7.24</v>
      </c>
      <c r="O652" s="42">
        <f>SUM(M652*N652)</f>
        <v>88.1832</v>
      </c>
      <c r="P652" s="44"/>
      <c r="Q652" s="44"/>
      <c r="R652" s="68">
        <f t="shared" si="386"/>
        <v>10.2763265940902</v>
      </c>
      <c r="S652" s="68"/>
      <c r="T652" s="69">
        <f t="shared" si="387"/>
        <v>0.0157387247278383</v>
      </c>
      <c r="U652" s="68"/>
      <c r="V652" s="68"/>
      <c r="W652" s="68">
        <f t="shared" si="383"/>
        <v>10.292065318818</v>
      </c>
      <c r="X652" s="70">
        <f t="shared" si="388"/>
        <v>0.170911601866252</v>
      </c>
      <c r="Y652" s="70"/>
      <c r="Z652" s="70"/>
      <c r="AA652" s="70">
        <f t="shared" si="384"/>
        <v>0.170911601866252</v>
      </c>
      <c r="AB652" s="80">
        <v>7.24</v>
      </c>
      <c r="AC652" s="68">
        <f t="shared" si="381"/>
        <v>1.23739999751166</v>
      </c>
      <c r="AD652" s="68">
        <f t="shared" si="382"/>
        <v>11.5294653163297</v>
      </c>
      <c r="AE652" s="68">
        <f t="shared" si="385"/>
        <v>76.6537346836703</v>
      </c>
    </row>
    <row r="653" customFormat="1" spans="1:31">
      <c r="A653" s="18"/>
      <c r="B653" s="19"/>
      <c r="C653" s="20">
        <v>240620000009</v>
      </c>
      <c r="D653" s="21">
        <v>45470</v>
      </c>
      <c r="E653" s="21" t="s">
        <v>51</v>
      </c>
      <c r="F653" s="19" t="s">
        <v>52</v>
      </c>
      <c r="G653" s="19" t="s">
        <v>478</v>
      </c>
      <c r="H653" s="19">
        <v>26</v>
      </c>
      <c r="I653" s="38">
        <v>1661.8</v>
      </c>
      <c r="J653" s="39"/>
      <c r="K653" s="40"/>
      <c r="L653" s="19"/>
      <c r="M653" s="40"/>
      <c r="N653" s="41"/>
      <c r="O653" s="42">
        <f t="shared" ref="O653:O657" si="393">SUM(I653)</f>
        <v>1661.8</v>
      </c>
      <c r="P653" s="44"/>
      <c r="Q653" s="44"/>
      <c r="R653" s="68">
        <f t="shared" si="386"/>
        <v>1214.47496111975</v>
      </c>
      <c r="S653" s="68"/>
      <c r="T653" s="69">
        <f t="shared" si="387"/>
        <v>1.86003110419907</v>
      </c>
      <c r="U653" s="68">
        <v>80</v>
      </c>
      <c r="V653" s="68"/>
      <c r="W653" s="68">
        <f t="shared" si="383"/>
        <v>1296.33499222395</v>
      </c>
      <c r="X653" s="70">
        <f t="shared" si="388"/>
        <v>20.1986438569207</v>
      </c>
      <c r="Y653" s="70"/>
      <c r="Z653" s="70"/>
      <c r="AA653" s="70">
        <f t="shared" si="384"/>
        <v>20.1986438569207</v>
      </c>
      <c r="AB653" s="80">
        <v>7.24</v>
      </c>
      <c r="AC653" s="68">
        <f t="shared" si="381"/>
        <v>146.238181524106</v>
      </c>
      <c r="AD653" s="68">
        <f t="shared" si="382"/>
        <v>1442.57317374806</v>
      </c>
      <c r="AE653" s="68">
        <f t="shared" si="385"/>
        <v>219.226826251944</v>
      </c>
    </row>
    <row r="654" customFormat="1" spans="1:31">
      <c r="A654" s="18"/>
      <c r="B654" s="19"/>
      <c r="C654" s="20">
        <v>240620000010</v>
      </c>
      <c r="D654" s="21">
        <v>45470</v>
      </c>
      <c r="E654" s="21" t="s">
        <v>51</v>
      </c>
      <c r="F654" s="19" t="s">
        <v>52</v>
      </c>
      <c r="G654" s="19" t="s">
        <v>479</v>
      </c>
      <c r="H654" s="19">
        <v>0.86</v>
      </c>
      <c r="I654" s="38">
        <v>101</v>
      </c>
      <c r="J654" s="39"/>
      <c r="K654" s="40"/>
      <c r="L654" s="19"/>
      <c r="M654" s="40"/>
      <c r="N654" s="41"/>
      <c r="O654" s="42">
        <f t="shared" si="393"/>
        <v>101</v>
      </c>
      <c r="P654" s="44"/>
      <c r="Q654" s="44"/>
      <c r="R654" s="68">
        <f t="shared" si="386"/>
        <v>40.1710948678071</v>
      </c>
      <c r="S654" s="68"/>
      <c r="T654" s="69">
        <f t="shared" si="387"/>
        <v>0.0615241057542768</v>
      </c>
      <c r="U654" s="68"/>
      <c r="V654" s="68"/>
      <c r="W654" s="68">
        <f t="shared" si="383"/>
        <v>40.2326189735614</v>
      </c>
      <c r="X654" s="70">
        <f t="shared" si="388"/>
        <v>0.66810898911353</v>
      </c>
      <c r="Y654" s="70"/>
      <c r="Z654" s="70"/>
      <c r="AA654" s="70">
        <f t="shared" si="384"/>
        <v>0.66810898911353</v>
      </c>
      <c r="AB654" s="80">
        <v>7.24</v>
      </c>
      <c r="AC654" s="68">
        <f t="shared" si="381"/>
        <v>4.83710908118196</v>
      </c>
      <c r="AD654" s="68">
        <f t="shared" si="382"/>
        <v>45.0697280547434</v>
      </c>
      <c r="AE654" s="68">
        <f t="shared" si="385"/>
        <v>55.9302719452566</v>
      </c>
    </row>
    <row r="655" customFormat="1" spans="1:31">
      <c r="A655" s="18"/>
      <c r="B655" s="19"/>
      <c r="C655" s="20">
        <v>240620000021</v>
      </c>
      <c r="D655" s="21">
        <v>45470</v>
      </c>
      <c r="E655" s="21" t="s">
        <v>136</v>
      </c>
      <c r="F655" s="19" t="s">
        <v>137</v>
      </c>
      <c r="G655" s="19" t="s">
        <v>480</v>
      </c>
      <c r="H655" s="19">
        <v>2.5</v>
      </c>
      <c r="I655" s="45"/>
      <c r="J655" s="46">
        <v>39177.6</v>
      </c>
      <c r="K655" s="40"/>
      <c r="L655" s="47">
        <f>SUM(J655/M655)</f>
        <v>1535.1724137931</v>
      </c>
      <c r="M655" s="48">
        <v>25.52</v>
      </c>
      <c r="N655" s="97">
        <v>7.24</v>
      </c>
      <c r="O655" s="42">
        <f>SUM(M655*N655)</f>
        <v>184.7648</v>
      </c>
      <c r="P655" s="44"/>
      <c r="Q655" s="44"/>
      <c r="R655" s="68">
        <f t="shared" si="386"/>
        <v>116.776438569207</v>
      </c>
      <c r="S655" s="68"/>
      <c r="T655" s="69">
        <f t="shared" si="387"/>
        <v>0.178849144634526</v>
      </c>
      <c r="U655" s="68"/>
      <c r="V655" s="68"/>
      <c r="W655" s="68">
        <f t="shared" si="383"/>
        <v>116.955287713841</v>
      </c>
      <c r="X655" s="70">
        <f t="shared" si="388"/>
        <v>1.94217729393468</v>
      </c>
      <c r="Y655" s="70"/>
      <c r="Z655" s="70"/>
      <c r="AA655" s="70">
        <f t="shared" si="384"/>
        <v>1.94217729393468</v>
      </c>
      <c r="AB655" s="80">
        <v>7.24</v>
      </c>
      <c r="AC655" s="68">
        <f t="shared" si="381"/>
        <v>14.0613636080871</v>
      </c>
      <c r="AD655" s="68">
        <f t="shared" si="382"/>
        <v>131.016651321928</v>
      </c>
      <c r="AE655" s="68">
        <f t="shared" si="385"/>
        <v>53.7481486780715</v>
      </c>
    </row>
    <row r="656" customFormat="1" spans="1:31">
      <c r="A656" s="18"/>
      <c r="B656" s="19"/>
      <c r="C656" s="20">
        <v>240620000027</v>
      </c>
      <c r="D656" s="21">
        <v>45470</v>
      </c>
      <c r="E656" s="21" t="s">
        <v>48</v>
      </c>
      <c r="F656" s="19" t="s">
        <v>49</v>
      </c>
      <c r="G656" s="19" t="s">
        <v>120</v>
      </c>
      <c r="H656" s="19">
        <v>4</v>
      </c>
      <c r="I656" s="38">
        <v>275</v>
      </c>
      <c r="J656" s="39"/>
      <c r="K656" s="40"/>
      <c r="L656" s="19"/>
      <c r="M656" s="40"/>
      <c r="N656" s="41"/>
      <c r="O656" s="42">
        <f t="shared" si="393"/>
        <v>275</v>
      </c>
      <c r="P656" s="44"/>
      <c r="Q656" s="44"/>
      <c r="R656" s="68">
        <f t="shared" si="386"/>
        <v>186.842301710731</v>
      </c>
      <c r="S656" s="68"/>
      <c r="T656" s="69">
        <f t="shared" si="387"/>
        <v>0.286158631415241</v>
      </c>
      <c r="U656" s="68"/>
      <c r="V656" s="68"/>
      <c r="W656" s="68">
        <f t="shared" si="383"/>
        <v>187.128460342146</v>
      </c>
      <c r="X656" s="70">
        <f t="shared" si="388"/>
        <v>3.10748367029549</v>
      </c>
      <c r="Y656" s="70"/>
      <c r="Z656" s="70"/>
      <c r="AA656" s="70">
        <f t="shared" si="384"/>
        <v>3.10748367029549</v>
      </c>
      <c r="AB656" s="80">
        <v>7.24</v>
      </c>
      <c r="AC656" s="68">
        <f t="shared" si="381"/>
        <v>22.4981817729393</v>
      </c>
      <c r="AD656" s="68">
        <f t="shared" si="382"/>
        <v>209.626642115086</v>
      </c>
      <c r="AE656" s="68">
        <f t="shared" si="385"/>
        <v>65.3733578849145</v>
      </c>
    </row>
    <row r="657" customFormat="1" spans="1:31">
      <c r="A657" s="18"/>
      <c r="B657" s="19"/>
      <c r="C657" s="20">
        <v>240621000008</v>
      </c>
      <c r="D657" s="21">
        <v>45470</v>
      </c>
      <c r="E657" s="21" t="s">
        <v>48</v>
      </c>
      <c r="F657" s="19" t="s">
        <v>49</v>
      </c>
      <c r="G657" s="19" t="s">
        <v>183</v>
      </c>
      <c r="H657" s="19">
        <v>129</v>
      </c>
      <c r="I657" s="38">
        <v>11020</v>
      </c>
      <c r="J657" s="39"/>
      <c r="K657" s="40"/>
      <c r="L657" s="19"/>
      <c r="M657" s="40"/>
      <c r="N657" s="41"/>
      <c r="O657" s="42">
        <f t="shared" si="393"/>
        <v>11020</v>
      </c>
      <c r="P657" s="44"/>
      <c r="Q657" s="44"/>
      <c r="R657" s="68">
        <f t="shared" si="386"/>
        <v>6025.66423017107</v>
      </c>
      <c r="S657" s="68"/>
      <c r="T657" s="69">
        <f t="shared" si="387"/>
        <v>9.22861586314152</v>
      </c>
      <c r="U657" s="68"/>
      <c r="V657" s="68"/>
      <c r="W657" s="68">
        <f t="shared" si="383"/>
        <v>6034.89284603421</v>
      </c>
      <c r="X657" s="70">
        <f t="shared" si="388"/>
        <v>100.21634836703</v>
      </c>
      <c r="Y657" s="70"/>
      <c r="Z657" s="70"/>
      <c r="AA657" s="70">
        <f t="shared" si="384"/>
        <v>100.21634836703</v>
      </c>
      <c r="AB657" s="80">
        <v>7.24</v>
      </c>
      <c r="AC657" s="68">
        <f t="shared" si="381"/>
        <v>725.566362177294</v>
      </c>
      <c r="AD657" s="68">
        <f t="shared" si="382"/>
        <v>6760.45920821151</v>
      </c>
      <c r="AE657" s="68">
        <f t="shared" si="385"/>
        <v>4259.54079178849</v>
      </c>
    </row>
    <row r="658" customFormat="1" spans="1:31">
      <c r="A658" s="18"/>
      <c r="B658" s="19"/>
      <c r="C658" s="20">
        <v>240621000011</v>
      </c>
      <c r="D658" s="21">
        <v>45470</v>
      </c>
      <c r="E658" s="21" t="s">
        <v>44</v>
      </c>
      <c r="F658" s="19" t="s">
        <v>45</v>
      </c>
      <c r="G658" s="19" t="s">
        <v>432</v>
      </c>
      <c r="H658" s="19">
        <v>9</v>
      </c>
      <c r="I658" s="45"/>
      <c r="J658" s="46">
        <v>167790</v>
      </c>
      <c r="K658" s="40"/>
      <c r="L658" s="47">
        <f>SUM(J658/M658)</f>
        <v>1520.52560036248</v>
      </c>
      <c r="M658" s="48">
        <v>110.35</v>
      </c>
      <c r="N658" s="41">
        <v>7.24</v>
      </c>
      <c r="O658" s="42">
        <f>SUM(M658*N658)</f>
        <v>798.934</v>
      </c>
      <c r="P658" s="44"/>
      <c r="Q658" s="44"/>
      <c r="R658" s="68">
        <f t="shared" si="386"/>
        <v>420.395178849145</v>
      </c>
      <c r="S658" s="68"/>
      <c r="T658" s="69">
        <f t="shared" si="387"/>
        <v>0.643856920684292</v>
      </c>
      <c r="U658" s="68">
        <v>30</v>
      </c>
      <c r="V658" s="68"/>
      <c r="W658" s="68">
        <f t="shared" si="383"/>
        <v>451.039035769829</v>
      </c>
      <c r="X658" s="70">
        <f t="shared" si="388"/>
        <v>6.99183825816485</v>
      </c>
      <c r="Y658" s="70"/>
      <c r="Z658" s="70"/>
      <c r="AA658" s="70">
        <f t="shared" si="384"/>
        <v>6.99183825816485</v>
      </c>
      <c r="AB658" s="80">
        <v>7.24</v>
      </c>
      <c r="AC658" s="68">
        <f t="shared" si="381"/>
        <v>50.6209089891135</v>
      </c>
      <c r="AD658" s="68">
        <f t="shared" si="382"/>
        <v>501.659944758942</v>
      </c>
      <c r="AE658" s="68">
        <f t="shared" si="385"/>
        <v>297.274055241058</v>
      </c>
    </row>
    <row r="659" customFormat="1" spans="1:31">
      <c r="A659" s="18"/>
      <c r="B659" s="19"/>
      <c r="C659" s="20">
        <v>240621000017</v>
      </c>
      <c r="D659" s="21">
        <v>45470</v>
      </c>
      <c r="E659" s="21" t="s">
        <v>37</v>
      </c>
      <c r="F659" s="19" t="s">
        <v>37</v>
      </c>
      <c r="G659" s="19" t="s">
        <v>202</v>
      </c>
      <c r="H659" s="19">
        <v>532.5</v>
      </c>
      <c r="I659" s="38">
        <v>28997.5</v>
      </c>
      <c r="J659" s="39"/>
      <c r="K659" s="40"/>
      <c r="L659" s="19"/>
      <c r="M659" s="40"/>
      <c r="N659" s="41"/>
      <c r="O659" s="42">
        <f t="shared" ref="O659:O664" si="394">SUM(I659)</f>
        <v>28997.5</v>
      </c>
      <c r="P659" s="44"/>
      <c r="Q659" s="44"/>
      <c r="R659" s="68">
        <f t="shared" si="386"/>
        <v>24873.3814152411</v>
      </c>
      <c r="S659" s="68"/>
      <c r="T659" s="69">
        <f t="shared" si="387"/>
        <v>38.094867807154</v>
      </c>
      <c r="U659" s="68"/>
      <c r="V659" s="68"/>
      <c r="W659" s="68">
        <f t="shared" si="383"/>
        <v>24911.4762830482</v>
      </c>
      <c r="X659" s="70">
        <f t="shared" si="388"/>
        <v>413.683763608087</v>
      </c>
      <c r="Y659" s="70"/>
      <c r="Z659" s="70"/>
      <c r="AA659" s="70">
        <f t="shared" si="384"/>
        <v>413.683763608087</v>
      </c>
      <c r="AB659" s="80">
        <v>7.24</v>
      </c>
      <c r="AC659" s="68">
        <f t="shared" si="381"/>
        <v>2995.07044852255</v>
      </c>
      <c r="AD659" s="68">
        <f t="shared" si="382"/>
        <v>27906.5467315708</v>
      </c>
      <c r="AE659" s="68">
        <f t="shared" si="385"/>
        <v>1090.95326842924</v>
      </c>
    </row>
    <row r="660" customFormat="1" spans="1:31">
      <c r="A660" s="18"/>
      <c r="B660" s="19"/>
      <c r="C660" s="20">
        <v>240621000024</v>
      </c>
      <c r="D660" s="21">
        <v>45470</v>
      </c>
      <c r="E660" s="21" t="s">
        <v>44</v>
      </c>
      <c r="F660" s="19" t="s">
        <v>45</v>
      </c>
      <c r="G660" s="19" t="s">
        <v>428</v>
      </c>
      <c r="H660" s="19">
        <v>0.64</v>
      </c>
      <c r="I660" s="38">
        <v>76</v>
      </c>
      <c r="J660" s="39"/>
      <c r="K660" s="40"/>
      <c r="L660" s="19"/>
      <c r="M660" s="40"/>
      <c r="N660" s="41"/>
      <c r="O660" s="42">
        <f t="shared" si="394"/>
        <v>76</v>
      </c>
      <c r="P660" s="44"/>
      <c r="Q660" s="44"/>
      <c r="R660" s="68">
        <f t="shared" si="386"/>
        <v>29.8947682737169</v>
      </c>
      <c r="S660" s="68"/>
      <c r="T660" s="69">
        <f t="shared" si="387"/>
        <v>0.0457853810264386</v>
      </c>
      <c r="U660" s="68"/>
      <c r="V660" s="68"/>
      <c r="W660" s="68">
        <f t="shared" si="383"/>
        <v>29.9405536547434</v>
      </c>
      <c r="X660" s="70">
        <f t="shared" si="388"/>
        <v>0.497197387247278</v>
      </c>
      <c r="Y660" s="70"/>
      <c r="Z660" s="70"/>
      <c r="AA660" s="70">
        <f t="shared" si="384"/>
        <v>0.497197387247278</v>
      </c>
      <c r="AB660" s="80">
        <v>7.24</v>
      </c>
      <c r="AC660" s="68">
        <f t="shared" si="381"/>
        <v>3.5997090836703</v>
      </c>
      <c r="AD660" s="68">
        <f t="shared" si="382"/>
        <v>33.5402627384137</v>
      </c>
      <c r="AE660" s="68">
        <f t="shared" si="385"/>
        <v>42.4597372615863</v>
      </c>
    </row>
    <row r="661" customFormat="1" spans="1:31">
      <c r="A661" s="18"/>
      <c r="B661" s="19"/>
      <c r="C661" s="20">
        <v>240624000033</v>
      </c>
      <c r="D661" s="21">
        <v>45470</v>
      </c>
      <c r="E661" s="21" t="s">
        <v>37</v>
      </c>
      <c r="F661" s="19" t="s">
        <v>37</v>
      </c>
      <c r="G661" s="19" t="s">
        <v>207</v>
      </c>
      <c r="H661" s="19">
        <v>404</v>
      </c>
      <c r="I661" s="45">
        <v>21008</v>
      </c>
      <c r="J661" s="39"/>
      <c r="K661" s="40"/>
      <c r="L661" s="19"/>
      <c r="M661" s="40"/>
      <c r="N661" s="96"/>
      <c r="O661" s="42">
        <f t="shared" si="394"/>
        <v>21008</v>
      </c>
      <c r="P661" s="49"/>
      <c r="Q661" s="49"/>
      <c r="R661" s="68">
        <f t="shared" si="386"/>
        <v>18871.0724727838</v>
      </c>
      <c r="S661" s="68"/>
      <c r="T661" s="69">
        <f t="shared" si="387"/>
        <v>28.9020217729393</v>
      </c>
      <c r="U661" s="68"/>
      <c r="V661" s="68"/>
      <c r="W661" s="68">
        <f t="shared" ref="W661:W692" si="395">SUM(R661:V661)</f>
        <v>18899.9744945568</v>
      </c>
      <c r="X661" s="70">
        <f t="shared" si="388"/>
        <v>313.855850699844</v>
      </c>
      <c r="Y661" s="70"/>
      <c r="Z661" s="70"/>
      <c r="AA661" s="70">
        <f t="shared" ref="AA661:AA692" si="396">SUM(X661:Z661)</f>
        <v>313.855850699844</v>
      </c>
      <c r="AB661" s="80">
        <v>7.24</v>
      </c>
      <c r="AC661" s="68">
        <f t="shared" ref="AC661:AC692" si="397">SUM(AA661*AB661)</f>
        <v>2272.31635906687</v>
      </c>
      <c r="AD661" s="68">
        <f t="shared" ref="AD661:AD692" si="398">SUM(W661+AC661)</f>
        <v>21172.2908536236</v>
      </c>
      <c r="AE661" s="68">
        <f t="shared" ref="AE661:AE692" si="399">SUM(O661-AD661)</f>
        <v>-164.290853623635</v>
      </c>
    </row>
    <row r="662" customFormat="1" spans="1:31">
      <c r="A662" s="18" t="s">
        <v>481</v>
      </c>
      <c r="B662" s="19" t="s">
        <v>482</v>
      </c>
      <c r="C662" s="20">
        <v>240620000008</v>
      </c>
      <c r="D662" s="21">
        <v>45472</v>
      </c>
      <c r="E662" s="21" t="s">
        <v>44</v>
      </c>
      <c r="F662" s="19" t="s">
        <v>45</v>
      </c>
      <c r="G662" s="19" t="s">
        <v>483</v>
      </c>
      <c r="H662" s="19">
        <v>48</v>
      </c>
      <c r="I662" s="38">
        <v>2880</v>
      </c>
      <c r="J662" s="39"/>
      <c r="K662" s="40"/>
      <c r="L662" s="19"/>
      <c r="M662" s="40"/>
      <c r="N662" s="41"/>
      <c r="O662" s="42">
        <f t="shared" si="394"/>
        <v>2880</v>
      </c>
      <c r="P662" s="43">
        <f>SUM(O662:O731)</f>
        <v>84126.61882172</v>
      </c>
      <c r="Q662" s="43" t="s">
        <v>59</v>
      </c>
      <c r="R662" s="68">
        <f>SUM(64287/1474)*H662</f>
        <v>2093.47082767978</v>
      </c>
      <c r="S662" s="68"/>
      <c r="T662" s="69">
        <f>SUM(162.75/1474)*H662</f>
        <v>5.29986431478969</v>
      </c>
      <c r="U662" s="68"/>
      <c r="V662" s="68"/>
      <c r="W662" s="68">
        <f t="shared" si="395"/>
        <v>2098.77069199457</v>
      </c>
      <c r="X662" s="70">
        <f>SUM(1026.44/1474)*H662</f>
        <v>33.4254545454545</v>
      </c>
      <c r="Y662" s="70"/>
      <c r="Z662" s="70"/>
      <c r="AA662" s="70">
        <f t="shared" si="396"/>
        <v>33.4254545454545</v>
      </c>
      <c r="AB662" s="80">
        <v>7.24</v>
      </c>
      <c r="AC662" s="68">
        <f t="shared" si="397"/>
        <v>242.000290909091</v>
      </c>
      <c r="AD662" s="68">
        <f t="shared" si="398"/>
        <v>2340.77098290366</v>
      </c>
      <c r="AE662" s="68">
        <f t="shared" si="399"/>
        <v>539.22901709634</v>
      </c>
    </row>
    <row r="663" customFormat="1" spans="1:31">
      <c r="A663" s="18"/>
      <c r="B663" s="19"/>
      <c r="C663" s="20">
        <v>240620000013</v>
      </c>
      <c r="D663" s="21">
        <v>45472</v>
      </c>
      <c r="E663" s="21" t="s">
        <v>51</v>
      </c>
      <c r="F663" s="19" t="s">
        <v>52</v>
      </c>
      <c r="G663" s="19" t="s">
        <v>241</v>
      </c>
      <c r="H663" s="19">
        <v>9.5</v>
      </c>
      <c r="I663" s="38">
        <v>547.5</v>
      </c>
      <c r="J663" s="39"/>
      <c r="K663" s="40"/>
      <c r="L663" s="19"/>
      <c r="M663" s="40"/>
      <c r="N663" s="41"/>
      <c r="O663" s="42">
        <f t="shared" si="394"/>
        <v>547.5</v>
      </c>
      <c r="P663" s="44"/>
      <c r="Q663" s="44"/>
      <c r="R663" s="68">
        <f t="shared" ref="R663:R694" si="400">SUM(64287/1474)*H663</f>
        <v>414.33276797829</v>
      </c>
      <c r="S663" s="68"/>
      <c r="T663" s="69">
        <f t="shared" ref="T663:T694" si="401">SUM(162.75/1474)*H663</f>
        <v>1.04893147896879</v>
      </c>
      <c r="U663" s="68"/>
      <c r="V663" s="68"/>
      <c r="W663" s="68">
        <f t="shared" si="395"/>
        <v>415.381699457259</v>
      </c>
      <c r="X663" s="70">
        <f t="shared" ref="X663:X694" si="402">SUM(1026.44/1474)*H663</f>
        <v>6.61545454545455</v>
      </c>
      <c r="Y663" s="70"/>
      <c r="Z663" s="70"/>
      <c r="AA663" s="70">
        <f t="shared" si="396"/>
        <v>6.61545454545455</v>
      </c>
      <c r="AB663" s="80">
        <v>7.24</v>
      </c>
      <c r="AC663" s="68">
        <f t="shared" si="397"/>
        <v>47.8958909090909</v>
      </c>
      <c r="AD663" s="68">
        <f t="shared" si="398"/>
        <v>463.27759036635</v>
      </c>
      <c r="AE663" s="68">
        <f t="shared" si="399"/>
        <v>84.22240963365</v>
      </c>
    </row>
    <row r="664" customFormat="1" spans="1:31">
      <c r="A664" s="18"/>
      <c r="B664" s="19"/>
      <c r="C664" s="20">
        <v>240620000015</v>
      </c>
      <c r="D664" s="21">
        <v>45472</v>
      </c>
      <c r="E664" s="21" t="s">
        <v>44</v>
      </c>
      <c r="F664" s="19" t="s">
        <v>45</v>
      </c>
      <c r="G664" s="19" t="s">
        <v>274</v>
      </c>
      <c r="H664" s="19">
        <v>4.5</v>
      </c>
      <c r="I664" s="38">
        <v>273</v>
      </c>
      <c r="J664" s="39"/>
      <c r="K664" s="40"/>
      <c r="L664" s="19"/>
      <c r="M664" s="40"/>
      <c r="N664" s="41"/>
      <c r="O664" s="42">
        <f t="shared" si="394"/>
        <v>273</v>
      </c>
      <c r="P664" s="44"/>
      <c r="Q664" s="44"/>
      <c r="R664" s="68">
        <f t="shared" si="400"/>
        <v>196.26289009498</v>
      </c>
      <c r="S664" s="68"/>
      <c r="T664" s="69">
        <f t="shared" si="401"/>
        <v>0.496862279511533</v>
      </c>
      <c r="U664" s="68"/>
      <c r="V664" s="68"/>
      <c r="W664" s="68">
        <f t="shared" si="395"/>
        <v>196.759752374491</v>
      </c>
      <c r="X664" s="70">
        <f t="shared" si="402"/>
        <v>3.13363636363636</v>
      </c>
      <c r="Y664" s="70"/>
      <c r="Z664" s="70"/>
      <c r="AA664" s="70">
        <f t="shared" si="396"/>
        <v>3.13363636363636</v>
      </c>
      <c r="AB664" s="80">
        <v>7.24</v>
      </c>
      <c r="AC664" s="68">
        <f t="shared" si="397"/>
        <v>22.6875272727273</v>
      </c>
      <c r="AD664" s="68">
        <f t="shared" si="398"/>
        <v>219.447279647218</v>
      </c>
      <c r="AE664" s="68">
        <f t="shared" si="399"/>
        <v>53.552720352782</v>
      </c>
    </row>
    <row r="665" customFormat="1" spans="1:31">
      <c r="A665" s="18"/>
      <c r="B665" s="19"/>
      <c r="C665" s="20">
        <v>240620000018</v>
      </c>
      <c r="D665" s="21">
        <v>45472</v>
      </c>
      <c r="E665" s="21" t="s">
        <v>48</v>
      </c>
      <c r="F665" s="19" t="s">
        <v>49</v>
      </c>
      <c r="G665" s="19" t="s">
        <v>60</v>
      </c>
      <c r="H665" s="19">
        <v>2.5</v>
      </c>
      <c r="I665" s="45"/>
      <c r="J665" s="46">
        <v>37687.5</v>
      </c>
      <c r="K665" s="40"/>
      <c r="L665" s="47">
        <f t="shared" ref="L665:L667" si="403">SUM(J665/M665)</f>
        <v>1629.37743190661</v>
      </c>
      <c r="M665" s="48">
        <v>23.13</v>
      </c>
      <c r="N665" s="41">
        <v>7.24</v>
      </c>
      <c r="O665" s="42">
        <f t="shared" ref="O665:O667" si="404">SUM(M665*N665)</f>
        <v>167.4612</v>
      </c>
      <c r="P665" s="44"/>
      <c r="Q665" s="44"/>
      <c r="R665" s="68">
        <f t="shared" si="400"/>
        <v>109.034938941655</v>
      </c>
      <c r="S665" s="68"/>
      <c r="T665" s="69">
        <f t="shared" si="401"/>
        <v>0.27603459972863</v>
      </c>
      <c r="U665" s="68"/>
      <c r="V665" s="69">
        <v>30</v>
      </c>
      <c r="W665" s="68">
        <f t="shared" si="395"/>
        <v>139.310973541384</v>
      </c>
      <c r="X665" s="70">
        <f t="shared" si="402"/>
        <v>1.74090909090909</v>
      </c>
      <c r="Y665" s="70"/>
      <c r="Z665" s="70"/>
      <c r="AA665" s="70">
        <f t="shared" si="396"/>
        <v>1.74090909090909</v>
      </c>
      <c r="AB665" s="80">
        <v>7.24</v>
      </c>
      <c r="AC665" s="68">
        <f t="shared" si="397"/>
        <v>12.6041818181818</v>
      </c>
      <c r="AD665" s="68">
        <f t="shared" si="398"/>
        <v>151.915155359566</v>
      </c>
      <c r="AE665" s="68">
        <f t="shared" si="399"/>
        <v>15.546044640434</v>
      </c>
    </row>
    <row r="666" customFormat="1" spans="1:31">
      <c r="A666" s="18"/>
      <c r="B666" s="19"/>
      <c r="C666" s="20">
        <v>240620000022</v>
      </c>
      <c r="D666" s="21">
        <v>45472</v>
      </c>
      <c r="E666" s="21" t="s">
        <v>136</v>
      </c>
      <c r="F666" s="19" t="s">
        <v>137</v>
      </c>
      <c r="G666" s="19" t="s">
        <v>480</v>
      </c>
      <c r="H666" s="19">
        <v>1.5</v>
      </c>
      <c r="I666" s="45"/>
      <c r="J666" s="46">
        <v>21624</v>
      </c>
      <c r="K666" s="40"/>
      <c r="L666" s="47">
        <f t="shared" si="403"/>
        <v>1535.79545454545</v>
      </c>
      <c r="M666" s="48">
        <v>14.08</v>
      </c>
      <c r="N666" s="97">
        <v>7.24</v>
      </c>
      <c r="O666" s="42">
        <f t="shared" si="404"/>
        <v>101.9392</v>
      </c>
      <c r="P666" s="44"/>
      <c r="Q666" s="44"/>
      <c r="R666" s="68">
        <f t="shared" si="400"/>
        <v>65.4209633649932</v>
      </c>
      <c r="S666" s="68"/>
      <c r="T666" s="69">
        <f t="shared" si="401"/>
        <v>0.165620759837178</v>
      </c>
      <c r="U666" s="68"/>
      <c r="V666" s="68"/>
      <c r="W666" s="68">
        <f t="shared" si="395"/>
        <v>65.5865841248304</v>
      </c>
      <c r="X666" s="70">
        <f t="shared" si="402"/>
        <v>1.04454545454545</v>
      </c>
      <c r="Y666" s="70"/>
      <c r="Z666" s="70"/>
      <c r="AA666" s="70">
        <f t="shared" si="396"/>
        <v>1.04454545454545</v>
      </c>
      <c r="AB666" s="80">
        <v>7.24</v>
      </c>
      <c r="AC666" s="68">
        <f t="shared" si="397"/>
        <v>7.56250909090909</v>
      </c>
      <c r="AD666" s="68">
        <f t="shared" si="398"/>
        <v>73.1490932157395</v>
      </c>
      <c r="AE666" s="68">
        <f t="shared" si="399"/>
        <v>28.7901067842605</v>
      </c>
    </row>
    <row r="667" customFormat="1" spans="1:31">
      <c r="A667" s="18"/>
      <c r="B667" s="19"/>
      <c r="C667" s="20">
        <v>240621000001</v>
      </c>
      <c r="D667" s="21">
        <v>45472</v>
      </c>
      <c r="E667" s="21" t="s">
        <v>48</v>
      </c>
      <c r="F667" s="19" t="s">
        <v>49</v>
      </c>
      <c r="G667" s="19" t="s">
        <v>73</v>
      </c>
      <c r="H667" s="19">
        <v>18.5</v>
      </c>
      <c r="I667" s="45"/>
      <c r="J667" s="46">
        <v>229955</v>
      </c>
      <c r="K667" s="40"/>
      <c r="L667" s="47">
        <f t="shared" si="403"/>
        <v>1636.34099480538</v>
      </c>
      <c r="M667" s="48">
        <v>140.53</v>
      </c>
      <c r="N667" s="97">
        <v>7.24</v>
      </c>
      <c r="O667" s="42">
        <f t="shared" si="404"/>
        <v>1017.4372</v>
      </c>
      <c r="P667" s="44"/>
      <c r="Q667" s="44"/>
      <c r="R667" s="68">
        <f t="shared" si="400"/>
        <v>806.85854816825</v>
      </c>
      <c r="S667" s="68"/>
      <c r="T667" s="69">
        <f t="shared" si="401"/>
        <v>2.04265603799186</v>
      </c>
      <c r="U667" s="68"/>
      <c r="V667" s="68"/>
      <c r="W667" s="68">
        <f t="shared" si="395"/>
        <v>808.901204206241</v>
      </c>
      <c r="X667" s="70">
        <f t="shared" si="402"/>
        <v>12.8827272727273</v>
      </c>
      <c r="Y667" s="70"/>
      <c r="Z667" s="70"/>
      <c r="AA667" s="70">
        <f t="shared" si="396"/>
        <v>12.8827272727273</v>
      </c>
      <c r="AB667" s="80">
        <v>7.24</v>
      </c>
      <c r="AC667" s="68">
        <f t="shared" si="397"/>
        <v>93.2709454545455</v>
      </c>
      <c r="AD667" s="68">
        <f t="shared" si="398"/>
        <v>902.172149660787</v>
      </c>
      <c r="AE667" s="68">
        <f t="shared" si="399"/>
        <v>115.265050339213</v>
      </c>
    </row>
    <row r="668" customFormat="1" spans="1:31">
      <c r="A668" s="18"/>
      <c r="B668" s="19"/>
      <c r="C668" s="20">
        <v>240621000022</v>
      </c>
      <c r="D668" s="21">
        <v>45472</v>
      </c>
      <c r="E668" s="21" t="s">
        <v>48</v>
      </c>
      <c r="F668" s="19" t="s">
        <v>49</v>
      </c>
      <c r="G668" s="19" t="s">
        <v>61</v>
      </c>
      <c r="H668" s="19">
        <v>16</v>
      </c>
      <c r="I668" s="38">
        <v>832</v>
      </c>
      <c r="J668" s="39"/>
      <c r="K668" s="40"/>
      <c r="L668" s="19"/>
      <c r="M668" s="40"/>
      <c r="N668" s="41"/>
      <c r="O668" s="42">
        <f t="shared" ref="O666:O672" si="405">SUM(I668)</f>
        <v>832</v>
      </c>
      <c r="P668" s="44"/>
      <c r="Q668" s="44"/>
      <c r="R668" s="68">
        <f t="shared" si="400"/>
        <v>697.823609226594</v>
      </c>
      <c r="S668" s="68"/>
      <c r="T668" s="69">
        <f t="shared" si="401"/>
        <v>1.76662143826323</v>
      </c>
      <c r="U668" s="68"/>
      <c r="V668" s="68"/>
      <c r="W668" s="68">
        <f t="shared" si="395"/>
        <v>699.590230664857</v>
      </c>
      <c r="X668" s="70">
        <f t="shared" si="402"/>
        <v>11.1418181818182</v>
      </c>
      <c r="Y668" s="70"/>
      <c r="Z668" s="70"/>
      <c r="AA668" s="70">
        <f t="shared" si="396"/>
        <v>11.1418181818182</v>
      </c>
      <c r="AB668" s="80">
        <v>7.24</v>
      </c>
      <c r="AC668" s="68">
        <f t="shared" si="397"/>
        <v>80.6667636363636</v>
      </c>
      <c r="AD668" s="68">
        <f t="shared" si="398"/>
        <v>780.256994301221</v>
      </c>
      <c r="AE668" s="68">
        <f t="shared" si="399"/>
        <v>51.743005698779</v>
      </c>
    </row>
    <row r="669" customFormat="1" spans="1:31">
      <c r="A669" s="18"/>
      <c r="B669" s="19"/>
      <c r="C669" s="20">
        <v>240621000023</v>
      </c>
      <c r="D669" s="21">
        <v>45472</v>
      </c>
      <c r="E669" s="21" t="s">
        <v>44</v>
      </c>
      <c r="F669" s="19" t="s">
        <v>45</v>
      </c>
      <c r="G669" s="19" t="s">
        <v>484</v>
      </c>
      <c r="H669" s="19">
        <v>39</v>
      </c>
      <c r="I669" s="38">
        <v>2340</v>
      </c>
      <c r="J669" s="39"/>
      <c r="K669" s="40"/>
      <c r="L669" s="19"/>
      <c r="M669" s="40"/>
      <c r="N669" s="41"/>
      <c r="O669" s="42">
        <f t="shared" si="405"/>
        <v>2340</v>
      </c>
      <c r="P669" s="44"/>
      <c r="Q669" s="44"/>
      <c r="R669" s="68">
        <f t="shared" si="400"/>
        <v>1700.94504748982</v>
      </c>
      <c r="S669" s="68"/>
      <c r="T669" s="69">
        <f t="shared" si="401"/>
        <v>4.30613975576662</v>
      </c>
      <c r="U669" s="68"/>
      <c r="V669" s="68"/>
      <c r="W669" s="68">
        <f t="shared" si="395"/>
        <v>1705.25118724559</v>
      </c>
      <c r="X669" s="70">
        <f t="shared" si="402"/>
        <v>27.1581818181818</v>
      </c>
      <c r="Y669" s="70"/>
      <c r="Z669" s="70"/>
      <c r="AA669" s="70">
        <f t="shared" si="396"/>
        <v>27.1581818181818</v>
      </c>
      <c r="AB669" s="80">
        <v>7.24</v>
      </c>
      <c r="AC669" s="68">
        <f t="shared" si="397"/>
        <v>196.625236363636</v>
      </c>
      <c r="AD669" s="68">
        <f t="shared" si="398"/>
        <v>1901.87642360923</v>
      </c>
      <c r="AE669" s="68">
        <f t="shared" si="399"/>
        <v>438.12357639077</v>
      </c>
    </row>
    <row r="670" customFormat="1" spans="1:31">
      <c r="A670" s="18"/>
      <c r="B670" s="19"/>
      <c r="C670" s="20">
        <v>240621000028</v>
      </c>
      <c r="D670" s="21">
        <v>45472</v>
      </c>
      <c r="E670" s="21" t="s">
        <v>41</v>
      </c>
      <c r="F670" s="19" t="s">
        <v>42</v>
      </c>
      <c r="G670" s="19" t="s">
        <v>247</v>
      </c>
      <c r="H670" s="19">
        <v>2</v>
      </c>
      <c r="I670" s="38">
        <v>123</v>
      </c>
      <c r="J670" s="39"/>
      <c r="K670" s="40"/>
      <c r="L670" s="19"/>
      <c r="M670" s="40"/>
      <c r="N670" s="41"/>
      <c r="O670" s="42">
        <f t="shared" si="405"/>
        <v>123</v>
      </c>
      <c r="P670" s="44"/>
      <c r="Q670" s="44"/>
      <c r="R670" s="68">
        <f t="shared" si="400"/>
        <v>87.2279511533243</v>
      </c>
      <c r="S670" s="68"/>
      <c r="T670" s="69">
        <f t="shared" si="401"/>
        <v>0.220827679782904</v>
      </c>
      <c r="U670" s="68"/>
      <c r="V670" s="68"/>
      <c r="W670" s="68">
        <f t="shared" si="395"/>
        <v>87.4487788331072</v>
      </c>
      <c r="X670" s="70">
        <f t="shared" si="402"/>
        <v>1.39272727272727</v>
      </c>
      <c r="Y670" s="70"/>
      <c r="Z670" s="70"/>
      <c r="AA670" s="70">
        <f t="shared" si="396"/>
        <v>1.39272727272727</v>
      </c>
      <c r="AB670" s="80">
        <v>7.24</v>
      </c>
      <c r="AC670" s="68">
        <f t="shared" si="397"/>
        <v>10.0833454545455</v>
      </c>
      <c r="AD670" s="68">
        <f t="shared" si="398"/>
        <v>97.5321242876526</v>
      </c>
      <c r="AE670" s="68">
        <f t="shared" si="399"/>
        <v>25.4678757123474</v>
      </c>
    </row>
    <row r="671" customFormat="1" spans="1:31">
      <c r="A671" s="18"/>
      <c r="B671" s="19"/>
      <c r="C671" s="20">
        <v>240621000030</v>
      </c>
      <c r="D671" s="21">
        <v>45472</v>
      </c>
      <c r="E671" s="21" t="s">
        <v>41</v>
      </c>
      <c r="F671" s="19" t="s">
        <v>42</v>
      </c>
      <c r="G671" s="19" t="s">
        <v>134</v>
      </c>
      <c r="H671" s="19">
        <v>4</v>
      </c>
      <c r="I671" s="38">
        <v>243</v>
      </c>
      <c r="J671" s="39"/>
      <c r="K671" s="40"/>
      <c r="L671" s="19"/>
      <c r="M671" s="40"/>
      <c r="N671" s="41"/>
      <c r="O671" s="42">
        <f t="shared" si="405"/>
        <v>243</v>
      </c>
      <c r="P671" s="44"/>
      <c r="Q671" s="44"/>
      <c r="R671" s="68">
        <f t="shared" si="400"/>
        <v>174.455902306649</v>
      </c>
      <c r="S671" s="68"/>
      <c r="T671" s="69">
        <f t="shared" si="401"/>
        <v>0.441655359565807</v>
      </c>
      <c r="U671" s="68"/>
      <c r="V671" s="68"/>
      <c r="W671" s="68">
        <f t="shared" si="395"/>
        <v>174.897557666214</v>
      </c>
      <c r="X671" s="70">
        <f t="shared" si="402"/>
        <v>2.78545454545455</v>
      </c>
      <c r="Y671" s="70"/>
      <c r="Z671" s="70"/>
      <c r="AA671" s="70">
        <f t="shared" si="396"/>
        <v>2.78545454545455</v>
      </c>
      <c r="AB671" s="80">
        <v>7.24</v>
      </c>
      <c r="AC671" s="68">
        <f t="shared" si="397"/>
        <v>20.1666909090909</v>
      </c>
      <c r="AD671" s="68">
        <f t="shared" si="398"/>
        <v>195.064248575305</v>
      </c>
      <c r="AE671" s="68">
        <f t="shared" si="399"/>
        <v>47.935751424695</v>
      </c>
    </row>
    <row r="672" customFormat="1" spans="1:31">
      <c r="A672" s="18"/>
      <c r="B672" s="19"/>
      <c r="C672" s="20">
        <v>240621000031</v>
      </c>
      <c r="D672" s="21">
        <v>45472</v>
      </c>
      <c r="E672" s="21" t="s">
        <v>41</v>
      </c>
      <c r="F672" s="19" t="s">
        <v>42</v>
      </c>
      <c r="G672" s="19" t="s">
        <v>134</v>
      </c>
      <c r="H672" s="19">
        <v>0.92</v>
      </c>
      <c r="I672" s="38">
        <v>63</v>
      </c>
      <c r="J672" s="39"/>
      <c r="K672" s="40"/>
      <c r="L672" s="19"/>
      <c r="M672" s="40"/>
      <c r="N672" s="41"/>
      <c r="O672" s="42">
        <f t="shared" si="405"/>
        <v>63</v>
      </c>
      <c r="P672" s="44"/>
      <c r="Q672" s="44"/>
      <c r="R672" s="68">
        <f t="shared" si="400"/>
        <v>40.1248575305292</v>
      </c>
      <c r="S672" s="68"/>
      <c r="T672" s="69">
        <f t="shared" si="401"/>
        <v>0.101580732700136</v>
      </c>
      <c r="U672" s="68"/>
      <c r="V672" s="68"/>
      <c r="W672" s="68">
        <f t="shared" si="395"/>
        <v>40.2264382632293</v>
      </c>
      <c r="X672" s="70">
        <f t="shared" si="402"/>
        <v>0.640654545454545</v>
      </c>
      <c r="Y672" s="70"/>
      <c r="Z672" s="70"/>
      <c r="AA672" s="70">
        <f t="shared" si="396"/>
        <v>0.640654545454545</v>
      </c>
      <c r="AB672" s="80">
        <v>7.24</v>
      </c>
      <c r="AC672" s="68">
        <f t="shared" si="397"/>
        <v>4.63833890909091</v>
      </c>
      <c r="AD672" s="68">
        <f t="shared" si="398"/>
        <v>44.8647771723202</v>
      </c>
      <c r="AE672" s="68">
        <f t="shared" si="399"/>
        <v>18.1352228276798</v>
      </c>
    </row>
    <row r="673" customFormat="1" spans="1:31">
      <c r="A673" s="18"/>
      <c r="B673" s="19"/>
      <c r="C673" s="20">
        <v>240621000033</v>
      </c>
      <c r="D673" s="21">
        <v>45472</v>
      </c>
      <c r="E673" s="21" t="s">
        <v>41</v>
      </c>
      <c r="F673" s="19" t="s">
        <v>42</v>
      </c>
      <c r="G673" s="19" t="s">
        <v>485</v>
      </c>
      <c r="H673" s="19">
        <v>24</v>
      </c>
      <c r="I673" s="45"/>
      <c r="J673" s="46">
        <v>381150</v>
      </c>
      <c r="K673" s="40"/>
      <c r="L673" s="47">
        <f t="shared" ref="L673:L678" si="406">SUM(J673/M673)</f>
        <v>1520.40368582712</v>
      </c>
      <c r="M673" s="48">
        <v>250.69</v>
      </c>
      <c r="N673" s="41">
        <v>7.24</v>
      </c>
      <c r="O673" s="42">
        <f t="shared" ref="O673:O678" si="407">SUM(M673*N673)</f>
        <v>1814.9956</v>
      </c>
      <c r="P673" s="44"/>
      <c r="Q673" s="44"/>
      <c r="R673" s="68">
        <f t="shared" si="400"/>
        <v>1046.73541383989</v>
      </c>
      <c r="S673" s="68"/>
      <c r="T673" s="69">
        <f t="shared" si="401"/>
        <v>2.64993215739484</v>
      </c>
      <c r="U673" s="68"/>
      <c r="V673" s="68"/>
      <c r="W673" s="68">
        <f t="shared" si="395"/>
        <v>1049.38534599729</v>
      </c>
      <c r="X673" s="70">
        <f t="shared" si="402"/>
        <v>16.7127272727273</v>
      </c>
      <c r="Y673" s="70"/>
      <c r="Z673" s="70"/>
      <c r="AA673" s="70">
        <f t="shared" si="396"/>
        <v>16.7127272727273</v>
      </c>
      <c r="AB673" s="80">
        <v>7.24</v>
      </c>
      <c r="AC673" s="68">
        <f t="shared" si="397"/>
        <v>121.000145454545</v>
      </c>
      <c r="AD673" s="68">
        <f t="shared" si="398"/>
        <v>1170.38549145183</v>
      </c>
      <c r="AE673" s="68">
        <f t="shared" si="399"/>
        <v>644.61010854817</v>
      </c>
    </row>
    <row r="674" customFormat="1" spans="1:31">
      <c r="A674" s="18"/>
      <c r="B674" s="19"/>
      <c r="C674" s="20">
        <v>240622000002</v>
      </c>
      <c r="D674" s="21">
        <v>45472</v>
      </c>
      <c r="E674" s="21" t="s">
        <v>48</v>
      </c>
      <c r="F674" s="19" t="s">
        <v>49</v>
      </c>
      <c r="G674" s="19" t="s">
        <v>390</v>
      </c>
      <c r="H674" s="19">
        <v>1.5</v>
      </c>
      <c r="I674" s="38">
        <v>102</v>
      </c>
      <c r="J674" s="39"/>
      <c r="K674" s="40"/>
      <c r="L674" s="19"/>
      <c r="M674" s="40"/>
      <c r="N674" s="41"/>
      <c r="O674" s="42">
        <f t="shared" ref="O674:O676" si="408">SUM(I674)</f>
        <v>102</v>
      </c>
      <c r="P674" s="44"/>
      <c r="Q674" s="44"/>
      <c r="R674" s="68">
        <f t="shared" si="400"/>
        <v>65.4209633649932</v>
      </c>
      <c r="S674" s="68"/>
      <c r="T674" s="69">
        <f t="shared" si="401"/>
        <v>0.165620759837178</v>
      </c>
      <c r="U674" s="68"/>
      <c r="V674" s="68"/>
      <c r="W674" s="68">
        <f t="shared" si="395"/>
        <v>65.5865841248304</v>
      </c>
      <c r="X674" s="70">
        <f t="shared" si="402"/>
        <v>1.04454545454545</v>
      </c>
      <c r="Y674" s="70"/>
      <c r="Z674" s="70"/>
      <c r="AA674" s="70">
        <f t="shared" si="396"/>
        <v>1.04454545454545</v>
      </c>
      <c r="AB674" s="80">
        <v>7.24</v>
      </c>
      <c r="AC674" s="68">
        <f t="shared" si="397"/>
        <v>7.56250909090909</v>
      </c>
      <c r="AD674" s="68">
        <f t="shared" si="398"/>
        <v>73.1490932157395</v>
      </c>
      <c r="AE674" s="68">
        <f t="shared" si="399"/>
        <v>28.8509067842605</v>
      </c>
    </row>
    <row r="675" customFormat="1" spans="1:31">
      <c r="A675" s="18"/>
      <c r="B675" s="19"/>
      <c r="C675" s="20">
        <v>240622000003</v>
      </c>
      <c r="D675" s="21">
        <v>45472</v>
      </c>
      <c r="E675" s="21" t="s">
        <v>48</v>
      </c>
      <c r="F675" s="19" t="s">
        <v>49</v>
      </c>
      <c r="G675" s="19" t="s">
        <v>486</v>
      </c>
      <c r="H675" s="19">
        <v>30.5</v>
      </c>
      <c r="I675" s="38">
        <v>1830</v>
      </c>
      <c r="J675" s="39"/>
      <c r="K675" s="40"/>
      <c r="L675" s="19"/>
      <c r="M675" s="40"/>
      <c r="N675" s="41"/>
      <c r="O675" s="42">
        <f t="shared" si="408"/>
        <v>1830</v>
      </c>
      <c r="P675" s="44"/>
      <c r="Q675" s="44"/>
      <c r="R675" s="68">
        <f t="shared" si="400"/>
        <v>1330.2262550882</v>
      </c>
      <c r="S675" s="68"/>
      <c r="T675" s="69">
        <f t="shared" si="401"/>
        <v>3.36762211668928</v>
      </c>
      <c r="U675" s="68"/>
      <c r="V675" s="68"/>
      <c r="W675" s="68">
        <f t="shared" si="395"/>
        <v>1333.59387720488</v>
      </c>
      <c r="X675" s="70">
        <f t="shared" si="402"/>
        <v>21.2390909090909</v>
      </c>
      <c r="Y675" s="70"/>
      <c r="Z675" s="70"/>
      <c r="AA675" s="70">
        <f t="shared" si="396"/>
        <v>21.2390909090909</v>
      </c>
      <c r="AB675" s="80">
        <v>7.24</v>
      </c>
      <c r="AC675" s="68">
        <f t="shared" si="397"/>
        <v>153.771018181818</v>
      </c>
      <c r="AD675" s="68">
        <f t="shared" si="398"/>
        <v>1487.3648953867</v>
      </c>
      <c r="AE675" s="68">
        <f t="shared" si="399"/>
        <v>342.6351046133</v>
      </c>
    </row>
    <row r="676" customFormat="1" spans="1:31">
      <c r="A676" s="18"/>
      <c r="B676" s="19"/>
      <c r="C676" s="20">
        <v>240622000006</v>
      </c>
      <c r="D676" s="21">
        <v>45472</v>
      </c>
      <c r="E676" s="21" t="s">
        <v>48</v>
      </c>
      <c r="F676" s="19" t="s">
        <v>49</v>
      </c>
      <c r="G676" s="19" t="s">
        <v>282</v>
      </c>
      <c r="H676" s="19">
        <v>0.87</v>
      </c>
      <c r="I676" s="38">
        <v>55</v>
      </c>
      <c r="J676" s="39"/>
      <c r="K676" s="40"/>
      <c r="L676" s="19"/>
      <c r="M676" s="40"/>
      <c r="N676" s="41"/>
      <c r="O676" s="42">
        <f t="shared" si="408"/>
        <v>55</v>
      </c>
      <c r="P676" s="44"/>
      <c r="Q676" s="44"/>
      <c r="R676" s="68">
        <f t="shared" si="400"/>
        <v>37.9441587516961</v>
      </c>
      <c r="S676" s="68"/>
      <c r="T676" s="69">
        <f t="shared" si="401"/>
        <v>0.0960600407055631</v>
      </c>
      <c r="U676" s="68"/>
      <c r="V676" s="68"/>
      <c r="W676" s="68">
        <f t="shared" si="395"/>
        <v>38.0402187924016</v>
      </c>
      <c r="X676" s="70">
        <f t="shared" si="402"/>
        <v>0.605836363636364</v>
      </c>
      <c r="Y676" s="70"/>
      <c r="Z676" s="70"/>
      <c r="AA676" s="70">
        <f t="shared" si="396"/>
        <v>0.605836363636364</v>
      </c>
      <c r="AB676" s="80">
        <v>7.24</v>
      </c>
      <c r="AC676" s="68">
        <f t="shared" si="397"/>
        <v>4.38625527272727</v>
      </c>
      <c r="AD676" s="68">
        <f t="shared" si="398"/>
        <v>42.4264740651289</v>
      </c>
      <c r="AE676" s="68">
        <f t="shared" si="399"/>
        <v>12.5735259348711</v>
      </c>
    </row>
    <row r="677" customFormat="1" spans="1:31">
      <c r="A677" s="18"/>
      <c r="B677" s="19"/>
      <c r="C677" s="20">
        <v>240622000008</v>
      </c>
      <c r="D677" s="21">
        <v>45472</v>
      </c>
      <c r="E677" s="21" t="s">
        <v>48</v>
      </c>
      <c r="F677" s="19" t="s">
        <v>49</v>
      </c>
      <c r="G677" s="19" t="s">
        <v>304</v>
      </c>
      <c r="H677" s="19">
        <v>66</v>
      </c>
      <c r="I677" s="45"/>
      <c r="J677" s="46">
        <v>780780</v>
      </c>
      <c r="K677" s="40"/>
      <c r="L677" s="47">
        <f t="shared" si="406"/>
        <v>1520.41750238545</v>
      </c>
      <c r="M677" s="48">
        <v>513.53</v>
      </c>
      <c r="N677" s="41">
        <v>7.24</v>
      </c>
      <c r="O677" s="42">
        <f t="shared" si="407"/>
        <v>3717.9572</v>
      </c>
      <c r="P677" s="44"/>
      <c r="Q677" s="44"/>
      <c r="R677" s="68">
        <f t="shared" si="400"/>
        <v>2878.5223880597</v>
      </c>
      <c r="S677" s="68"/>
      <c r="T677" s="69">
        <f t="shared" si="401"/>
        <v>7.28731343283582</v>
      </c>
      <c r="U677" s="69">
        <v>80</v>
      </c>
      <c r="V677" s="68"/>
      <c r="W677" s="68">
        <f t="shared" si="395"/>
        <v>2965.80970149254</v>
      </c>
      <c r="X677" s="70">
        <f t="shared" si="402"/>
        <v>45.96</v>
      </c>
      <c r="Y677" s="70"/>
      <c r="Z677" s="70"/>
      <c r="AA677" s="70">
        <f t="shared" si="396"/>
        <v>45.96</v>
      </c>
      <c r="AB677" s="80">
        <v>7.24</v>
      </c>
      <c r="AC677" s="68">
        <f t="shared" si="397"/>
        <v>332.7504</v>
      </c>
      <c r="AD677" s="68">
        <f t="shared" si="398"/>
        <v>3298.56010149254</v>
      </c>
      <c r="AE677" s="68">
        <f t="shared" si="399"/>
        <v>419.39709850746</v>
      </c>
    </row>
    <row r="678" customFormat="1" spans="1:31">
      <c r="A678" s="18"/>
      <c r="B678" s="19"/>
      <c r="C678" s="20">
        <v>240622000010</v>
      </c>
      <c r="D678" s="21">
        <v>45472</v>
      </c>
      <c r="E678" s="21" t="s">
        <v>48</v>
      </c>
      <c r="F678" s="19" t="s">
        <v>49</v>
      </c>
      <c r="G678" s="19" t="s">
        <v>487</v>
      </c>
      <c r="H678" s="19">
        <v>3</v>
      </c>
      <c r="I678" s="45"/>
      <c r="J678" s="46">
        <v>38450.5</v>
      </c>
      <c r="K678" s="40"/>
      <c r="L678" s="47">
        <f t="shared" si="406"/>
        <v>1521.58686189157</v>
      </c>
      <c r="M678" s="48">
        <v>25.27</v>
      </c>
      <c r="N678" s="41">
        <v>7.24</v>
      </c>
      <c r="O678" s="42">
        <f t="shared" si="407"/>
        <v>182.9548</v>
      </c>
      <c r="P678" s="44"/>
      <c r="Q678" s="44"/>
      <c r="R678" s="68">
        <f t="shared" si="400"/>
        <v>130.841926729986</v>
      </c>
      <c r="S678" s="68"/>
      <c r="T678" s="69">
        <f t="shared" si="401"/>
        <v>0.331241519674356</v>
      </c>
      <c r="U678" s="68"/>
      <c r="V678" s="68"/>
      <c r="W678" s="68">
        <f t="shared" si="395"/>
        <v>131.173168249661</v>
      </c>
      <c r="X678" s="70">
        <f t="shared" si="402"/>
        <v>2.08909090909091</v>
      </c>
      <c r="Y678" s="70"/>
      <c r="Z678" s="70"/>
      <c r="AA678" s="70">
        <f t="shared" si="396"/>
        <v>2.08909090909091</v>
      </c>
      <c r="AB678" s="80">
        <v>7.24</v>
      </c>
      <c r="AC678" s="68">
        <f t="shared" si="397"/>
        <v>15.1250181818182</v>
      </c>
      <c r="AD678" s="68">
        <f t="shared" si="398"/>
        <v>146.298186431479</v>
      </c>
      <c r="AE678" s="68">
        <f t="shared" si="399"/>
        <v>36.656613568521</v>
      </c>
    </row>
    <row r="679" customFormat="1" spans="1:31">
      <c r="A679" s="18"/>
      <c r="B679" s="19"/>
      <c r="C679" s="20">
        <v>240622000011</v>
      </c>
      <c r="D679" s="21">
        <v>45472</v>
      </c>
      <c r="E679" s="21" t="s">
        <v>41</v>
      </c>
      <c r="F679" s="19" t="s">
        <v>42</v>
      </c>
      <c r="G679" s="19" t="s">
        <v>488</v>
      </c>
      <c r="H679" s="19">
        <v>4.5</v>
      </c>
      <c r="I679" s="38">
        <v>273</v>
      </c>
      <c r="J679" s="39"/>
      <c r="K679" s="40"/>
      <c r="L679" s="19"/>
      <c r="M679" s="40"/>
      <c r="N679" s="41"/>
      <c r="O679" s="42">
        <f t="shared" ref="O679:O683" si="409">SUM(I679)</f>
        <v>273</v>
      </c>
      <c r="P679" s="44"/>
      <c r="Q679" s="44"/>
      <c r="R679" s="68">
        <f t="shared" si="400"/>
        <v>196.26289009498</v>
      </c>
      <c r="S679" s="68"/>
      <c r="T679" s="69">
        <f t="shared" si="401"/>
        <v>0.496862279511533</v>
      </c>
      <c r="U679" s="68"/>
      <c r="V679" s="68"/>
      <c r="W679" s="68">
        <f t="shared" si="395"/>
        <v>196.759752374491</v>
      </c>
      <c r="X679" s="70">
        <f t="shared" si="402"/>
        <v>3.13363636363636</v>
      </c>
      <c r="Y679" s="70"/>
      <c r="Z679" s="70"/>
      <c r="AA679" s="70">
        <f t="shared" si="396"/>
        <v>3.13363636363636</v>
      </c>
      <c r="AB679" s="80">
        <v>7.24</v>
      </c>
      <c r="AC679" s="68">
        <f t="shared" si="397"/>
        <v>22.6875272727273</v>
      </c>
      <c r="AD679" s="68">
        <f t="shared" si="398"/>
        <v>219.447279647218</v>
      </c>
      <c r="AE679" s="68">
        <f t="shared" si="399"/>
        <v>53.552720352782</v>
      </c>
    </row>
    <row r="680" customFormat="1" spans="1:31">
      <c r="A680" s="18"/>
      <c r="B680" s="19"/>
      <c r="C680" s="20">
        <v>240622000012</v>
      </c>
      <c r="D680" s="21">
        <v>45472</v>
      </c>
      <c r="E680" s="21" t="s">
        <v>44</v>
      </c>
      <c r="F680" s="19" t="s">
        <v>45</v>
      </c>
      <c r="G680" s="19" t="s">
        <v>130</v>
      </c>
      <c r="H680" s="19">
        <v>31.5</v>
      </c>
      <c r="I680" s="38">
        <v>1740.5</v>
      </c>
      <c r="J680" s="39"/>
      <c r="K680" s="40"/>
      <c r="L680" s="19"/>
      <c r="M680" s="40"/>
      <c r="N680" s="41"/>
      <c r="O680" s="42">
        <f t="shared" si="409"/>
        <v>1740.5</v>
      </c>
      <c r="P680" s="44"/>
      <c r="Q680" s="44"/>
      <c r="R680" s="68">
        <f t="shared" si="400"/>
        <v>1373.84023066486</v>
      </c>
      <c r="S680" s="68"/>
      <c r="T680" s="69">
        <f t="shared" si="401"/>
        <v>3.47803595658073</v>
      </c>
      <c r="U680" s="68"/>
      <c r="V680" s="68"/>
      <c r="W680" s="68">
        <f t="shared" si="395"/>
        <v>1377.31826662144</v>
      </c>
      <c r="X680" s="70">
        <f t="shared" si="402"/>
        <v>21.9354545454545</v>
      </c>
      <c r="Y680" s="70"/>
      <c r="Z680" s="70"/>
      <c r="AA680" s="70">
        <f t="shared" si="396"/>
        <v>21.9354545454545</v>
      </c>
      <c r="AB680" s="80">
        <v>7.24</v>
      </c>
      <c r="AC680" s="68">
        <f t="shared" si="397"/>
        <v>158.812690909091</v>
      </c>
      <c r="AD680" s="68">
        <f t="shared" si="398"/>
        <v>1536.13095753053</v>
      </c>
      <c r="AE680" s="68">
        <f t="shared" si="399"/>
        <v>204.36904246947</v>
      </c>
    </row>
    <row r="681" customFormat="1" spans="1:31">
      <c r="A681" s="18"/>
      <c r="B681" s="19"/>
      <c r="C681" s="20">
        <v>240622000013</v>
      </c>
      <c r="D681" s="21">
        <v>45472</v>
      </c>
      <c r="E681" s="21" t="s">
        <v>37</v>
      </c>
      <c r="F681" s="19" t="s">
        <v>37</v>
      </c>
      <c r="G681" s="19" t="s">
        <v>458</v>
      </c>
      <c r="H681" s="19">
        <v>3</v>
      </c>
      <c r="I681" s="42"/>
      <c r="J681" s="46">
        <v>42168</v>
      </c>
      <c r="K681" s="40"/>
      <c r="L681" s="47">
        <f>SUM(J681/M681)</f>
        <v>1506</v>
      </c>
      <c r="M681" s="48">
        <v>28</v>
      </c>
      <c r="N681" s="41">
        <v>7.24</v>
      </c>
      <c r="O681" s="42">
        <f t="shared" ref="O681:O685" si="410">SUM(M681*N681)</f>
        <v>202.72</v>
      </c>
      <c r="P681" s="44"/>
      <c r="Q681" s="44"/>
      <c r="R681" s="68">
        <f t="shared" si="400"/>
        <v>130.841926729986</v>
      </c>
      <c r="S681" s="68"/>
      <c r="T681" s="69">
        <f t="shared" si="401"/>
        <v>0.331241519674356</v>
      </c>
      <c r="U681" s="68"/>
      <c r="V681" s="68"/>
      <c r="W681" s="68">
        <f t="shared" si="395"/>
        <v>131.173168249661</v>
      </c>
      <c r="X681" s="70">
        <f t="shared" si="402"/>
        <v>2.08909090909091</v>
      </c>
      <c r="Y681" s="70"/>
      <c r="Z681" s="70"/>
      <c r="AA681" s="70">
        <f t="shared" si="396"/>
        <v>2.08909090909091</v>
      </c>
      <c r="AB681" s="80">
        <v>7.24</v>
      </c>
      <c r="AC681" s="68">
        <f t="shared" si="397"/>
        <v>15.1250181818182</v>
      </c>
      <c r="AD681" s="68">
        <f t="shared" si="398"/>
        <v>146.298186431479</v>
      </c>
      <c r="AE681" s="68">
        <f t="shared" si="399"/>
        <v>56.421813568521</v>
      </c>
    </row>
    <row r="682" customFormat="1" spans="1:31">
      <c r="A682" s="18"/>
      <c r="B682" s="19"/>
      <c r="C682" s="20">
        <v>240623000004</v>
      </c>
      <c r="D682" s="21">
        <v>45472</v>
      </c>
      <c r="E682" s="21" t="s">
        <v>85</v>
      </c>
      <c r="F682" s="19" t="s">
        <v>86</v>
      </c>
      <c r="G682" s="19" t="s">
        <v>489</v>
      </c>
      <c r="H682" s="19">
        <v>4</v>
      </c>
      <c r="I682" s="38">
        <v>243</v>
      </c>
      <c r="J682" s="39"/>
      <c r="K682" s="40"/>
      <c r="L682" s="19"/>
      <c r="M682" s="40"/>
      <c r="N682" s="41"/>
      <c r="O682" s="42">
        <f t="shared" si="409"/>
        <v>243</v>
      </c>
      <c r="P682" s="44"/>
      <c r="Q682" s="44"/>
      <c r="R682" s="68">
        <f t="shared" si="400"/>
        <v>174.455902306649</v>
      </c>
      <c r="S682" s="68"/>
      <c r="T682" s="69">
        <f t="shared" si="401"/>
        <v>0.441655359565807</v>
      </c>
      <c r="U682" s="68"/>
      <c r="V682" s="68"/>
      <c r="W682" s="68">
        <f t="shared" si="395"/>
        <v>174.897557666214</v>
      </c>
      <c r="X682" s="70">
        <f t="shared" si="402"/>
        <v>2.78545454545455</v>
      </c>
      <c r="Y682" s="70"/>
      <c r="Z682" s="70"/>
      <c r="AA682" s="70">
        <f t="shared" si="396"/>
        <v>2.78545454545455</v>
      </c>
      <c r="AB682" s="80">
        <v>7.24</v>
      </c>
      <c r="AC682" s="68">
        <f t="shared" si="397"/>
        <v>20.1666909090909</v>
      </c>
      <c r="AD682" s="68">
        <f t="shared" si="398"/>
        <v>195.064248575305</v>
      </c>
      <c r="AE682" s="68">
        <f t="shared" si="399"/>
        <v>47.935751424695</v>
      </c>
    </row>
    <row r="683" customFormat="1" spans="1:31">
      <c r="A683" s="18"/>
      <c r="B683" s="19"/>
      <c r="C683" s="81">
        <v>240623000007</v>
      </c>
      <c r="D683" s="82">
        <v>45472</v>
      </c>
      <c r="E683" s="21" t="s">
        <v>44</v>
      </c>
      <c r="F683" s="83" t="s">
        <v>45</v>
      </c>
      <c r="G683" s="83" t="s">
        <v>274</v>
      </c>
      <c r="H683" s="83">
        <v>16.5</v>
      </c>
      <c r="I683" s="38">
        <v>946.5</v>
      </c>
      <c r="J683" s="39"/>
      <c r="K683" s="40"/>
      <c r="L683" s="19"/>
      <c r="M683" s="40"/>
      <c r="N683" s="41"/>
      <c r="O683" s="42">
        <f t="shared" si="409"/>
        <v>946.5</v>
      </c>
      <c r="P683" s="44"/>
      <c r="Q683" s="44"/>
      <c r="R683" s="68">
        <f t="shared" si="400"/>
        <v>719.630597014925</v>
      </c>
      <c r="S683" s="68"/>
      <c r="T683" s="69">
        <f t="shared" si="401"/>
        <v>1.82182835820896</v>
      </c>
      <c r="U683" s="68"/>
      <c r="V683" s="68"/>
      <c r="W683" s="68">
        <f t="shared" si="395"/>
        <v>721.452425373134</v>
      </c>
      <c r="X683" s="70">
        <f t="shared" si="402"/>
        <v>11.49</v>
      </c>
      <c r="Y683" s="70"/>
      <c r="Z683" s="70"/>
      <c r="AA683" s="70">
        <f t="shared" si="396"/>
        <v>11.49</v>
      </c>
      <c r="AB683" s="80">
        <v>7.24</v>
      </c>
      <c r="AC683" s="68">
        <f t="shared" si="397"/>
        <v>83.1876</v>
      </c>
      <c r="AD683" s="68">
        <f t="shared" si="398"/>
        <v>804.640025373134</v>
      </c>
      <c r="AE683" s="68">
        <f t="shared" si="399"/>
        <v>141.859974626866</v>
      </c>
    </row>
    <row r="684" customFormat="1" spans="1:31">
      <c r="A684" s="18"/>
      <c r="B684" s="19"/>
      <c r="C684" s="20">
        <v>240623000008</v>
      </c>
      <c r="D684" s="21">
        <v>45472</v>
      </c>
      <c r="E684" s="21" t="s">
        <v>44</v>
      </c>
      <c r="F684" s="19" t="s">
        <v>476</v>
      </c>
      <c r="G684" s="19" t="s">
        <v>477</v>
      </c>
      <c r="H684" s="19">
        <v>0.26</v>
      </c>
      <c r="I684" s="85">
        <v>64</v>
      </c>
      <c r="J684" s="39"/>
      <c r="K684" s="40"/>
      <c r="L684" s="19"/>
      <c r="M684" s="40"/>
      <c r="N684" s="41"/>
      <c r="O684" s="42">
        <f>SUBTOTAL(9,I684)</f>
        <v>64</v>
      </c>
      <c r="P684" s="44"/>
      <c r="Q684" s="44"/>
      <c r="R684" s="68">
        <f t="shared" si="400"/>
        <v>11.3396336499322</v>
      </c>
      <c r="S684" s="68"/>
      <c r="T684" s="69">
        <f t="shared" si="401"/>
        <v>0.0287075983717775</v>
      </c>
      <c r="U684" s="68"/>
      <c r="V684" s="68"/>
      <c r="W684" s="68">
        <f t="shared" si="395"/>
        <v>11.3683412483039</v>
      </c>
      <c r="X684" s="70">
        <f t="shared" si="402"/>
        <v>0.181054545454545</v>
      </c>
      <c r="Y684" s="70"/>
      <c r="Z684" s="70"/>
      <c r="AA684" s="70">
        <f t="shared" si="396"/>
        <v>0.181054545454545</v>
      </c>
      <c r="AB684" s="80">
        <v>7.24</v>
      </c>
      <c r="AC684" s="68">
        <f t="shared" si="397"/>
        <v>1.31083490909091</v>
      </c>
      <c r="AD684" s="68">
        <f t="shared" si="398"/>
        <v>12.6791761573948</v>
      </c>
      <c r="AE684" s="68">
        <f t="shared" si="399"/>
        <v>51.3208238426052</v>
      </c>
    </row>
    <row r="685" customFormat="1" spans="1:31">
      <c r="A685" s="18"/>
      <c r="B685" s="19"/>
      <c r="C685" s="20">
        <v>240624000001</v>
      </c>
      <c r="D685" s="21">
        <v>45472</v>
      </c>
      <c r="E685" s="21" t="s">
        <v>51</v>
      </c>
      <c r="F685" s="19" t="s">
        <v>490</v>
      </c>
      <c r="G685" s="19" t="s">
        <v>491</v>
      </c>
      <c r="H685" s="19">
        <v>2.5</v>
      </c>
      <c r="I685" s="42"/>
      <c r="J685" s="46">
        <v>33787.5</v>
      </c>
      <c r="K685" s="40"/>
      <c r="L685" s="47">
        <f t="shared" ref="L685:L688" si="411">SUM(J685/M685)</f>
        <v>1590</v>
      </c>
      <c r="M685" s="48">
        <v>21.25</v>
      </c>
      <c r="N685" s="41">
        <v>7.24</v>
      </c>
      <c r="O685" s="42">
        <f t="shared" si="410"/>
        <v>153.85</v>
      </c>
      <c r="P685" s="44"/>
      <c r="Q685" s="44"/>
      <c r="R685" s="68">
        <f t="shared" si="400"/>
        <v>109.034938941655</v>
      </c>
      <c r="S685" s="68"/>
      <c r="T685" s="69">
        <f t="shared" si="401"/>
        <v>0.27603459972863</v>
      </c>
      <c r="U685" s="68"/>
      <c r="V685" s="68"/>
      <c r="W685" s="68">
        <f t="shared" si="395"/>
        <v>109.310973541384</v>
      </c>
      <c r="X685" s="70">
        <f t="shared" si="402"/>
        <v>1.74090909090909</v>
      </c>
      <c r="Y685" s="70"/>
      <c r="Z685" s="70"/>
      <c r="AA685" s="70">
        <f t="shared" si="396"/>
        <v>1.74090909090909</v>
      </c>
      <c r="AB685" s="80">
        <v>7.24</v>
      </c>
      <c r="AC685" s="68">
        <f t="shared" si="397"/>
        <v>12.6041818181818</v>
      </c>
      <c r="AD685" s="68">
        <f t="shared" si="398"/>
        <v>121.915155359566</v>
      </c>
      <c r="AE685" s="68">
        <f t="shared" si="399"/>
        <v>31.934844640434</v>
      </c>
    </row>
    <row r="686" customFormat="1" spans="1:31">
      <c r="A686" s="18"/>
      <c r="B686" s="19"/>
      <c r="C686" s="20">
        <v>240624000002</v>
      </c>
      <c r="D686" s="21">
        <v>45472</v>
      </c>
      <c r="E686" s="21" t="s">
        <v>44</v>
      </c>
      <c r="F686" s="19" t="s">
        <v>45</v>
      </c>
      <c r="G686" s="19" t="s">
        <v>288</v>
      </c>
      <c r="H686" s="19">
        <v>2</v>
      </c>
      <c r="I686" s="38">
        <v>135</v>
      </c>
      <c r="J686" s="39"/>
      <c r="K686" s="40"/>
      <c r="L686" s="19"/>
      <c r="M686" s="40"/>
      <c r="N686" s="41"/>
      <c r="O686" s="42">
        <f t="shared" ref="O686:O690" si="412">SUM(I686)</f>
        <v>135</v>
      </c>
      <c r="P686" s="44"/>
      <c r="Q686" s="44"/>
      <c r="R686" s="68">
        <f t="shared" si="400"/>
        <v>87.2279511533243</v>
      </c>
      <c r="S686" s="68"/>
      <c r="T686" s="69">
        <f t="shared" si="401"/>
        <v>0.220827679782904</v>
      </c>
      <c r="U686" s="68"/>
      <c r="V686" s="68"/>
      <c r="W686" s="68">
        <f t="shared" si="395"/>
        <v>87.4487788331072</v>
      </c>
      <c r="X686" s="70">
        <f t="shared" si="402"/>
        <v>1.39272727272727</v>
      </c>
      <c r="Y686" s="70"/>
      <c r="Z686" s="70"/>
      <c r="AA686" s="70">
        <f t="shared" si="396"/>
        <v>1.39272727272727</v>
      </c>
      <c r="AB686" s="80">
        <v>7.24</v>
      </c>
      <c r="AC686" s="68">
        <f t="shared" si="397"/>
        <v>10.0833454545455</v>
      </c>
      <c r="AD686" s="68">
        <f t="shared" si="398"/>
        <v>97.5321242876526</v>
      </c>
      <c r="AE686" s="68">
        <f t="shared" si="399"/>
        <v>37.4678757123474</v>
      </c>
    </row>
    <row r="687" customFormat="1" spans="1:31">
      <c r="A687" s="18"/>
      <c r="B687" s="19"/>
      <c r="C687" s="20">
        <v>240624000003</v>
      </c>
      <c r="D687" s="21">
        <v>45472</v>
      </c>
      <c r="E687" s="21" t="s">
        <v>44</v>
      </c>
      <c r="F687" s="19" t="s">
        <v>45</v>
      </c>
      <c r="G687" s="19" t="s">
        <v>127</v>
      </c>
      <c r="H687" s="19">
        <v>0.49</v>
      </c>
      <c r="I687" s="42"/>
      <c r="J687" s="46">
        <v>13252</v>
      </c>
      <c r="K687" s="40"/>
      <c r="L687" s="47">
        <f t="shared" si="411"/>
        <v>1505.90909090909</v>
      </c>
      <c r="M687" s="48">
        <v>8.8</v>
      </c>
      <c r="N687" s="41">
        <v>7.24</v>
      </c>
      <c r="O687" s="42">
        <f>SUM(M687*N687)</f>
        <v>63.712</v>
      </c>
      <c r="P687" s="44"/>
      <c r="Q687" s="44"/>
      <c r="R687" s="68">
        <f t="shared" si="400"/>
        <v>21.3708480325644</v>
      </c>
      <c r="S687" s="68"/>
      <c r="T687" s="69">
        <f t="shared" si="401"/>
        <v>0.0541027815468114</v>
      </c>
      <c r="U687" s="68"/>
      <c r="V687" s="68"/>
      <c r="W687" s="68">
        <f t="shared" si="395"/>
        <v>21.4249508141113</v>
      </c>
      <c r="X687" s="70">
        <f t="shared" si="402"/>
        <v>0.341218181818182</v>
      </c>
      <c r="Y687" s="70"/>
      <c r="Z687" s="70"/>
      <c r="AA687" s="70">
        <f t="shared" si="396"/>
        <v>0.341218181818182</v>
      </c>
      <c r="AB687" s="80">
        <v>7.24</v>
      </c>
      <c r="AC687" s="68">
        <f t="shared" si="397"/>
        <v>2.47041963636364</v>
      </c>
      <c r="AD687" s="68">
        <f t="shared" si="398"/>
        <v>23.8953704504749</v>
      </c>
      <c r="AE687" s="68">
        <f t="shared" si="399"/>
        <v>39.8166295495251</v>
      </c>
    </row>
    <row r="688" customFormat="1" spans="1:31">
      <c r="A688" s="18"/>
      <c r="B688" s="19"/>
      <c r="C688" s="20">
        <v>240624000006</v>
      </c>
      <c r="D688" s="21">
        <v>45472</v>
      </c>
      <c r="E688" s="21" t="s">
        <v>48</v>
      </c>
      <c r="F688" s="19" t="s">
        <v>49</v>
      </c>
      <c r="G688" s="19" t="s">
        <v>164</v>
      </c>
      <c r="H688" s="19">
        <v>129.5</v>
      </c>
      <c r="I688" s="86"/>
      <c r="J688" s="46">
        <v>1745012.5</v>
      </c>
      <c r="K688" s="40"/>
      <c r="L688" s="47">
        <f t="shared" si="411"/>
        <v>1773.80129501814</v>
      </c>
      <c r="M688" s="48">
        <v>983.77</v>
      </c>
      <c r="N688" s="97">
        <v>7.24</v>
      </c>
      <c r="O688" s="42">
        <f>SUM(M688*N688)</f>
        <v>7122.4948</v>
      </c>
      <c r="P688" s="44"/>
      <c r="Q688" s="44"/>
      <c r="R688" s="68">
        <f t="shared" si="400"/>
        <v>5648.00983717775</v>
      </c>
      <c r="S688" s="68"/>
      <c r="T688" s="69">
        <f t="shared" si="401"/>
        <v>14.298592265943</v>
      </c>
      <c r="U688" s="68"/>
      <c r="V688" s="68"/>
      <c r="W688" s="68">
        <f t="shared" si="395"/>
        <v>5662.30842944369</v>
      </c>
      <c r="X688" s="70">
        <f t="shared" si="402"/>
        <v>90.1790909090909</v>
      </c>
      <c r="Y688" s="70"/>
      <c r="Z688" s="70"/>
      <c r="AA688" s="70">
        <f t="shared" si="396"/>
        <v>90.1790909090909</v>
      </c>
      <c r="AB688" s="80">
        <v>7.24</v>
      </c>
      <c r="AC688" s="68">
        <f t="shared" si="397"/>
        <v>652.896618181818</v>
      </c>
      <c r="AD688" s="68">
        <f t="shared" si="398"/>
        <v>6315.20504762551</v>
      </c>
      <c r="AE688" s="68">
        <f t="shared" si="399"/>
        <v>807.28975237449</v>
      </c>
    </row>
    <row r="689" customFormat="1" spans="1:31">
      <c r="A689" s="18"/>
      <c r="B689" s="19"/>
      <c r="C689" s="20">
        <v>240624000008</v>
      </c>
      <c r="D689" s="21">
        <v>45472</v>
      </c>
      <c r="E689" s="21" t="s">
        <v>37</v>
      </c>
      <c r="F689" s="19" t="s">
        <v>37</v>
      </c>
      <c r="G689" s="19" t="s">
        <v>277</v>
      </c>
      <c r="H689" s="19">
        <v>53</v>
      </c>
      <c r="I689" s="45">
        <v>2923</v>
      </c>
      <c r="J689" s="39"/>
      <c r="K689" s="40"/>
      <c r="L689" s="19"/>
      <c r="M689" s="40"/>
      <c r="N689" s="41"/>
      <c r="O689" s="42">
        <f t="shared" si="412"/>
        <v>2923</v>
      </c>
      <c r="P689" s="44"/>
      <c r="Q689" s="44"/>
      <c r="R689" s="68">
        <f t="shared" si="400"/>
        <v>2311.54070556309</v>
      </c>
      <c r="S689" s="68"/>
      <c r="T689" s="69">
        <f t="shared" si="401"/>
        <v>5.85193351424695</v>
      </c>
      <c r="U689" s="68"/>
      <c r="V689" s="68"/>
      <c r="W689" s="68">
        <f t="shared" si="395"/>
        <v>2317.39263907734</v>
      </c>
      <c r="X689" s="70">
        <f t="shared" si="402"/>
        <v>36.9072727272727</v>
      </c>
      <c r="Y689" s="70"/>
      <c r="Z689" s="70"/>
      <c r="AA689" s="70">
        <f t="shared" si="396"/>
        <v>36.9072727272727</v>
      </c>
      <c r="AB689" s="80">
        <v>7.24</v>
      </c>
      <c r="AC689" s="68">
        <f t="shared" si="397"/>
        <v>267.208654545455</v>
      </c>
      <c r="AD689" s="68">
        <f t="shared" si="398"/>
        <v>2584.60129362279</v>
      </c>
      <c r="AE689" s="68">
        <f t="shared" si="399"/>
        <v>338.39870637721</v>
      </c>
    </row>
    <row r="690" customFormat="1" spans="1:31">
      <c r="A690" s="18"/>
      <c r="B690" s="19"/>
      <c r="C690" s="20">
        <v>240624000011</v>
      </c>
      <c r="D690" s="21">
        <v>45472</v>
      </c>
      <c r="E690" s="21" t="s">
        <v>51</v>
      </c>
      <c r="F690" s="19" t="s">
        <v>52</v>
      </c>
      <c r="G690" s="19" t="s">
        <v>112</v>
      </c>
      <c r="H690" s="19">
        <v>5</v>
      </c>
      <c r="I690" s="38">
        <v>275</v>
      </c>
      <c r="J690" s="39"/>
      <c r="K690" s="40"/>
      <c r="L690" s="19"/>
      <c r="M690" s="40"/>
      <c r="N690" s="41"/>
      <c r="O690" s="42">
        <f t="shared" si="412"/>
        <v>275</v>
      </c>
      <c r="P690" s="44"/>
      <c r="Q690" s="44"/>
      <c r="R690" s="68">
        <f t="shared" si="400"/>
        <v>218.069877883311</v>
      </c>
      <c r="S690" s="68"/>
      <c r="T690" s="69">
        <f t="shared" si="401"/>
        <v>0.552069199457259</v>
      </c>
      <c r="U690" s="68"/>
      <c r="V690" s="68"/>
      <c r="W690" s="68">
        <f t="shared" si="395"/>
        <v>218.621947082768</v>
      </c>
      <c r="X690" s="70">
        <f t="shared" si="402"/>
        <v>3.48181818181818</v>
      </c>
      <c r="Y690" s="70"/>
      <c r="Z690" s="70"/>
      <c r="AA690" s="70">
        <f t="shared" si="396"/>
        <v>3.48181818181818</v>
      </c>
      <c r="AB690" s="80">
        <v>7.24</v>
      </c>
      <c r="AC690" s="68">
        <f t="shared" si="397"/>
        <v>25.2083636363636</v>
      </c>
      <c r="AD690" s="68">
        <f t="shared" si="398"/>
        <v>243.830310719132</v>
      </c>
      <c r="AE690" s="68">
        <f t="shared" si="399"/>
        <v>31.169689280868</v>
      </c>
    </row>
    <row r="691" customFormat="1" spans="1:31">
      <c r="A691" s="18"/>
      <c r="B691" s="19"/>
      <c r="C691" s="20">
        <v>240624000012</v>
      </c>
      <c r="D691" s="21">
        <v>45472</v>
      </c>
      <c r="E691" s="21" t="s">
        <v>48</v>
      </c>
      <c r="F691" s="19" t="s">
        <v>49</v>
      </c>
      <c r="G691" s="19" t="s">
        <v>492</v>
      </c>
      <c r="H691" s="19">
        <v>3</v>
      </c>
      <c r="I691" s="45"/>
      <c r="J691" s="46">
        <v>38339</v>
      </c>
      <c r="K691" s="40"/>
      <c r="L691" s="47">
        <f t="shared" ref="L691:L694" si="413">SUM(J691/M691)</f>
        <v>1517.17451523546</v>
      </c>
      <c r="M691" s="48">
        <v>25.27</v>
      </c>
      <c r="N691" s="41">
        <v>7.24</v>
      </c>
      <c r="O691" s="42">
        <f t="shared" ref="O691:O694" si="414">SUM(M691*N691)</f>
        <v>182.9548</v>
      </c>
      <c r="P691" s="44"/>
      <c r="Q691" s="44"/>
      <c r="R691" s="68">
        <f t="shared" si="400"/>
        <v>130.841926729986</v>
      </c>
      <c r="S691" s="68"/>
      <c r="T691" s="69">
        <f t="shared" si="401"/>
        <v>0.331241519674356</v>
      </c>
      <c r="U691" s="68"/>
      <c r="V691" s="68"/>
      <c r="W691" s="68">
        <f t="shared" si="395"/>
        <v>131.173168249661</v>
      </c>
      <c r="X691" s="70">
        <f t="shared" si="402"/>
        <v>2.08909090909091</v>
      </c>
      <c r="Y691" s="70"/>
      <c r="Z691" s="70"/>
      <c r="AA691" s="70">
        <f t="shared" si="396"/>
        <v>2.08909090909091</v>
      </c>
      <c r="AB691" s="80">
        <v>7.24</v>
      </c>
      <c r="AC691" s="68">
        <f t="shared" si="397"/>
        <v>15.1250181818182</v>
      </c>
      <c r="AD691" s="68">
        <f t="shared" si="398"/>
        <v>146.298186431479</v>
      </c>
      <c r="AE691" s="68">
        <f t="shared" si="399"/>
        <v>36.656613568521</v>
      </c>
    </row>
    <row r="692" customFormat="1" spans="1:31">
      <c r="A692" s="18"/>
      <c r="B692" s="19"/>
      <c r="C692" s="20">
        <v>240624000013</v>
      </c>
      <c r="D692" s="21">
        <v>45472</v>
      </c>
      <c r="E692" s="21" t="s">
        <v>48</v>
      </c>
      <c r="F692" s="19" t="s">
        <v>49</v>
      </c>
      <c r="G692" s="19" t="s">
        <v>65</v>
      </c>
      <c r="H692" s="19">
        <v>5</v>
      </c>
      <c r="I692" s="38">
        <v>275</v>
      </c>
      <c r="J692" s="39"/>
      <c r="K692" s="40"/>
      <c r="L692" s="19"/>
      <c r="M692" s="40"/>
      <c r="N692" s="41"/>
      <c r="O692" s="42">
        <f t="shared" ref="O692:O696" si="415">SUM(I692)</f>
        <v>275</v>
      </c>
      <c r="P692" s="44"/>
      <c r="Q692" s="44"/>
      <c r="R692" s="68">
        <f t="shared" si="400"/>
        <v>218.069877883311</v>
      </c>
      <c r="S692" s="68"/>
      <c r="T692" s="69">
        <f t="shared" si="401"/>
        <v>0.552069199457259</v>
      </c>
      <c r="U692" s="68"/>
      <c r="V692" s="68"/>
      <c r="W692" s="68">
        <f t="shared" si="395"/>
        <v>218.621947082768</v>
      </c>
      <c r="X692" s="70">
        <f t="shared" si="402"/>
        <v>3.48181818181818</v>
      </c>
      <c r="Y692" s="70"/>
      <c r="Z692" s="70"/>
      <c r="AA692" s="70">
        <f t="shared" si="396"/>
        <v>3.48181818181818</v>
      </c>
      <c r="AB692" s="80">
        <v>7.24</v>
      </c>
      <c r="AC692" s="68">
        <f t="shared" si="397"/>
        <v>25.2083636363636</v>
      </c>
      <c r="AD692" s="68">
        <f t="shared" si="398"/>
        <v>243.830310719132</v>
      </c>
      <c r="AE692" s="68">
        <f t="shared" si="399"/>
        <v>31.169689280868</v>
      </c>
    </row>
    <row r="693" customFormat="1" spans="1:31">
      <c r="A693" s="18"/>
      <c r="B693" s="19"/>
      <c r="C693" s="20">
        <v>240624000017</v>
      </c>
      <c r="D693" s="21">
        <v>45472</v>
      </c>
      <c r="E693" s="21" t="s">
        <v>41</v>
      </c>
      <c r="F693" s="19" t="s">
        <v>42</v>
      </c>
      <c r="G693" s="19" t="s">
        <v>125</v>
      </c>
      <c r="H693" s="19">
        <v>0.84</v>
      </c>
      <c r="I693" s="42"/>
      <c r="J693" s="46">
        <v>13252.8</v>
      </c>
      <c r="K693" s="40"/>
      <c r="L693" s="47">
        <f t="shared" si="413"/>
        <v>1506</v>
      </c>
      <c r="M693" s="48">
        <v>8.8</v>
      </c>
      <c r="N693" s="41">
        <v>7.24</v>
      </c>
      <c r="O693" s="42">
        <f t="shared" si="414"/>
        <v>63.712</v>
      </c>
      <c r="P693" s="44"/>
      <c r="Q693" s="44"/>
      <c r="R693" s="68">
        <f t="shared" si="400"/>
        <v>36.6357394843962</v>
      </c>
      <c r="S693" s="68"/>
      <c r="T693" s="69">
        <f t="shared" si="401"/>
        <v>0.0927476255088195</v>
      </c>
      <c r="U693" s="68"/>
      <c r="V693" s="68"/>
      <c r="W693" s="68">
        <f t="shared" ref="W693:W730" si="416">SUM(R693:V693)</f>
        <v>36.728487109905</v>
      </c>
      <c r="X693" s="70">
        <f t="shared" si="402"/>
        <v>0.584945454545455</v>
      </c>
      <c r="Y693" s="70"/>
      <c r="Z693" s="70"/>
      <c r="AA693" s="70">
        <f t="shared" ref="AA693:AA730" si="417">SUM(X693:Z693)</f>
        <v>0.584945454545455</v>
      </c>
      <c r="AB693" s="80">
        <v>7.24</v>
      </c>
      <c r="AC693" s="68">
        <f t="shared" ref="AC693:AC729" si="418">SUM(AA693*AB693)</f>
        <v>4.23500509090909</v>
      </c>
      <c r="AD693" s="68">
        <f t="shared" ref="AD693:AD728" si="419">SUM(W693+AC693)</f>
        <v>40.9634922008141</v>
      </c>
      <c r="AE693" s="68">
        <f t="shared" ref="AE693:AE729" si="420">SUM(O693-AD693)</f>
        <v>22.7485077991859</v>
      </c>
    </row>
    <row r="694" customFormat="1" spans="1:31">
      <c r="A694" s="18"/>
      <c r="B694" s="19"/>
      <c r="C694" s="20">
        <v>240624000018</v>
      </c>
      <c r="D694" s="21">
        <v>45472</v>
      </c>
      <c r="E694" s="21" t="s">
        <v>41</v>
      </c>
      <c r="F694" s="19" t="s">
        <v>42</v>
      </c>
      <c r="G694" s="19" t="s">
        <v>125</v>
      </c>
      <c r="H694" s="19">
        <v>0.54</v>
      </c>
      <c r="I694" s="42"/>
      <c r="J694" s="46">
        <v>13252.8</v>
      </c>
      <c r="K694" s="40"/>
      <c r="L694" s="47">
        <f t="shared" si="413"/>
        <v>1506</v>
      </c>
      <c r="M694" s="48">
        <v>8.8</v>
      </c>
      <c r="N694" s="41">
        <v>7.24</v>
      </c>
      <c r="O694" s="42">
        <f t="shared" si="414"/>
        <v>63.712</v>
      </c>
      <c r="P694" s="44"/>
      <c r="Q694" s="44"/>
      <c r="R694" s="68">
        <f t="shared" si="400"/>
        <v>23.5515468113976</v>
      </c>
      <c r="S694" s="68"/>
      <c r="T694" s="69">
        <f t="shared" si="401"/>
        <v>0.059623473541384</v>
      </c>
      <c r="U694" s="68"/>
      <c r="V694" s="68"/>
      <c r="W694" s="68">
        <f t="shared" si="416"/>
        <v>23.6111702849389</v>
      </c>
      <c r="X694" s="70">
        <f t="shared" si="402"/>
        <v>0.376036363636364</v>
      </c>
      <c r="Y694" s="70"/>
      <c r="Z694" s="70"/>
      <c r="AA694" s="70">
        <f t="shared" si="417"/>
        <v>0.376036363636364</v>
      </c>
      <c r="AB694" s="80">
        <v>7.24</v>
      </c>
      <c r="AC694" s="68">
        <f t="shared" si="418"/>
        <v>2.72250327272727</v>
      </c>
      <c r="AD694" s="68">
        <f t="shared" si="419"/>
        <v>26.3336735576662</v>
      </c>
      <c r="AE694" s="68">
        <f t="shared" si="420"/>
        <v>37.3783264423338</v>
      </c>
    </row>
    <row r="695" customFormat="1" spans="1:31">
      <c r="A695" s="18"/>
      <c r="B695" s="19"/>
      <c r="C695" s="20">
        <v>240624000024</v>
      </c>
      <c r="D695" s="21">
        <v>45472</v>
      </c>
      <c r="E695" s="21" t="s">
        <v>51</v>
      </c>
      <c r="F695" s="19" t="s">
        <v>52</v>
      </c>
      <c r="G695" s="19" t="s">
        <v>111</v>
      </c>
      <c r="H695" s="19">
        <v>6.5</v>
      </c>
      <c r="I695" s="38">
        <v>357.5</v>
      </c>
      <c r="J695" s="39"/>
      <c r="K695" s="40"/>
      <c r="L695" s="19"/>
      <c r="M695" s="40"/>
      <c r="N695" s="41"/>
      <c r="O695" s="42">
        <f t="shared" si="415"/>
        <v>357.5</v>
      </c>
      <c r="P695" s="44"/>
      <c r="Q695" s="44"/>
      <c r="R695" s="68">
        <f t="shared" ref="R695:R731" si="421">SUM(64287/1474)*H695</f>
        <v>283.490841248304</v>
      </c>
      <c r="S695" s="68"/>
      <c r="T695" s="69">
        <f t="shared" ref="T695:T731" si="422">SUM(162.75/1474)*H695</f>
        <v>0.717689959294437</v>
      </c>
      <c r="U695" s="68"/>
      <c r="V695" s="68"/>
      <c r="W695" s="68">
        <f t="shared" si="416"/>
        <v>284.208531207598</v>
      </c>
      <c r="X695" s="70">
        <f t="shared" ref="X695:X731" si="423">SUM(1026.44/1474)*H695</f>
        <v>4.52636363636364</v>
      </c>
      <c r="Y695" s="70"/>
      <c r="Z695" s="70"/>
      <c r="AA695" s="70">
        <f t="shared" si="417"/>
        <v>4.52636363636364</v>
      </c>
      <c r="AB695" s="80">
        <v>7.24</v>
      </c>
      <c r="AC695" s="68">
        <f t="shared" si="418"/>
        <v>32.7708727272727</v>
      </c>
      <c r="AD695" s="68">
        <f t="shared" si="419"/>
        <v>316.979403934871</v>
      </c>
      <c r="AE695" s="68">
        <f t="shared" si="420"/>
        <v>40.520596065129</v>
      </c>
    </row>
    <row r="696" customFormat="1" spans="1:31">
      <c r="A696" s="18"/>
      <c r="B696" s="19"/>
      <c r="C696" s="20">
        <v>240624000025</v>
      </c>
      <c r="D696" s="21">
        <v>45472</v>
      </c>
      <c r="E696" s="21" t="s">
        <v>48</v>
      </c>
      <c r="F696" s="19" t="s">
        <v>49</v>
      </c>
      <c r="G696" s="19" t="s">
        <v>63</v>
      </c>
      <c r="H696" s="19">
        <v>6.5</v>
      </c>
      <c r="I696" s="38">
        <v>390</v>
      </c>
      <c r="J696" s="39"/>
      <c r="K696" s="40"/>
      <c r="L696" s="19"/>
      <c r="M696" s="40"/>
      <c r="N696" s="41"/>
      <c r="O696" s="42">
        <f t="shared" si="415"/>
        <v>390</v>
      </c>
      <c r="P696" s="44"/>
      <c r="Q696" s="44"/>
      <c r="R696" s="68">
        <f t="shared" si="421"/>
        <v>283.490841248304</v>
      </c>
      <c r="S696" s="68"/>
      <c r="T696" s="69">
        <f t="shared" si="422"/>
        <v>0.717689959294437</v>
      </c>
      <c r="U696" s="68"/>
      <c r="V696" s="68"/>
      <c r="W696" s="68">
        <f t="shared" si="416"/>
        <v>284.208531207598</v>
      </c>
      <c r="X696" s="70">
        <f t="shared" si="423"/>
        <v>4.52636363636364</v>
      </c>
      <c r="Y696" s="70"/>
      <c r="Z696" s="70"/>
      <c r="AA696" s="70">
        <f t="shared" si="417"/>
        <v>4.52636363636364</v>
      </c>
      <c r="AB696" s="80">
        <v>7.24</v>
      </c>
      <c r="AC696" s="68">
        <f t="shared" si="418"/>
        <v>32.7708727272727</v>
      </c>
      <c r="AD696" s="68">
        <f t="shared" si="419"/>
        <v>316.979403934871</v>
      </c>
      <c r="AE696" s="68">
        <f t="shared" si="420"/>
        <v>73.020596065129</v>
      </c>
    </row>
    <row r="697" customFormat="1" spans="1:31">
      <c r="A697" s="18"/>
      <c r="B697" s="19"/>
      <c r="C697" s="20">
        <v>240624000030</v>
      </c>
      <c r="D697" s="21">
        <v>45472</v>
      </c>
      <c r="E697" s="21" t="s">
        <v>48</v>
      </c>
      <c r="F697" s="19" t="s">
        <v>49</v>
      </c>
      <c r="G697" s="19" t="s">
        <v>80</v>
      </c>
      <c r="H697" s="19">
        <v>80.5</v>
      </c>
      <c r="I697" s="45"/>
      <c r="J697" s="46">
        <v>1096410</v>
      </c>
      <c r="K697" s="40"/>
      <c r="L697" s="47">
        <f t="shared" ref="L697:L702" si="424">SUM(J697/M697)</f>
        <v>1643.49742175321</v>
      </c>
      <c r="M697" s="48">
        <v>667.12</v>
      </c>
      <c r="N697" s="41">
        <v>7.24</v>
      </c>
      <c r="O697" s="42">
        <f t="shared" ref="O697:O702" si="425">SUM(M697*N697)</f>
        <v>4829.9488</v>
      </c>
      <c r="P697" s="44"/>
      <c r="Q697" s="44"/>
      <c r="R697" s="68">
        <f t="shared" si="421"/>
        <v>3510.9250339213</v>
      </c>
      <c r="S697" s="68"/>
      <c r="T697" s="69">
        <f t="shared" si="422"/>
        <v>8.88831411126187</v>
      </c>
      <c r="U697" s="68"/>
      <c r="V697" s="68"/>
      <c r="W697" s="68">
        <f t="shared" si="416"/>
        <v>3519.81334803256</v>
      </c>
      <c r="X697" s="70">
        <f t="shared" si="423"/>
        <v>56.0572727272727</v>
      </c>
      <c r="Y697" s="70"/>
      <c r="Z697" s="70"/>
      <c r="AA697" s="70">
        <f t="shared" si="417"/>
        <v>56.0572727272727</v>
      </c>
      <c r="AB697" s="80">
        <v>7.24</v>
      </c>
      <c r="AC697" s="68">
        <f t="shared" si="418"/>
        <v>405.854654545455</v>
      </c>
      <c r="AD697" s="68">
        <f t="shared" si="419"/>
        <v>3925.66800257802</v>
      </c>
      <c r="AE697" s="68">
        <f t="shared" si="420"/>
        <v>904.28079742198</v>
      </c>
    </row>
    <row r="698" customFormat="1" spans="1:31">
      <c r="A698" s="18"/>
      <c r="B698" s="19"/>
      <c r="C698" s="20">
        <v>240624000038</v>
      </c>
      <c r="D698" s="21">
        <v>45472</v>
      </c>
      <c r="E698" s="21" t="s">
        <v>48</v>
      </c>
      <c r="F698" s="19" t="s">
        <v>49</v>
      </c>
      <c r="G698" s="19" t="s">
        <v>475</v>
      </c>
      <c r="H698" s="19">
        <v>48.5</v>
      </c>
      <c r="I698" s="45"/>
      <c r="J698" s="46">
        <v>648000</v>
      </c>
      <c r="K698" s="40"/>
      <c r="L698" s="47">
        <f t="shared" si="424"/>
        <v>1629.00022625003</v>
      </c>
      <c r="M698" s="48">
        <v>397.79</v>
      </c>
      <c r="N698" s="97">
        <v>7.24</v>
      </c>
      <c r="O698" s="42">
        <f t="shared" si="425"/>
        <v>2879.9996</v>
      </c>
      <c r="P698" s="44"/>
      <c r="Q698" s="44"/>
      <c r="R698" s="68">
        <f t="shared" si="421"/>
        <v>2115.27781546811</v>
      </c>
      <c r="S698" s="68"/>
      <c r="T698" s="69">
        <f t="shared" si="422"/>
        <v>5.35507123473541</v>
      </c>
      <c r="U698" s="68"/>
      <c r="V698" s="68"/>
      <c r="W698" s="68">
        <f t="shared" si="416"/>
        <v>2120.63288670285</v>
      </c>
      <c r="X698" s="70">
        <f t="shared" si="423"/>
        <v>33.7736363636364</v>
      </c>
      <c r="Y698" s="70"/>
      <c r="Z698" s="70"/>
      <c r="AA698" s="70">
        <f t="shared" si="417"/>
        <v>33.7736363636364</v>
      </c>
      <c r="AB698" s="80">
        <v>7.24</v>
      </c>
      <c r="AC698" s="68">
        <f t="shared" si="418"/>
        <v>244.521127272727</v>
      </c>
      <c r="AD698" s="68">
        <f t="shared" si="419"/>
        <v>2365.15401397558</v>
      </c>
      <c r="AE698" s="68">
        <f t="shared" si="420"/>
        <v>514.84558602442</v>
      </c>
    </row>
    <row r="699" customFormat="1" spans="1:31">
      <c r="A699" s="18"/>
      <c r="B699" s="19"/>
      <c r="C699" s="20">
        <v>240624000041</v>
      </c>
      <c r="D699" s="21">
        <v>45472</v>
      </c>
      <c r="E699" s="21" t="s">
        <v>41</v>
      </c>
      <c r="F699" s="19" t="s">
        <v>42</v>
      </c>
      <c r="G699" s="19" t="s">
        <v>125</v>
      </c>
      <c r="H699" s="19">
        <v>1.5</v>
      </c>
      <c r="I699" s="42"/>
      <c r="J699" s="46">
        <v>19502.7</v>
      </c>
      <c r="K699" s="40"/>
      <c r="L699" s="47">
        <f t="shared" si="424"/>
        <v>1505.99988370657</v>
      </c>
      <c r="M699" s="48">
        <v>12.950001</v>
      </c>
      <c r="N699" s="41">
        <v>7.24</v>
      </c>
      <c r="O699" s="42">
        <f t="shared" si="425"/>
        <v>93.75800724</v>
      </c>
      <c r="P699" s="44"/>
      <c r="Q699" s="44"/>
      <c r="R699" s="68">
        <f t="shared" si="421"/>
        <v>65.4209633649932</v>
      </c>
      <c r="S699" s="68"/>
      <c r="T699" s="69">
        <f t="shared" si="422"/>
        <v>0.165620759837178</v>
      </c>
      <c r="U699" s="68"/>
      <c r="V699" s="68"/>
      <c r="W699" s="68">
        <f t="shared" si="416"/>
        <v>65.5865841248304</v>
      </c>
      <c r="X699" s="70">
        <f t="shared" si="423"/>
        <v>1.04454545454545</v>
      </c>
      <c r="Y699" s="70"/>
      <c r="Z699" s="70"/>
      <c r="AA699" s="70">
        <f t="shared" si="417"/>
        <v>1.04454545454545</v>
      </c>
      <c r="AB699" s="80">
        <v>7.24</v>
      </c>
      <c r="AC699" s="68">
        <f t="shared" si="418"/>
        <v>7.56250909090909</v>
      </c>
      <c r="AD699" s="68">
        <f t="shared" si="419"/>
        <v>73.1490932157395</v>
      </c>
      <c r="AE699" s="68">
        <f t="shared" si="420"/>
        <v>20.6089140242605</v>
      </c>
    </row>
    <row r="700" customFormat="1" spans="1:31">
      <c r="A700" s="18"/>
      <c r="B700" s="19"/>
      <c r="C700" s="20">
        <v>240624000043</v>
      </c>
      <c r="D700" s="21">
        <v>45472</v>
      </c>
      <c r="E700" s="21" t="s">
        <v>51</v>
      </c>
      <c r="F700" s="19" t="s">
        <v>52</v>
      </c>
      <c r="G700" s="19" t="s">
        <v>493</v>
      </c>
      <c r="H700" s="19">
        <v>1.5</v>
      </c>
      <c r="I700" s="38">
        <v>93</v>
      </c>
      <c r="J700" s="39"/>
      <c r="K700" s="40"/>
      <c r="L700" s="19"/>
      <c r="M700" s="40"/>
      <c r="N700" s="41"/>
      <c r="O700" s="42">
        <f t="shared" ref="O698:O710" si="426">SUM(I700)</f>
        <v>93</v>
      </c>
      <c r="P700" s="44"/>
      <c r="Q700" s="44"/>
      <c r="R700" s="68">
        <f t="shared" si="421"/>
        <v>65.4209633649932</v>
      </c>
      <c r="S700" s="68"/>
      <c r="T700" s="69">
        <f t="shared" si="422"/>
        <v>0.165620759837178</v>
      </c>
      <c r="U700" s="68"/>
      <c r="V700" s="68"/>
      <c r="W700" s="68">
        <f t="shared" si="416"/>
        <v>65.5865841248304</v>
      </c>
      <c r="X700" s="70">
        <f t="shared" si="423"/>
        <v>1.04454545454545</v>
      </c>
      <c r="Y700" s="70"/>
      <c r="Z700" s="70"/>
      <c r="AA700" s="70">
        <f t="shared" si="417"/>
        <v>1.04454545454545</v>
      </c>
      <c r="AB700" s="80">
        <v>7.24</v>
      </c>
      <c r="AC700" s="68">
        <f t="shared" si="418"/>
        <v>7.56250909090909</v>
      </c>
      <c r="AD700" s="68">
        <f t="shared" si="419"/>
        <v>73.1490932157395</v>
      </c>
      <c r="AE700" s="68">
        <f t="shared" si="420"/>
        <v>19.8509067842605</v>
      </c>
    </row>
    <row r="701" customFormat="1" spans="1:31">
      <c r="A701" s="18"/>
      <c r="B701" s="19"/>
      <c r="C701" s="20">
        <v>240624000047</v>
      </c>
      <c r="D701" s="21">
        <v>45472</v>
      </c>
      <c r="E701" s="21" t="s">
        <v>44</v>
      </c>
      <c r="F701" s="19" t="s">
        <v>45</v>
      </c>
      <c r="G701" s="19" t="s">
        <v>220</v>
      </c>
      <c r="H701" s="19">
        <v>0.48</v>
      </c>
      <c r="I701" s="42"/>
      <c r="J701" s="46">
        <v>14291.2</v>
      </c>
      <c r="K701" s="40"/>
      <c r="L701" s="47">
        <f t="shared" si="424"/>
        <v>1624</v>
      </c>
      <c r="M701" s="48">
        <v>8.8</v>
      </c>
      <c r="N701" s="41">
        <v>7.24</v>
      </c>
      <c r="O701" s="42">
        <f t="shared" si="425"/>
        <v>63.712</v>
      </c>
      <c r="P701" s="44"/>
      <c r="Q701" s="44"/>
      <c r="R701" s="68">
        <f t="shared" si="421"/>
        <v>20.9347082767978</v>
      </c>
      <c r="S701" s="68"/>
      <c r="T701" s="69">
        <f t="shared" si="422"/>
        <v>0.0529986431478969</v>
      </c>
      <c r="U701" s="68"/>
      <c r="V701" s="68"/>
      <c r="W701" s="68">
        <f t="shared" si="416"/>
        <v>20.9877069199457</v>
      </c>
      <c r="X701" s="70">
        <f t="shared" si="423"/>
        <v>0.334254545454545</v>
      </c>
      <c r="Y701" s="70"/>
      <c r="Z701" s="70"/>
      <c r="AA701" s="70">
        <f t="shared" si="417"/>
        <v>0.334254545454545</v>
      </c>
      <c r="AB701" s="80">
        <v>7.24</v>
      </c>
      <c r="AC701" s="68">
        <f t="shared" si="418"/>
        <v>2.42000290909091</v>
      </c>
      <c r="AD701" s="68">
        <f t="shared" si="419"/>
        <v>23.4077098290366</v>
      </c>
      <c r="AE701" s="68">
        <f t="shared" si="420"/>
        <v>40.3042901709634</v>
      </c>
    </row>
    <row r="702" customFormat="1" spans="1:31">
      <c r="A702" s="18"/>
      <c r="B702" s="19"/>
      <c r="C702" s="20">
        <v>240624000048</v>
      </c>
      <c r="D702" s="21">
        <v>45472</v>
      </c>
      <c r="E702" s="21" t="s">
        <v>136</v>
      </c>
      <c r="F702" s="19" t="s">
        <v>137</v>
      </c>
      <c r="G702" s="19" t="s">
        <v>480</v>
      </c>
      <c r="H702" s="19">
        <v>0.44</v>
      </c>
      <c r="I702" s="45"/>
      <c r="J702" s="46">
        <v>14628</v>
      </c>
      <c r="K702" s="40"/>
      <c r="L702" s="47">
        <f t="shared" si="424"/>
        <v>1534.94228751312</v>
      </c>
      <c r="M702" s="48">
        <v>9.53</v>
      </c>
      <c r="N702" s="97">
        <v>7.24</v>
      </c>
      <c r="O702" s="42">
        <f t="shared" si="425"/>
        <v>68.9972</v>
      </c>
      <c r="P702" s="44"/>
      <c r="Q702" s="44"/>
      <c r="R702" s="68">
        <f t="shared" si="421"/>
        <v>19.1901492537313</v>
      </c>
      <c r="S702" s="68"/>
      <c r="T702" s="69">
        <f t="shared" si="422"/>
        <v>0.0485820895522388</v>
      </c>
      <c r="U702" s="68"/>
      <c r="V702" s="68"/>
      <c r="W702" s="68">
        <f t="shared" si="416"/>
        <v>19.2387313432836</v>
      </c>
      <c r="X702" s="70">
        <f t="shared" si="423"/>
        <v>0.3064</v>
      </c>
      <c r="Y702" s="70"/>
      <c r="Z702" s="70"/>
      <c r="AA702" s="70">
        <f t="shared" si="417"/>
        <v>0.3064</v>
      </c>
      <c r="AB702" s="80">
        <v>7.24</v>
      </c>
      <c r="AC702" s="68">
        <f t="shared" si="418"/>
        <v>2.218336</v>
      </c>
      <c r="AD702" s="68">
        <f t="shared" si="419"/>
        <v>21.4570673432836</v>
      </c>
      <c r="AE702" s="68">
        <f t="shared" si="420"/>
        <v>47.5401326567164</v>
      </c>
    </row>
    <row r="703" customFormat="1" spans="1:31">
      <c r="A703" s="18"/>
      <c r="B703" s="19"/>
      <c r="C703" s="20">
        <v>240624000049</v>
      </c>
      <c r="D703" s="21">
        <v>45472</v>
      </c>
      <c r="E703" s="21" t="s">
        <v>51</v>
      </c>
      <c r="F703" s="19" t="s">
        <v>52</v>
      </c>
      <c r="G703" s="19" t="s">
        <v>494</v>
      </c>
      <c r="H703" s="19">
        <v>5</v>
      </c>
      <c r="I703" s="38">
        <v>303</v>
      </c>
      <c r="J703" s="39"/>
      <c r="K703" s="40"/>
      <c r="L703" s="19"/>
      <c r="M703" s="40"/>
      <c r="N703" s="41"/>
      <c r="O703" s="42">
        <f t="shared" si="426"/>
        <v>303</v>
      </c>
      <c r="P703" s="44"/>
      <c r="Q703" s="44"/>
      <c r="R703" s="68">
        <f t="shared" si="421"/>
        <v>218.069877883311</v>
      </c>
      <c r="S703" s="68"/>
      <c r="T703" s="69">
        <f t="shared" si="422"/>
        <v>0.552069199457259</v>
      </c>
      <c r="U703" s="68"/>
      <c r="V703" s="68"/>
      <c r="W703" s="68">
        <f t="shared" si="416"/>
        <v>218.621947082768</v>
      </c>
      <c r="X703" s="70">
        <f t="shared" si="423"/>
        <v>3.48181818181818</v>
      </c>
      <c r="Y703" s="70"/>
      <c r="Z703" s="70"/>
      <c r="AA703" s="70">
        <f t="shared" si="417"/>
        <v>3.48181818181818</v>
      </c>
      <c r="AB703" s="80">
        <v>7.24</v>
      </c>
      <c r="AC703" s="68">
        <f t="shared" si="418"/>
        <v>25.2083636363636</v>
      </c>
      <c r="AD703" s="68">
        <f t="shared" si="419"/>
        <v>243.830310719132</v>
      </c>
      <c r="AE703" s="68">
        <f t="shared" si="420"/>
        <v>59.169689280868</v>
      </c>
    </row>
    <row r="704" customFormat="1" spans="1:31">
      <c r="A704" s="18"/>
      <c r="B704" s="19"/>
      <c r="C704" s="20">
        <v>240624000050</v>
      </c>
      <c r="D704" s="21">
        <v>45472</v>
      </c>
      <c r="E704" s="21" t="s">
        <v>44</v>
      </c>
      <c r="F704" s="19" t="s">
        <v>45</v>
      </c>
      <c r="G704" s="19" t="s">
        <v>286</v>
      </c>
      <c r="H704" s="19">
        <v>0.88</v>
      </c>
      <c r="I704" s="38">
        <v>63</v>
      </c>
      <c r="J704" s="39"/>
      <c r="K704" s="40"/>
      <c r="L704" s="19"/>
      <c r="M704" s="40"/>
      <c r="N704" s="41"/>
      <c r="O704" s="42">
        <f t="shared" si="426"/>
        <v>63</v>
      </c>
      <c r="P704" s="44"/>
      <c r="Q704" s="44"/>
      <c r="R704" s="68">
        <f t="shared" si="421"/>
        <v>38.3802985074627</v>
      </c>
      <c r="S704" s="68"/>
      <c r="T704" s="69">
        <f t="shared" si="422"/>
        <v>0.0971641791044776</v>
      </c>
      <c r="U704" s="68"/>
      <c r="V704" s="68"/>
      <c r="W704" s="68">
        <f t="shared" si="416"/>
        <v>38.4774626865672</v>
      </c>
      <c r="X704" s="70">
        <f t="shared" si="423"/>
        <v>0.6128</v>
      </c>
      <c r="Y704" s="70"/>
      <c r="Z704" s="70"/>
      <c r="AA704" s="70">
        <f t="shared" si="417"/>
        <v>0.6128</v>
      </c>
      <c r="AB704" s="80">
        <v>7.24</v>
      </c>
      <c r="AC704" s="68">
        <f t="shared" si="418"/>
        <v>4.436672</v>
      </c>
      <c r="AD704" s="68">
        <f t="shared" si="419"/>
        <v>42.9141346865672</v>
      </c>
      <c r="AE704" s="68">
        <f t="shared" si="420"/>
        <v>20.0858653134328</v>
      </c>
    </row>
    <row r="705" customFormat="1" spans="1:31">
      <c r="A705" s="18"/>
      <c r="B705" s="19"/>
      <c r="C705" s="20">
        <v>240624000051</v>
      </c>
      <c r="D705" s="21">
        <v>45472</v>
      </c>
      <c r="E705" s="21" t="s">
        <v>44</v>
      </c>
      <c r="F705" s="19" t="s">
        <v>45</v>
      </c>
      <c r="G705" s="19" t="s">
        <v>286</v>
      </c>
      <c r="H705" s="19">
        <v>0.1</v>
      </c>
      <c r="I705" s="38">
        <v>63</v>
      </c>
      <c r="J705" s="39"/>
      <c r="K705" s="40"/>
      <c r="L705" s="19"/>
      <c r="M705" s="40"/>
      <c r="N705" s="41"/>
      <c r="O705" s="42">
        <f t="shared" si="426"/>
        <v>63</v>
      </c>
      <c r="P705" s="44"/>
      <c r="Q705" s="44"/>
      <c r="R705" s="68">
        <f t="shared" si="421"/>
        <v>4.36139755766621</v>
      </c>
      <c r="S705" s="68"/>
      <c r="T705" s="69">
        <f t="shared" si="422"/>
        <v>0.0110413839891452</v>
      </c>
      <c r="U705" s="68"/>
      <c r="V705" s="68"/>
      <c r="W705" s="68">
        <f t="shared" si="416"/>
        <v>4.37243894165536</v>
      </c>
      <c r="X705" s="70">
        <f t="shared" si="423"/>
        <v>0.0696363636363636</v>
      </c>
      <c r="Y705" s="70"/>
      <c r="Z705" s="70"/>
      <c r="AA705" s="70">
        <f t="shared" si="417"/>
        <v>0.0696363636363636</v>
      </c>
      <c r="AB705" s="80">
        <v>7.24</v>
      </c>
      <c r="AC705" s="68">
        <f t="shared" si="418"/>
        <v>0.504167272727273</v>
      </c>
      <c r="AD705" s="68">
        <f t="shared" si="419"/>
        <v>4.87660621438263</v>
      </c>
      <c r="AE705" s="68">
        <f t="shared" si="420"/>
        <v>58.1233937856174</v>
      </c>
    </row>
    <row r="706" customFormat="1" spans="1:31">
      <c r="A706" s="18"/>
      <c r="B706" s="19"/>
      <c r="C706" s="20">
        <v>240625000002</v>
      </c>
      <c r="D706" s="21">
        <v>45472</v>
      </c>
      <c r="E706" s="21" t="s">
        <v>85</v>
      </c>
      <c r="F706" s="19" t="s">
        <v>86</v>
      </c>
      <c r="G706" s="19" t="s">
        <v>409</v>
      </c>
      <c r="H706" s="19">
        <v>352</v>
      </c>
      <c r="I706" s="38">
        <v>19138</v>
      </c>
      <c r="J706" s="39"/>
      <c r="K706" s="40"/>
      <c r="L706" s="19"/>
      <c r="M706" s="40"/>
      <c r="N706" s="41"/>
      <c r="O706" s="42">
        <f t="shared" si="426"/>
        <v>19138</v>
      </c>
      <c r="P706" s="44"/>
      <c r="Q706" s="44"/>
      <c r="R706" s="68">
        <f t="shared" si="421"/>
        <v>15352.1194029851</v>
      </c>
      <c r="S706" s="68"/>
      <c r="T706" s="69">
        <f t="shared" si="422"/>
        <v>38.865671641791</v>
      </c>
      <c r="U706" s="68"/>
      <c r="V706" s="68"/>
      <c r="W706" s="68">
        <f t="shared" si="416"/>
        <v>15390.9850746269</v>
      </c>
      <c r="X706" s="70">
        <f t="shared" si="423"/>
        <v>245.12</v>
      </c>
      <c r="Y706" s="70"/>
      <c r="Z706" s="70"/>
      <c r="AA706" s="70">
        <f t="shared" si="417"/>
        <v>245.12</v>
      </c>
      <c r="AB706" s="80">
        <v>7.24</v>
      </c>
      <c r="AC706" s="68">
        <f t="shared" si="418"/>
        <v>1774.6688</v>
      </c>
      <c r="AD706" s="68">
        <f t="shared" si="419"/>
        <v>17165.6538746269</v>
      </c>
      <c r="AE706" s="68">
        <f t="shared" si="420"/>
        <v>1972.3461253731</v>
      </c>
    </row>
    <row r="707" customFormat="1" spans="1:31">
      <c r="A707" s="18"/>
      <c r="B707" s="19"/>
      <c r="C707" s="81">
        <v>240625000004</v>
      </c>
      <c r="D707" s="82">
        <v>45472</v>
      </c>
      <c r="E707" s="21" t="s">
        <v>41</v>
      </c>
      <c r="F707" s="83" t="s">
        <v>42</v>
      </c>
      <c r="G707" s="83" t="s">
        <v>74</v>
      </c>
      <c r="H707" s="83">
        <v>2.5</v>
      </c>
      <c r="I707" s="38">
        <v>171.25</v>
      </c>
      <c r="J707" s="39"/>
      <c r="K707" s="40"/>
      <c r="L707" s="19"/>
      <c r="M707" s="40"/>
      <c r="N707" s="41"/>
      <c r="O707" s="42">
        <f t="shared" si="426"/>
        <v>171.25</v>
      </c>
      <c r="P707" s="44"/>
      <c r="Q707" s="44"/>
      <c r="R707" s="68">
        <f t="shared" si="421"/>
        <v>109.034938941655</v>
      </c>
      <c r="S707" s="68"/>
      <c r="T707" s="69">
        <f t="shared" si="422"/>
        <v>0.27603459972863</v>
      </c>
      <c r="U707" s="68"/>
      <c r="V707" s="68"/>
      <c r="W707" s="68">
        <f t="shared" si="416"/>
        <v>109.310973541384</v>
      </c>
      <c r="X707" s="70">
        <f t="shared" si="423"/>
        <v>1.74090909090909</v>
      </c>
      <c r="Y707" s="70"/>
      <c r="Z707" s="70"/>
      <c r="AA707" s="70">
        <f t="shared" si="417"/>
        <v>1.74090909090909</v>
      </c>
      <c r="AB707" s="80">
        <v>7.24</v>
      </c>
      <c r="AC707" s="68">
        <f t="shared" si="418"/>
        <v>12.6041818181818</v>
      </c>
      <c r="AD707" s="68">
        <f t="shared" si="419"/>
        <v>121.915155359566</v>
      </c>
      <c r="AE707" s="68">
        <f t="shared" si="420"/>
        <v>49.334844640434</v>
      </c>
    </row>
    <row r="708" customFormat="1" spans="1:31">
      <c r="A708" s="18"/>
      <c r="B708" s="19"/>
      <c r="C708" s="20">
        <v>240625000006</v>
      </c>
      <c r="D708" s="21">
        <v>45472</v>
      </c>
      <c r="E708" s="21" t="s">
        <v>41</v>
      </c>
      <c r="F708" s="19" t="s">
        <v>42</v>
      </c>
      <c r="G708" s="19" t="s">
        <v>448</v>
      </c>
      <c r="H708" s="19">
        <v>7</v>
      </c>
      <c r="I708" s="38">
        <v>477</v>
      </c>
      <c r="J708" s="39"/>
      <c r="K708" s="40"/>
      <c r="L708" s="19"/>
      <c r="M708" s="40"/>
      <c r="N708" s="41"/>
      <c r="O708" s="42">
        <f t="shared" si="426"/>
        <v>477</v>
      </c>
      <c r="P708" s="44"/>
      <c r="Q708" s="44"/>
      <c r="R708" s="68">
        <f t="shared" si="421"/>
        <v>305.297829036635</v>
      </c>
      <c r="S708" s="68"/>
      <c r="T708" s="69">
        <f t="shared" si="422"/>
        <v>0.772896879240163</v>
      </c>
      <c r="U708" s="68"/>
      <c r="V708" s="68"/>
      <c r="W708" s="68">
        <f t="shared" si="416"/>
        <v>306.070725915875</v>
      </c>
      <c r="X708" s="70">
        <f t="shared" si="423"/>
        <v>4.87454545454545</v>
      </c>
      <c r="Y708" s="70"/>
      <c r="Z708" s="70"/>
      <c r="AA708" s="70">
        <f t="shared" si="417"/>
        <v>4.87454545454545</v>
      </c>
      <c r="AB708" s="80">
        <v>7.24</v>
      </c>
      <c r="AC708" s="68">
        <f t="shared" si="418"/>
        <v>35.2917090909091</v>
      </c>
      <c r="AD708" s="68">
        <f t="shared" si="419"/>
        <v>341.362435006784</v>
      </c>
      <c r="AE708" s="68">
        <f t="shared" si="420"/>
        <v>135.637564993216</v>
      </c>
    </row>
    <row r="709" customFormat="1" spans="1:31">
      <c r="A709" s="18"/>
      <c r="B709" s="19"/>
      <c r="C709" s="20">
        <v>240625000009</v>
      </c>
      <c r="D709" s="21">
        <v>45472</v>
      </c>
      <c r="E709" s="21" t="s">
        <v>51</v>
      </c>
      <c r="F709" s="19" t="s">
        <v>52</v>
      </c>
      <c r="G709" s="19" t="s">
        <v>495</v>
      </c>
      <c r="H709" s="19">
        <v>2</v>
      </c>
      <c r="I709" s="38">
        <v>123</v>
      </c>
      <c r="J709" s="39"/>
      <c r="K709" s="40"/>
      <c r="L709" s="19"/>
      <c r="M709" s="40"/>
      <c r="N709" s="41"/>
      <c r="O709" s="42">
        <f t="shared" si="426"/>
        <v>123</v>
      </c>
      <c r="P709" s="44"/>
      <c r="Q709" s="44"/>
      <c r="R709" s="68">
        <f t="shared" si="421"/>
        <v>87.2279511533243</v>
      </c>
      <c r="S709" s="68"/>
      <c r="T709" s="69">
        <f t="shared" si="422"/>
        <v>0.220827679782904</v>
      </c>
      <c r="U709" s="68"/>
      <c r="V709" s="68"/>
      <c r="W709" s="68">
        <f t="shared" si="416"/>
        <v>87.4487788331072</v>
      </c>
      <c r="X709" s="70">
        <f t="shared" si="423"/>
        <v>1.39272727272727</v>
      </c>
      <c r="Y709" s="70"/>
      <c r="Z709" s="70"/>
      <c r="AA709" s="70">
        <f t="shared" si="417"/>
        <v>1.39272727272727</v>
      </c>
      <c r="AB709" s="80">
        <v>7.24</v>
      </c>
      <c r="AC709" s="68">
        <f t="shared" si="418"/>
        <v>10.0833454545455</v>
      </c>
      <c r="AD709" s="68">
        <f t="shared" si="419"/>
        <v>97.5321242876526</v>
      </c>
      <c r="AE709" s="68">
        <f t="shared" si="420"/>
        <v>25.4678757123474</v>
      </c>
    </row>
    <row r="710" customFormat="1" spans="1:31">
      <c r="A710" s="18"/>
      <c r="B710" s="19"/>
      <c r="C710" s="20">
        <v>240625000012</v>
      </c>
      <c r="D710" s="21">
        <v>45472</v>
      </c>
      <c r="E710" s="21" t="s">
        <v>48</v>
      </c>
      <c r="F710" s="19" t="s">
        <v>49</v>
      </c>
      <c r="G710" s="19" t="s">
        <v>65</v>
      </c>
      <c r="H710" s="19">
        <v>24</v>
      </c>
      <c r="I710" s="38">
        <v>1320</v>
      </c>
      <c r="J710" s="39"/>
      <c r="K710" s="40"/>
      <c r="L710" s="19"/>
      <c r="M710" s="40"/>
      <c r="N710" s="41"/>
      <c r="O710" s="42">
        <f t="shared" si="426"/>
        <v>1320</v>
      </c>
      <c r="P710" s="44"/>
      <c r="Q710" s="44"/>
      <c r="R710" s="68">
        <f t="shared" si="421"/>
        <v>1046.73541383989</v>
      </c>
      <c r="S710" s="68"/>
      <c r="T710" s="69">
        <f t="shared" si="422"/>
        <v>2.64993215739484</v>
      </c>
      <c r="U710" s="68"/>
      <c r="V710" s="68"/>
      <c r="W710" s="68">
        <f t="shared" si="416"/>
        <v>1049.38534599729</v>
      </c>
      <c r="X710" s="70">
        <f t="shared" si="423"/>
        <v>16.7127272727273</v>
      </c>
      <c r="Y710" s="70"/>
      <c r="Z710" s="70"/>
      <c r="AA710" s="70">
        <f t="shared" si="417"/>
        <v>16.7127272727273</v>
      </c>
      <c r="AB710" s="80">
        <v>7.24</v>
      </c>
      <c r="AC710" s="68">
        <f t="shared" si="418"/>
        <v>121.000145454545</v>
      </c>
      <c r="AD710" s="68">
        <f t="shared" si="419"/>
        <v>1170.38549145183</v>
      </c>
      <c r="AE710" s="68">
        <f t="shared" si="420"/>
        <v>149.61450854817</v>
      </c>
    </row>
    <row r="711" customFormat="1" spans="1:31">
      <c r="A711" s="18"/>
      <c r="B711" s="19"/>
      <c r="C711" s="20">
        <v>240625000016</v>
      </c>
      <c r="D711" s="21">
        <v>45472</v>
      </c>
      <c r="E711" s="21" t="s">
        <v>44</v>
      </c>
      <c r="F711" s="19" t="s">
        <v>45</v>
      </c>
      <c r="G711" s="19" t="s">
        <v>221</v>
      </c>
      <c r="H711" s="19">
        <v>1.5</v>
      </c>
      <c r="I711" s="42"/>
      <c r="J711" s="39"/>
      <c r="K711" s="48">
        <v>12.95</v>
      </c>
      <c r="L711" s="47">
        <f t="shared" ref="L711:L716" si="427">SUM(J711/M711)</f>
        <v>0</v>
      </c>
      <c r="M711" s="48">
        <v>12.950001</v>
      </c>
      <c r="N711" s="41">
        <v>7.24</v>
      </c>
      <c r="O711" s="42">
        <f t="shared" ref="O711:O716" si="428">SUM(M711*N711)</f>
        <v>93.75800724</v>
      </c>
      <c r="P711" s="44"/>
      <c r="Q711" s="44"/>
      <c r="R711" s="68">
        <f t="shared" si="421"/>
        <v>65.4209633649932</v>
      </c>
      <c r="S711" s="68"/>
      <c r="T711" s="69">
        <f t="shared" si="422"/>
        <v>0.165620759837178</v>
      </c>
      <c r="U711" s="68"/>
      <c r="V711" s="68"/>
      <c r="W711" s="68">
        <f t="shared" si="416"/>
        <v>65.5865841248304</v>
      </c>
      <c r="X711" s="70">
        <f t="shared" si="423"/>
        <v>1.04454545454545</v>
      </c>
      <c r="Y711" s="70"/>
      <c r="Z711" s="70"/>
      <c r="AA711" s="70">
        <f t="shared" si="417"/>
        <v>1.04454545454545</v>
      </c>
      <c r="AB711" s="80">
        <v>7.24</v>
      </c>
      <c r="AC711" s="68">
        <f t="shared" si="418"/>
        <v>7.56250909090909</v>
      </c>
      <c r="AD711" s="68">
        <f t="shared" si="419"/>
        <v>73.1490932157395</v>
      </c>
      <c r="AE711" s="68">
        <f t="shared" si="420"/>
        <v>20.6089140242605</v>
      </c>
    </row>
    <row r="712" customFormat="1" spans="1:31">
      <c r="A712" s="18"/>
      <c r="B712" s="19"/>
      <c r="C712" s="20">
        <v>240625000018</v>
      </c>
      <c r="D712" s="21">
        <v>45472</v>
      </c>
      <c r="E712" s="21" t="s">
        <v>48</v>
      </c>
      <c r="F712" s="19" t="s">
        <v>49</v>
      </c>
      <c r="G712" s="19" t="s">
        <v>282</v>
      </c>
      <c r="H712" s="19">
        <v>65</v>
      </c>
      <c r="I712" s="38">
        <v>3380</v>
      </c>
      <c r="J712" s="39"/>
      <c r="K712" s="40"/>
      <c r="L712" s="19"/>
      <c r="M712" s="40"/>
      <c r="N712" s="41"/>
      <c r="O712" s="42">
        <f t="shared" ref="O712:O715" si="429">SUM(I712)</f>
        <v>3380</v>
      </c>
      <c r="P712" s="44"/>
      <c r="Q712" s="44"/>
      <c r="R712" s="68">
        <f t="shared" si="421"/>
        <v>2834.90841248304</v>
      </c>
      <c r="S712" s="68"/>
      <c r="T712" s="69">
        <f t="shared" si="422"/>
        <v>7.17689959294437</v>
      </c>
      <c r="U712" s="68"/>
      <c r="V712" s="68"/>
      <c r="W712" s="68">
        <f t="shared" si="416"/>
        <v>2842.08531207598</v>
      </c>
      <c r="X712" s="70">
        <f t="shared" si="423"/>
        <v>45.2636363636364</v>
      </c>
      <c r="Y712" s="70"/>
      <c r="Z712" s="70"/>
      <c r="AA712" s="70">
        <f t="shared" si="417"/>
        <v>45.2636363636364</v>
      </c>
      <c r="AB712" s="80">
        <v>7.24</v>
      </c>
      <c r="AC712" s="68">
        <f t="shared" si="418"/>
        <v>327.708727272727</v>
      </c>
      <c r="AD712" s="68">
        <f t="shared" si="419"/>
        <v>3169.79403934871</v>
      </c>
      <c r="AE712" s="68">
        <f t="shared" si="420"/>
        <v>210.20596065129</v>
      </c>
    </row>
    <row r="713" customFormat="1" spans="1:31">
      <c r="A713" s="18"/>
      <c r="B713" s="19"/>
      <c r="C713" s="20">
        <v>240625000019</v>
      </c>
      <c r="D713" s="21">
        <v>45472</v>
      </c>
      <c r="E713" s="21" t="s">
        <v>44</v>
      </c>
      <c r="F713" s="19" t="s">
        <v>45</v>
      </c>
      <c r="G713" s="19" t="s">
        <v>97</v>
      </c>
      <c r="H713" s="19">
        <v>3.5</v>
      </c>
      <c r="I713" s="42"/>
      <c r="J713" s="46">
        <v>44502</v>
      </c>
      <c r="K713" s="40"/>
      <c r="L713" s="47">
        <f t="shared" si="427"/>
        <v>1505.98984771574</v>
      </c>
      <c r="M713" s="48">
        <v>29.55</v>
      </c>
      <c r="N713" s="41">
        <v>7.24</v>
      </c>
      <c r="O713" s="42">
        <f t="shared" si="428"/>
        <v>213.942</v>
      </c>
      <c r="P713" s="44"/>
      <c r="Q713" s="44"/>
      <c r="R713" s="68">
        <f t="shared" si="421"/>
        <v>152.648914518317</v>
      </c>
      <c r="S713" s="68"/>
      <c r="T713" s="69">
        <f t="shared" si="422"/>
        <v>0.386448439620081</v>
      </c>
      <c r="U713" s="68"/>
      <c r="V713" s="68"/>
      <c r="W713" s="68">
        <f t="shared" si="416"/>
        <v>153.035362957938</v>
      </c>
      <c r="X713" s="70">
        <f t="shared" si="423"/>
        <v>2.43727272727273</v>
      </c>
      <c r="Y713" s="70"/>
      <c r="Z713" s="70"/>
      <c r="AA713" s="70">
        <f t="shared" si="417"/>
        <v>2.43727272727273</v>
      </c>
      <c r="AB713" s="80">
        <v>7.24</v>
      </c>
      <c r="AC713" s="68">
        <f t="shared" si="418"/>
        <v>17.6458545454545</v>
      </c>
      <c r="AD713" s="68">
        <f t="shared" si="419"/>
        <v>170.681217503392</v>
      </c>
      <c r="AE713" s="68">
        <f t="shared" si="420"/>
        <v>43.260782496608</v>
      </c>
    </row>
    <row r="714" customFormat="1" spans="1:31">
      <c r="A714" s="18"/>
      <c r="B714" s="19"/>
      <c r="C714" s="20">
        <v>240625000024</v>
      </c>
      <c r="D714" s="21">
        <v>45472</v>
      </c>
      <c r="E714" s="21" t="s">
        <v>51</v>
      </c>
      <c r="F714" s="19" t="s">
        <v>52</v>
      </c>
      <c r="G714" s="19" t="s">
        <v>496</v>
      </c>
      <c r="H714" s="19">
        <v>3.5</v>
      </c>
      <c r="I714" s="38">
        <v>213</v>
      </c>
      <c r="J714" s="39"/>
      <c r="K714" s="40"/>
      <c r="L714" s="19"/>
      <c r="M714" s="40"/>
      <c r="N714" s="41"/>
      <c r="O714" s="42">
        <f t="shared" si="429"/>
        <v>213</v>
      </c>
      <c r="P714" s="44"/>
      <c r="Q714" s="44"/>
      <c r="R714" s="68">
        <f t="shared" si="421"/>
        <v>152.648914518317</v>
      </c>
      <c r="S714" s="68"/>
      <c r="T714" s="69">
        <f t="shared" si="422"/>
        <v>0.386448439620081</v>
      </c>
      <c r="U714" s="68"/>
      <c r="V714" s="68"/>
      <c r="W714" s="68">
        <f t="shared" si="416"/>
        <v>153.035362957938</v>
      </c>
      <c r="X714" s="70">
        <f t="shared" si="423"/>
        <v>2.43727272727273</v>
      </c>
      <c r="Y714" s="70"/>
      <c r="Z714" s="70"/>
      <c r="AA714" s="70">
        <f t="shared" si="417"/>
        <v>2.43727272727273</v>
      </c>
      <c r="AB714" s="80">
        <v>7.24</v>
      </c>
      <c r="AC714" s="68">
        <f t="shared" si="418"/>
        <v>17.6458545454545</v>
      </c>
      <c r="AD714" s="68">
        <f t="shared" si="419"/>
        <v>170.681217503392</v>
      </c>
      <c r="AE714" s="68">
        <f t="shared" si="420"/>
        <v>42.318782496608</v>
      </c>
    </row>
    <row r="715" customFormat="1" spans="1:31">
      <c r="A715" s="18"/>
      <c r="B715" s="19"/>
      <c r="C715" s="20">
        <v>240625000025</v>
      </c>
      <c r="D715" s="21">
        <v>45472</v>
      </c>
      <c r="E715" s="21" t="s">
        <v>41</v>
      </c>
      <c r="F715" s="19" t="s">
        <v>42</v>
      </c>
      <c r="G715" s="19" t="s">
        <v>74</v>
      </c>
      <c r="H715" s="19">
        <v>0.34666666</v>
      </c>
      <c r="I715" s="38">
        <v>68.5</v>
      </c>
      <c r="J715" s="39"/>
      <c r="K715" s="40"/>
      <c r="L715" s="19"/>
      <c r="M715" s="40"/>
      <c r="N715" s="41"/>
      <c r="O715" s="42">
        <f t="shared" si="429"/>
        <v>68.5</v>
      </c>
      <c r="P715" s="44"/>
      <c r="Q715" s="44"/>
      <c r="R715" s="68">
        <f t="shared" si="421"/>
        <v>15.119511242483</v>
      </c>
      <c r="S715" s="68"/>
      <c r="T715" s="69">
        <f t="shared" si="422"/>
        <v>0.0382767970929444</v>
      </c>
      <c r="U715" s="68"/>
      <c r="V715" s="68"/>
      <c r="W715" s="68">
        <f t="shared" si="416"/>
        <v>15.157788039576</v>
      </c>
      <c r="X715" s="70">
        <f t="shared" si="423"/>
        <v>0.241406055963636</v>
      </c>
      <c r="Y715" s="70"/>
      <c r="Z715" s="70"/>
      <c r="AA715" s="70">
        <f t="shared" si="417"/>
        <v>0.241406055963636</v>
      </c>
      <c r="AB715" s="80">
        <v>7.24</v>
      </c>
      <c r="AC715" s="68">
        <f t="shared" si="418"/>
        <v>1.74777984517673</v>
      </c>
      <c r="AD715" s="68">
        <f t="shared" si="419"/>
        <v>16.9055678847527</v>
      </c>
      <c r="AE715" s="68">
        <f t="shared" si="420"/>
        <v>51.5944321152473</v>
      </c>
    </row>
    <row r="716" customFormat="1" spans="1:31">
      <c r="A716" s="18"/>
      <c r="B716" s="19"/>
      <c r="C716" s="20">
        <v>240625000033</v>
      </c>
      <c r="D716" s="21">
        <v>45472</v>
      </c>
      <c r="E716" s="21" t="s">
        <v>51</v>
      </c>
      <c r="F716" s="19" t="s">
        <v>52</v>
      </c>
      <c r="G716" s="19" t="s">
        <v>497</v>
      </c>
      <c r="H716" s="19">
        <v>7.5</v>
      </c>
      <c r="I716" s="45"/>
      <c r="J716" s="46">
        <v>95370</v>
      </c>
      <c r="K716" s="40"/>
      <c r="L716" s="47">
        <f t="shared" si="427"/>
        <v>1592.95139468849</v>
      </c>
      <c r="M716" s="48">
        <v>59.87</v>
      </c>
      <c r="N716" s="41">
        <v>7.24</v>
      </c>
      <c r="O716" s="42">
        <f t="shared" si="428"/>
        <v>433.4588</v>
      </c>
      <c r="P716" s="44"/>
      <c r="Q716" s="44"/>
      <c r="R716" s="68">
        <f t="shared" si="421"/>
        <v>327.104816824966</v>
      </c>
      <c r="S716" s="68"/>
      <c r="T716" s="69">
        <f t="shared" si="422"/>
        <v>0.828103799185889</v>
      </c>
      <c r="U716" s="68"/>
      <c r="V716" s="68"/>
      <c r="W716" s="68">
        <f t="shared" si="416"/>
        <v>327.932920624152</v>
      </c>
      <c r="X716" s="70">
        <f t="shared" si="423"/>
        <v>5.22272727272727</v>
      </c>
      <c r="Y716" s="70"/>
      <c r="Z716" s="70"/>
      <c r="AA716" s="70">
        <f t="shared" si="417"/>
        <v>5.22272727272727</v>
      </c>
      <c r="AB716" s="80">
        <v>7.24</v>
      </c>
      <c r="AC716" s="68">
        <f t="shared" si="418"/>
        <v>37.8125454545455</v>
      </c>
      <c r="AD716" s="68">
        <f t="shared" si="419"/>
        <v>365.745466078697</v>
      </c>
      <c r="AE716" s="68">
        <f t="shared" si="420"/>
        <v>67.713333921303</v>
      </c>
    </row>
    <row r="717" customFormat="1" spans="1:31">
      <c r="A717" s="18"/>
      <c r="B717" s="19"/>
      <c r="C717" s="20">
        <v>240625000039</v>
      </c>
      <c r="D717" s="21">
        <v>45472</v>
      </c>
      <c r="E717" s="21" t="s">
        <v>51</v>
      </c>
      <c r="F717" s="19" t="s">
        <v>52</v>
      </c>
      <c r="G717" s="19" t="s">
        <v>498</v>
      </c>
      <c r="H717" s="19">
        <v>0.76</v>
      </c>
      <c r="I717" s="38">
        <v>55</v>
      </c>
      <c r="J717" s="39"/>
      <c r="K717" s="40"/>
      <c r="L717" s="19"/>
      <c r="M717" s="40"/>
      <c r="N717" s="41"/>
      <c r="O717" s="42">
        <f t="shared" ref="O717:O721" si="430">SUM(I717)</f>
        <v>55</v>
      </c>
      <c r="P717" s="44"/>
      <c r="Q717" s="44"/>
      <c r="R717" s="68">
        <f t="shared" si="421"/>
        <v>33.1466214382632</v>
      </c>
      <c r="S717" s="68"/>
      <c r="T717" s="69">
        <f t="shared" si="422"/>
        <v>0.0839145183175034</v>
      </c>
      <c r="U717" s="68"/>
      <c r="V717" s="68"/>
      <c r="W717" s="68">
        <f t="shared" si="416"/>
        <v>33.2305359565807</v>
      </c>
      <c r="X717" s="70">
        <f t="shared" si="423"/>
        <v>0.529236363636364</v>
      </c>
      <c r="Y717" s="70"/>
      <c r="Z717" s="70"/>
      <c r="AA717" s="70">
        <f t="shared" si="417"/>
        <v>0.529236363636364</v>
      </c>
      <c r="AB717" s="80">
        <v>7.24</v>
      </c>
      <c r="AC717" s="68">
        <f t="shared" si="418"/>
        <v>3.83167127272727</v>
      </c>
      <c r="AD717" s="68">
        <f t="shared" si="419"/>
        <v>37.062207229308</v>
      </c>
      <c r="AE717" s="68">
        <f t="shared" si="420"/>
        <v>17.937792770692</v>
      </c>
    </row>
    <row r="718" customFormat="1" spans="1:31">
      <c r="A718" s="18"/>
      <c r="B718" s="19"/>
      <c r="C718" s="20">
        <v>240625000043</v>
      </c>
      <c r="D718" s="21">
        <v>45472</v>
      </c>
      <c r="E718" s="21" t="s">
        <v>44</v>
      </c>
      <c r="F718" s="19" t="s">
        <v>45</v>
      </c>
      <c r="G718" s="19" t="s">
        <v>118</v>
      </c>
      <c r="H718" s="19">
        <v>5</v>
      </c>
      <c r="I718" s="42"/>
      <c r="J718" s="46">
        <v>63252</v>
      </c>
      <c r="K718" s="40"/>
      <c r="L718" s="47">
        <f>SUM(J718/M718)</f>
        <v>1506</v>
      </c>
      <c r="M718" s="48">
        <v>42</v>
      </c>
      <c r="N718" s="41">
        <v>7.24</v>
      </c>
      <c r="O718" s="42">
        <f t="shared" ref="O718:O725" si="431">SUM(M718*N718)</f>
        <v>304.08</v>
      </c>
      <c r="P718" s="44"/>
      <c r="Q718" s="44"/>
      <c r="R718" s="68">
        <f t="shared" si="421"/>
        <v>218.069877883311</v>
      </c>
      <c r="S718" s="68"/>
      <c r="T718" s="69">
        <f t="shared" si="422"/>
        <v>0.552069199457259</v>
      </c>
      <c r="U718" s="68"/>
      <c r="V718" s="68"/>
      <c r="W718" s="68">
        <f t="shared" si="416"/>
        <v>218.621947082768</v>
      </c>
      <c r="X718" s="70">
        <f t="shared" si="423"/>
        <v>3.48181818181818</v>
      </c>
      <c r="Y718" s="70"/>
      <c r="Z718" s="70"/>
      <c r="AA718" s="70">
        <f t="shared" si="417"/>
        <v>3.48181818181818</v>
      </c>
      <c r="AB718" s="80">
        <v>7.24</v>
      </c>
      <c r="AC718" s="68">
        <f t="shared" si="418"/>
        <v>25.2083636363636</v>
      </c>
      <c r="AD718" s="68">
        <f t="shared" si="419"/>
        <v>243.830310719132</v>
      </c>
      <c r="AE718" s="68">
        <f t="shared" si="420"/>
        <v>60.249689280868</v>
      </c>
    </row>
    <row r="719" customFormat="1" spans="1:31">
      <c r="A719" s="18"/>
      <c r="B719" s="19"/>
      <c r="C719" s="20">
        <v>240625000044</v>
      </c>
      <c r="D719" s="21">
        <v>45472</v>
      </c>
      <c r="E719" s="21" t="s">
        <v>37</v>
      </c>
      <c r="F719" s="19" t="s">
        <v>37</v>
      </c>
      <c r="G719" s="19" t="s">
        <v>385</v>
      </c>
      <c r="H719" s="19">
        <v>171.5</v>
      </c>
      <c r="I719" s="38">
        <v>9604</v>
      </c>
      <c r="J719" s="39"/>
      <c r="K719" s="40"/>
      <c r="L719" s="19"/>
      <c r="M719" s="40"/>
      <c r="N719" s="41"/>
      <c r="O719" s="42">
        <f t="shared" si="430"/>
        <v>9604</v>
      </c>
      <c r="P719" s="44"/>
      <c r="Q719" s="44"/>
      <c r="R719" s="68">
        <f t="shared" si="421"/>
        <v>7479.79681139756</v>
      </c>
      <c r="S719" s="68"/>
      <c r="T719" s="69">
        <f t="shared" si="422"/>
        <v>18.935973541384</v>
      </c>
      <c r="U719" s="68"/>
      <c r="V719" s="68"/>
      <c r="W719" s="68">
        <f t="shared" si="416"/>
        <v>7498.73278493894</v>
      </c>
      <c r="X719" s="70">
        <f t="shared" si="423"/>
        <v>119.426363636364</v>
      </c>
      <c r="Y719" s="70"/>
      <c r="Z719" s="70"/>
      <c r="AA719" s="70">
        <f t="shared" si="417"/>
        <v>119.426363636364</v>
      </c>
      <c r="AB719" s="80">
        <v>7.24</v>
      </c>
      <c r="AC719" s="68">
        <f t="shared" si="418"/>
        <v>864.646872727273</v>
      </c>
      <c r="AD719" s="68">
        <f t="shared" si="419"/>
        <v>8363.37965766621</v>
      </c>
      <c r="AE719" s="68">
        <f t="shared" si="420"/>
        <v>1240.62034233379</v>
      </c>
    </row>
    <row r="720" customFormat="1" spans="1:31">
      <c r="A720" s="18"/>
      <c r="B720" s="19"/>
      <c r="C720" s="20">
        <v>240625000045</v>
      </c>
      <c r="D720" s="21">
        <v>45472</v>
      </c>
      <c r="E720" s="21" t="s">
        <v>44</v>
      </c>
      <c r="F720" s="19" t="s">
        <v>45</v>
      </c>
      <c r="G720" s="19" t="s">
        <v>286</v>
      </c>
      <c r="H720" s="19">
        <v>1</v>
      </c>
      <c r="I720" s="38">
        <v>120</v>
      </c>
      <c r="J720" s="39"/>
      <c r="K720" s="40"/>
      <c r="L720" s="19"/>
      <c r="M720" s="40"/>
      <c r="N720" s="41"/>
      <c r="O720" s="42">
        <f t="shared" si="430"/>
        <v>120</v>
      </c>
      <c r="P720" s="44"/>
      <c r="Q720" s="44"/>
      <c r="R720" s="68">
        <f t="shared" si="421"/>
        <v>43.6139755766621</v>
      </c>
      <c r="S720" s="68"/>
      <c r="T720" s="69">
        <f t="shared" si="422"/>
        <v>0.110413839891452</v>
      </c>
      <c r="U720" s="68"/>
      <c r="V720" s="69">
        <v>57</v>
      </c>
      <c r="W720" s="68">
        <f t="shared" si="416"/>
        <v>100.724389416554</v>
      </c>
      <c r="X720" s="70">
        <f t="shared" si="423"/>
        <v>0.696363636363636</v>
      </c>
      <c r="Y720" s="70"/>
      <c r="Z720" s="70"/>
      <c r="AA720" s="70">
        <f t="shared" si="417"/>
        <v>0.696363636363636</v>
      </c>
      <c r="AB720" s="80">
        <v>7.24</v>
      </c>
      <c r="AC720" s="68">
        <f t="shared" si="418"/>
        <v>5.04167272727273</v>
      </c>
      <c r="AD720" s="68">
        <f t="shared" si="419"/>
        <v>105.766062143826</v>
      </c>
      <c r="AE720" s="68">
        <f t="shared" si="420"/>
        <v>14.233937856174</v>
      </c>
    </row>
    <row r="721" customFormat="1" spans="1:31">
      <c r="A721" s="18"/>
      <c r="B721" s="19"/>
      <c r="C721" s="20">
        <v>240625000047</v>
      </c>
      <c r="D721" s="21">
        <v>45472</v>
      </c>
      <c r="E721" s="21" t="s">
        <v>48</v>
      </c>
      <c r="F721" s="19" t="s">
        <v>49</v>
      </c>
      <c r="G721" s="19" t="s">
        <v>73</v>
      </c>
      <c r="H721" s="19">
        <v>11.5</v>
      </c>
      <c r="I721" s="45"/>
      <c r="J721" s="46">
        <v>149160</v>
      </c>
      <c r="K721" s="40"/>
      <c r="L721" s="47">
        <f>SUM(J721/M721)</f>
        <v>1636.24396665204</v>
      </c>
      <c r="M721" s="48">
        <v>91.16</v>
      </c>
      <c r="N721" s="97">
        <v>7.24</v>
      </c>
      <c r="O721" s="42">
        <f>SUM(M721*N721)</f>
        <v>659.9984</v>
      </c>
      <c r="P721" s="44"/>
      <c r="Q721" s="44"/>
      <c r="R721" s="68">
        <f t="shared" si="421"/>
        <v>501.560719131615</v>
      </c>
      <c r="S721" s="68"/>
      <c r="T721" s="69">
        <f t="shared" si="422"/>
        <v>1.2697591587517</v>
      </c>
      <c r="U721" s="68"/>
      <c r="V721" s="69">
        <v>27</v>
      </c>
      <c r="W721" s="68">
        <f t="shared" si="416"/>
        <v>529.830478290366</v>
      </c>
      <c r="X721" s="70">
        <f t="shared" si="423"/>
        <v>8.00818181818182</v>
      </c>
      <c r="Y721" s="70"/>
      <c r="Z721" s="70"/>
      <c r="AA721" s="70">
        <f t="shared" si="417"/>
        <v>8.00818181818182</v>
      </c>
      <c r="AB721" s="80">
        <v>7.24</v>
      </c>
      <c r="AC721" s="68">
        <f t="shared" si="418"/>
        <v>57.9792363636364</v>
      </c>
      <c r="AD721" s="68">
        <f t="shared" si="419"/>
        <v>587.809714654003</v>
      </c>
      <c r="AE721" s="68">
        <f t="shared" si="420"/>
        <v>72.188685345997</v>
      </c>
    </row>
    <row r="722" customFormat="1" spans="1:31">
      <c r="A722" s="18"/>
      <c r="B722" s="19"/>
      <c r="C722" s="20">
        <v>240626000001</v>
      </c>
      <c r="D722" s="21">
        <v>45472</v>
      </c>
      <c r="E722" s="21" t="s">
        <v>37</v>
      </c>
      <c r="F722" s="19" t="s">
        <v>37</v>
      </c>
      <c r="G722" s="19" t="s">
        <v>499</v>
      </c>
      <c r="H722" s="19">
        <v>61.5</v>
      </c>
      <c r="I722" s="42"/>
      <c r="J722" s="46">
        <v>705696</v>
      </c>
      <c r="K722" s="40"/>
      <c r="L722" s="47">
        <f>SUM(J722/M722)</f>
        <v>1505.99884760665</v>
      </c>
      <c r="M722" s="48">
        <v>468.59</v>
      </c>
      <c r="N722" s="41">
        <v>7.24</v>
      </c>
      <c r="O722" s="42">
        <f t="shared" si="431"/>
        <v>3392.5916</v>
      </c>
      <c r="P722" s="44"/>
      <c r="Q722" s="44"/>
      <c r="R722" s="68">
        <f t="shared" si="421"/>
        <v>2682.25949796472</v>
      </c>
      <c r="S722" s="68"/>
      <c r="T722" s="69">
        <f t="shared" si="422"/>
        <v>6.79045115332429</v>
      </c>
      <c r="U722" s="68"/>
      <c r="V722" s="68"/>
      <c r="W722" s="68">
        <f t="shared" si="416"/>
        <v>2689.04994911805</v>
      </c>
      <c r="X722" s="70">
        <f t="shared" si="423"/>
        <v>42.8263636363636</v>
      </c>
      <c r="Y722" s="70"/>
      <c r="Z722" s="70"/>
      <c r="AA722" s="70">
        <f t="shared" si="417"/>
        <v>42.8263636363636</v>
      </c>
      <c r="AB722" s="80">
        <v>7.24</v>
      </c>
      <c r="AC722" s="68">
        <f t="shared" si="418"/>
        <v>310.062872727273</v>
      </c>
      <c r="AD722" s="68">
        <f t="shared" si="419"/>
        <v>2999.11282184532</v>
      </c>
      <c r="AE722" s="68">
        <f t="shared" si="420"/>
        <v>393.47877815468</v>
      </c>
    </row>
    <row r="723" customFormat="1" spans="1:31">
      <c r="A723" s="18"/>
      <c r="B723" s="19"/>
      <c r="C723" s="20">
        <v>240626000002</v>
      </c>
      <c r="D723" s="21">
        <v>45472</v>
      </c>
      <c r="E723" s="21" t="s">
        <v>41</v>
      </c>
      <c r="F723" s="19" t="s">
        <v>42</v>
      </c>
      <c r="G723" s="19" t="s">
        <v>125</v>
      </c>
      <c r="H723" s="19">
        <v>1.5</v>
      </c>
      <c r="I723" s="42"/>
      <c r="J723" s="46">
        <v>19502.7</v>
      </c>
      <c r="K723" s="40"/>
      <c r="L723" s="47">
        <f t="shared" ref="L723:L727" si="432">SUM(J723/M723)</f>
        <v>1505.99988370657</v>
      </c>
      <c r="M723" s="48">
        <v>12.950001</v>
      </c>
      <c r="N723" s="41">
        <v>7.24</v>
      </c>
      <c r="O723" s="42">
        <f t="shared" si="431"/>
        <v>93.75800724</v>
      </c>
      <c r="P723" s="44"/>
      <c r="Q723" s="44"/>
      <c r="R723" s="68">
        <f t="shared" si="421"/>
        <v>65.4209633649932</v>
      </c>
      <c r="S723" s="68"/>
      <c r="T723" s="69">
        <f t="shared" si="422"/>
        <v>0.165620759837178</v>
      </c>
      <c r="U723" s="68"/>
      <c r="V723" s="68"/>
      <c r="W723" s="68">
        <f t="shared" si="416"/>
        <v>65.5865841248304</v>
      </c>
      <c r="X723" s="70">
        <f t="shared" si="423"/>
        <v>1.04454545454545</v>
      </c>
      <c r="Y723" s="70"/>
      <c r="Z723" s="70"/>
      <c r="AA723" s="70">
        <f t="shared" si="417"/>
        <v>1.04454545454545</v>
      </c>
      <c r="AB723" s="80">
        <v>7.24</v>
      </c>
      <c r="AC723" s="68">
        <f t="shared" si="418"/>
        <v>7.56250909090909</v>
      </c>
      <c r="AD723" s="68">
        <f t="shared" si="419"/>
        <v>73.1490932157395</v>
      </c>
      <c r="AE723" s="68">
        <f t="shared" si="420"/>
        <v>20.6089140242605</v>
      </c>
    </row>
    <row r="724" customFormat="1" spans="1:31">
      <c r="A724" s="18"/>
      <c r="B724" s="19"/>
      <c r="C724" s="20">
        <v>240626000009</v>
      </c>
      <c r="D724" s="21">
        <v>45472</v>
      </c>
      <c r="E724" s="21" t="s">
        <v>44</v>
      </c>
      <c r="F724" s="19" t="s">
        <v>45</v>
      </c>
      <c r="G724" s="19" t="s">
        <v>221</v>
      </c>
      <c r="H724" s="19">
        <v>3.5</v>
      </c>
      <c r="I724" s="42"/>
      <c r="J724" s="39"/>
      <c r="K724" s="48">
        <v>29.55</v>
      </c>
      <c r="L724" s="47">
        <f t="shared" si="432"/>
        <v>0</v>
      </c>
      <c r="M724" s="48">
        <v>29.55</v>
      </c>
      <c r="N724" s="41">
        <v>7.24</v>
      </c>
      <c r="O724" s="42">
        <f t="shared" si="431"/>
        <v>213.942</v>
      </c>
      <c r="P724" s="44"/>
      <c r="Q724" s="44"/>
      <c r="R724" s="68">
        <f t="shared" si="421"/>
        <v>152.648914518317</v>
      </c>
      <c r="S724" s="68"/>
      <c r="T724" s="69">
        <f t="shared" si="422"/>
        <v>0.386448439620081</v>
      </c>
      <c r="U724" s="68"/>
      <c r="V724" s="68"/>
      <c r="W724" s="68">
        <f t="shared" si="416"/>
        <v>153.035362957938</v>
      </c>
      <c r="X724" s="70">
        <f t="shared" si="423"/>
        <v>2.43727272727273</v>
      </c>
      <c r="Y724" s="70"/>
      <c r="Z724" s="70"/>
      <c r="AA724" s="70">
        <f t="shared" si="417"/>
        <v>2.43727272727273</v>
      </c>
      <c r="AB724" s="80">
        <v>7.24</v>
      </c>
      <c r="AC724" s="68">
        <f t="shared" si="418"/>
        <v>17.6458545454545</v>
      </c>
      <c r="AD724" s="68">
        <f t="shared" si="419"/>
        <v>170.681217503392</v>
      </c>
      <c r="AE724" s="68">
        <f t="shared" si="420"/>
        <v>43.260782496608</v>
      </c>
    </row>
    <row r="725" customFormat="1" spans="1:31">
      <c r="A725" s="18"/>
      <c r="B725" s="19"/>
      <c r="C725" s="20">
        <v>240626000011</v>
      </c>
      <c r="D725" s="21">
        <v>45472</v>
      </c>
      <c r="E725" s="21" t="s">
        <v>48</v>
      </c>
      <c r="F725" s="19" t="s">
        <v>49</v>
      </c>
      <c r="G725" s="19" t="s">
        <v>500</v>
      </c>
      <c r="H725" s="19">
        <v>25.5</v>
      </c>
      <c r="I725" s="45"/>
      <c r="J725" s="46">
        <v>336875</v>
      </c>
      <c r="K725" s="40"/>
      <c r="L725" s="47">
        <f t="shared" si="432"/>
        <v>1773.86656837449</v>
      </c>
      <c r="M725" s="48">
        <v>189.91</v>
      </c>
      <c r="N725" s="97">
        <v>7.24</v>
      </c>
      <c r="O725" s="42">
        <f t="shared" si="431"/>
        <v>1374.9484</v>
      </c>
      <c r="P725" s="44"/>
      <c r="Q725" s="44"/>
      <c r="R725" s="68">
        <f t="shared" si="421"/>
        <v>1112.15637720488</v>
      </c>
      <c r="S725" s="68"/>
      <c r="T725" s="69">
        <f t="shared" si="422"/>
        <v>2.81555291723202</v>
      </c>
      <c r="U725" s="68"/>
      <c r="V725" s="68"/>
      <c r="W725" s="68">
        <f t="shared" si="416"/>
        <v>1114.97193012212</v>
      </c>
      <c r="X725" s="70">
        <f t="shared" si="423"/>
        <v>17.7572727272727</v>
      </c>
      <c r="Y725" s="70"/>
      <c r="Z725" s="70"/>
      <c r="AA725" s="70">
        <f t="shared" si="417"/>
        <v>17.7572727272727</v>
      </c>
      <c r="AB725" s="80">
        <v>7.24</v>
      </c>
      <c r="AC725" s="68">
        <f t="shared" si="418"/>
        <v>128.562654545455</v>
      </c>
      <c r="AD725" s="68">
        <f t="shared" si="419"/>
        <v>1243.53458466757</v>
      </c>
      <c r="AE725" s="68">
        <f t="shared" si="420"/>
        <v>131.41381533243</v>
      </c>
    </row>
    <row r="726" customFormat="1" spans="1:31">
      <c r="A726" s="18"/>
      <c r="B726" s="19"/>
      <c r="C726" s="20">
        <v>240626000012</v>
      </c>
      <c r="D726" s="21">
        <v>45472</v>
      </c>
      <c r="E726" s="21" t="s">
        <v>85</v>
      </c>
      <c r="F726" s="19" t="s">
        <v>86</v>
      </c>
      <c r="G726" s="19" t="s">
        <v>131</v>
      </c>
      <c r="H726" s="19">
        <v>18</v>
      </c>
      <c r="I726" s="38">
        <v>1062</v>
      </c>
      <c r="J726" s="39"/>
      <c r="K726" s="40"/>
      <c r="L726" s="19"/>
      <c r="M726" s="40"/>
      <c r="N726" s="41"/>
      <c r="O726" s="42">
        <f t="shared" ref="O725:O732" si="433">SUM(I726)</f>
        <v>1062</v>
      </c>
      <c r="P726" s="44"/>
      <c r="Q726" s="44"/>
      <c r="R726" s="68">
        <f t="shared" si="421"/>
        <v>785.051560379919</v>
      </c>
      <c r="S726" s="68"/>
      <c r="T726" s="69">
        <f t="shared" si="422"/>
        <v>1.98744911804613</v>
      </c>
      <c r="U726" s="68">
        <v>30</v>
      </c>
      <c r="V726" s="68"/>
      <c r="W726" s="68">
        <f t="shared" si="416"/>
        <v>817.039009497965</v>
      </c>
      <c r="X726" s="70">
        <f t="shared" si="423"/>
        <v>12.5345454545455</v>
      </c>
      <c r="Y726" s="70"/>
      <c r="Z726" s="70"/>
      <c r="AA726" s="70">
        <f t="shared" si="417"/>
        <v>12.5345454545455</v>
      </c>
      <c r="AB726" s="80">
        <v>7.24</v>
      </c>
      <c r="AC726" s="68">
        <f t="shared" si="418"/>
        <v>90.7501090909091</v>
      </c>
      <c r="AD726" s="68">
        <f t="shared" si="419"/>
        <v>907.789118588874</v>
      </c>
      <c r="AE726" s="68">
        <f t="shared" si="420"/>
        <v>154.210881411126</v>
      </c>
    </row>
    <row r="727" customFormat="1" spans="1:31">
      <c r="A727" s="18"/>
      <c r="B727" s="19"/>
      <c r="C727" s="20">
        <v>240626000014</v>
      </c>
      <c r="D727" s="21">
        <v>45472</v>
      </c>
      <c r="E727" s="21" t="s">
        <v>41</v>
      </c>
      <c r="F727" s="19" t="s">
        <v>42</v>
      </c>
      <c r="G727" s="19" t="s">
        <v>125</v>
      </c>
      <c r="H727" s="19">
        <v>0.15</v>
      </c>
      <c r="I727" s="42"/>
      <c r="J727" s="46">
        <v>13252.8</v>
      </c>
      <c r="K727" s="40"/>
      <c r="L727" s="47">
        <f t="shared" si="432"/>
        <v>1506</v>
      </c>
      <c r="M727" s="48">
        <v>8.8</v>
      </c>
      <c r="N727" s="41">
        <v>7.24</v>
      </c>
      <c r="O727" s="42">
        <f t="shared" ref="O727:O731" si="434">SUM(M727*N727)</f>
        <v>63.712</v>
      </c>
      <c r="P727" s="44"/>
      <c r="Q727" s="44"/>
      <c r="R727" s="68">
        <f t="shared" si="421"/>
        <v>6.54209633649932</v>
      </c>
      <c r="S727" s="68"/>
      <c r="T727" s="69">
        <f t="shared" si="422"/>
        <v>0.0165620759837178</v>
      </c>
      <c r="U727" s="68"/>
      <c r="V727" s="68"/>
      <c r="W727" s="68">
        <f t="shared" si="416"/>
        <v>6.55865841248304</v>
      </c>
      <c r="X727" s="70">
        <f t="shared" si="423"/>
        <v>0.104454545454545</v>
      </c>
      <c r="Y727" s="70"/>
      <c r="Z727" s="70"/>
      <c r="AA727" s="70">
        <f t="shared" si="417"/>
        <v>0.104454545454545</v>
      </c>
      <c r="AB727" s="80">
        <v>7.24</v>
      </c>
      <c r="AC727" s="68">
        <f t="shared" si="418"/>
        <v>0.756250909090909</v>
      </c>
      <c r="AD727" s="68">
        <f t="shared" si="419"/>
        <v>7.31490932157395</v>
      </c>
      <c r="AE727" s="68">
        <f t="shared" si="420"/>
        <v>56.3970906784261</v>
      </c>
    </row>
    <row r="728" customFormat="1" spans="1:31">
      <c r="A728" s="18"/>
      <c r="B728" s="19"/>
      <c r="C728" s="20">
        <v>240626000016</v>
      </c>
      <c r="D728" s="21">
        <v>45472</v>
      </c>
      <c r="E728" s="21" t="s">
        <v>51</v>
      </c>
      <c r="F728" s="19" t="s">
        <v>52</v>
      </c>
      <c r="G728" s="19" t="s">
        <v>501</v>
      </c>
      <c r="H728" s="19">
        <v>11.5</v>
      </c>
      <c r="I728" s="38">
        <v>655.5</v>
      </c>
      <c r="J728" s="39"/>
      <c r="K728" s="40"/>
      <c r="L728" s="19"/>
      <c r="M728" s="40"/>
      <c r="N728" s="41"/>
      <c r="O728" s="42">
        <f t="shared" si="433"/>
        <v>655.5</v>
      </c>
      <c r="P728" s="44"/>
      <c r="Q728" s="44"/>
      <c r="R728" s="68">
        <f t="shared" si="421"/>
        <v>501.560719131615</v>
      </c>
      <c r="S728" s="68"/>
      <c r="T728" s="69">
        <f t="shared" si="422"/>
        <v>1.2697591587517</v>
      </c>
      <c r="U728" s="68"/>
      <c r="V728" s="68"/>
      <c r="W728" s="68">
        <f t="shared" si="416"/>
        <v>502.830478290366</v>
      </c>
      <c r="X728" s="70">
        <f t="shared" si="423"/>
        <v>8.00818181818182</v>
      </c>
      <c r="Y728" s="70"/>
      <c r="Z728" s="70"/>
      <c r="AA728" s="70">
        <f t="shared" si="417"/>
        <v>8.00818181818182</v>
      </c>
      <c r="AB728" s="80">
        <v>7.24</v>
      </c>
      <c r="AC728" s="68">
        <f t="shared" si="418"/>
        <v>57.9792363636364</v>
      </c>
      <c r="AD728" s="68">
        <f t="shared" si="419"/>
        <v>560.809714654003</v>
      </c>
      <c r="AE728" s="68">
        <f t="shared" si="420"/>
        <v>94.690285345997</v>
      </c>
    </row>
    <row r="729" customFormat="1" spans="1:31">
      <c r="A729" s="18"/>
      <c r="B729" s="19"/>
      <c r="C729" s="20">
        <v>240626000023</v>
      </c>
      <c r="D729" s="21">
        <v>45472</v>
      </c>
      <c r="E729" s="21" t="s">
        <v>48</v>
      </c>
      <c r="F729" s="19" t="s">
        <v>49</v>
      </c>
      <c r="G729" s="19" t="s">
        <v>185</v>
      </c>
      <c r="H729" s="19">
        <v>6</v>
      </c>
      <c r="I729" s="38">
        <v>422.4</v>
      </c>
      <c r="J729" s="39"/>
      <c r="K729" s="40"/>
      <c r="L729" s="19"/>
      <c r="M729" s="40"/>
      <c r="N729" s="41"/>
      <c r="O729" s="42">
        <f t="shared" si="433"/>
        <v>422.4</v>
      </c>
      <c r="P729" s="44"/>
      <c r="Q729" s="44"/>
      <c r="R729" s="68">
        <f t="shared" si="421"/>
        <v>261.683853459973</v>
      </c>
      <c r="S729" s="68"/>
      <c r="T729" s="69">
        <f t="shared" si="422"/>
        <v>0.662483039348711</v>
      </c>
      <c r="U729" s="68"/>
      <c r="V729" s="68"/>
      <c r="W729" s="68">
        <f t="shared" si="416"/>
        <v>262.346336499322</v>
      </c>
      <c r="X729" s="70">
        <f t="shared" si="423"/>
        <v>4.17818181818182</v>
      </c>
      <c r="Y729" s="70"/>
      <c r="Z729" s="70"/>
      <c r="AA729" s="70">
        <f t="shared" si="417"/>
        <v>4.17818181818182</v>
      </c>
      <c r="AB729" s="80">
        <v>7.24</v>
      </c>
      <c r="AC729" s="68">
        <f t="shared" si="418"/>
        <v>30.2500363636364</v>
      </c>
      <c r="AD729" s="68">
        <f t="shared" ref="AD729:AD769" si="435">SUM(W729+AC729)</f>
        <v>292.596372862958</v>
      </c>
      <c r="AE729" s="68">
        <f t="shared" si="420"/>
        <v>129.803627137042</v>
      </c>
    </row>
    <row r="730" customFormat="1" spans="1:31">
      <c r="A730" s="18"/>
      <c r="B730" s="19"/>
      <c r="C730" s="20">
        <v>240626000025</v>
      </c>
      <c r="D730" s="21">
        <v>45472</v>
      </c>
      <c r="E730" s="21" t="s">
        <v>48</v>
      </c>
      <c r="F730" s="19" t="s">
        <v>49</v>
      </c>
      <c r="G730" s="19" t="s">
        <v>73</v>
      </c>
      <c r="H730" s="19">
        <v>2</v>
      </c>
      <c r="I730" s="45"/>
      <c r="J730" s="46">
        <v>31075</v>
      </c>
      <c r="K730" s="40"/>
      <c r="L730" s="47">
        <f t="shared" ref="L730:L733" si="436">SUM(J730/M730)</f>
        <v>1636.38757240653</v>
      </c>
      <c r="M730" s="48">
        <v>18.99</v>
      </c>
      <c r="N730" s="97">
        <v>7.24</v>
      </c>
      <c r="O730" s="42">
        <f t="shared" si="434"/>
        <v>137.4876</v>
      </c>
      <c r="P730" s="44"/>
      <c r="Q730" s="44"/>
      <c r="R730" s="68">
        <f t="shared" si="421"/>
        <v>87.2279511533243</v>
      </c>
      <c r="S730" s="68"/>
      <c r="T730" s="69">
        <f t="shared" si="422"/>
        <v>0.220827679782904</v>
      </c>
      <c r="U730" s="68"/>
      <c r="V730" s="69">
        <v>14</v>
      </c>
      <c r="W730" s="68">
        <f t="shared" si="416"/>
        <v>101.448778833107</v>
      </c>
      <c r="X730" s="70">
        <f t="shared" si="423"/>
        <v>1.39272727272727</v>
      </c>
      <c r="Y730" s="70"/>
      <c r="Z730" s="70"/>
      <c r="AA730" s="70">
        <f t="shared" si="417"/>
        <v>1.39272727272727</v>
      </c>
      <c r="AB730" s="80">
        <v>7.24</v>
      </c>
      <c r="AC730" s="68">
        <f t="shared" ref="AC730:AC769" si="437">SUM(AA730*AB730)</f>
        <v>10.0833454545455</v>
      </c>
      <c r="AD730" s="68">
        <f t="shared" si="435"/>
        <v>111.532124287653</v>
      </c>
      <c r="AE730" s="68">
        <f t="shared" ref="AE730:AE769" si="438">SUM(O730-AD730)</f>
        <v>25.955475712347</v>
      </c>
    </row>
    <row r="731" customFormat="1" spans="1:31">
      <c r="A731" s="18"/>
      <c r="B731" s="19"/>
      <c r="C731" s="20">
        <v>240626000026</v>
      </c>
      <c r="D731" s="21">
        <v>45472</v>
      </c>
      <c r="E731" s="21" t="s">
        <v>48</v>
      </c>
      <c r="F731" s="19" t="s">
        <v>49</v>
      </c>
      <c r="G731" s="19" t="s">
        <v>73</v>
      </c>
      <c r="H731" s="19">
        <v>2</v>
      </c>
      <c r="I731" s="45"/>
      <c r="J731" s="46">
        <v>24860</v>
      </c>
      <c r="K731" s="40"/>
      <c r="L731" s="47">
        <f t="shared" si="436"/>
        <v>1636.6030283081</v>
      </c>
      <c r="M731" s="48">
        <v>15.19</v>
      </c>
      <c r="N731" s="97">
        <v>7.24</v>
      </c>
      <c r="O731" s="42">
        <f t="shared" si="434"/>
        <v>109.9756</v>
      </c>
      <c r="P731" s="49"/>
      <c r="Q731" s="49"/>
      <c r="R731" s="68">
        <f t="shared" si="421"/>
        <v>87.2279511533243</v>
      </c>
      <c r="S731" s="68"/>
      <c r="T731" s="69">
        <f t="shared" si="422"/>
        <v>0.220827679782904</v>
      </c>
      <c r="U731" s="68"/>
      <c r="V731" s="68"/>
      <c r="W731" s="68">
        <f t="shared" ref="W731:W769" si="439">SUM(R731:V731)</f>
        <v>87.4487788331072</v>
      </c>
      <c r="X731" s="70">
        <f t="shared" si="423"/>
        <v>1.39272727272727</v>
      </c>
      <c r="Y731" s="70"/>
      <c r="Z731" s="70"/>
      <c r="AA731" s="70">
        <f t="shared" ref="AA731:AA769" si="440">SUM(X731:Z731)</f>
        <v>1.39272727272727</v>
      </c>
      <c r="AB731" s="80">
        <v>7.24</v>
      </c>
      <c r="AC731" s="68">
        <f t="shared" si="437"/>
        <v>10.0833454545454</v>
      </c>
      <c r="AD731" s="68">
        <f t="shared" si="435"/>
        <v>97.5321242876526</v>
      </c>
      <c r="AE731" s="68">
        <f t="shared" si="438"/>
        <v>12.4434757123474</v>
      </c>
    </row>
    <row r="732" customFormat="1" spans="1:31">
      <c r="A732" s="18" t="s">
        <v>502</v>
      </c>
      <c r="B732" s="19" t="s">
        <v>503</v>
      </c>
      <c r="C732" s="20">
        <v>240620000012</v>
      </c>
      <c r="D732" s="21">
        <v>45476</v>
      </c>
      <c r="E732" s="21" t="s">
        <v>51</v>
      </c>
      <c r="F732" s="19" t="s">
        <v>52</v>
      </c>
      <c r="G732" s="19" t="s">
        <v>504</v>
      </c>
      <c r="H732" s="19">
        <v>6</v>
      </c>
      <c r="I732" s="38">
        <v>712.4</v>
      </c>
      <c r="J732" s="39"/>
      <c r="K732" s="40"/>
      <c r="L732" s="19"/>
      <c r="M732" s="40"/>
      <c r="N732" s="41"/>
      <c r="O732" s="42">
        <f t="shared" si="433"/>
        <v>712.4</v>
      </c>
      <c r="P732" s="43">
        <f>SUM(O732:O769)</f>
        <v>101838.6292</v>
      </c>
      <c r="Q732" s="43" t="s">
        <v>59</v>
      </c>
      <c r="R732" s="68">
        <f>SUM(82819.1/1757)*H732</f>
        <v>282.819920318725</v>
      </c>
      <c r="S732" s="68"/>
      <c r="T732" s="69">
        <f>SUM(120/1757)*H732</f>
        <v>0.409789413773478</v>
      </c>
      <c r="U732" s="68"/>
      <c r="V732" s="68"/>
      <c r="W732" s="68">
        <f t="shared" si="439"/>
        <v>283.229709732499</v>
      </c>
      <c r="X732" s="70">
        <f>SUM(1346.91/1757)*H732</f>
        <v>4.59957882754696</v>
      </c>
      <c r="Y732" s="70"/>
      <c r="Z732" s="70"/>
      <c r="AA732" s="70">
        <f t="shared" si="440"/>
        <v>4.59957882754696</v>
      </c>
      <c r="AB732" s="80">
        <v>7.24</v>
      </c>
      <c r="AC732" s="68">
        <f t="shared" si="437"/>
        <v>33.30095071144</v>
      </c>
      <c r="AD732" s="68">
        <f t="shared" si="435"/>
        <v>316.530660443939</v>
      </c>
      <c r="AE732" s="68">
        <f t="shared" si="438"/>
        <v>395.869339556061</v>
      </c>
    </row>
    <row r="733" customFormat="1" spans="1:31">
      <c r="A733" s="18"/>
      <c r="B733" s="19"/>
      <c r="C733" s="20">
        <v>240620000020</v>
      </c>
      <c r="D733" s="21">
        <v>45476</v>
      </c>
      <c r="E733" s="21" t="s">
        <v>48</v>
      </c>
      <c r="F733" s="19" t="s">
        <v>49</v>
      </c>
      <c r="G733" s="19" t="s">
        <v>505</v>
      </c>
      <c r="H733" s="19">
        <v>3.5</v>
      </c>
      <c r="I733" s="42"/>
      <c r="J733" s="46">
        <v>65778</v>
      </c>
      <c r="K733" s="40"/>
      <c r="L733" s="47">
        <f t="shared" si="436"/>
        <v>1589.99274836838</v>
      </c>
      <c r="M733" s="48">
        <v>41.37</v>
      </c>
      <c r="N733" s="41">
        <v>7.24</v>
      </c>
      <c r="O733" s="42">
        <f t="shared" ref="O733:O736" si="441">SUM(M733*N733)</f>
        <v>299.5188</v>
      </c>
      <c r="P733" s="44"/>
      <c r="Q733" s="44"/>
      <c r="R733" s="68">
        <f t="shared" ref="R733:R769" si="442">SUM(82819.1/1757)*H733</f>
        <v>164.97828685259</v>
      </c>
      <c r="S733" s="68"/>
      <c r="T733" s="69">
        <f t="shared" ref="T733:T769" si="443">SUM(120/1757)*H733</f>
        <v>0.239043824701195</v>
      </c>
      <c r="U733" s="68"/>
      <c r="V733" s="68"/>
      <c r="W733" s="68">
        <f t="shared" si="439"/>
        <v>165.217330677291</v>
      </c>
      <c r="X733" s="70">
        <f t="shared" ref="X733:X769" si="444">SUM(1346.91/1757)*H733</f>
        <v>2.68308764940239</v>
      </c>
      <c r="Y733" s="70"/>
      <c r="Z733" s="70"/>
      <c r="AA733" s="70">
        <f t="shared" si="440"/>
        <v>2.68308764940239</v>
      </c>
      <c r="AB733" s="80">
        <v>7.24</v>
      </c>
      <c r="AC733" s="68">
        <f t="shared" si="437"/>
        <v>19.4255545816733</v>
      </c>
      <c r="AD733" s="68">
        <f t="shared" si="435"/>
        <v>184.642885258964</v>
      </c>
      <c r="AE733" s="68">
        <f t="shared" si="438"/>
        <v>114.875914741036</v>
      </c>
    </row>
    <row r="734" customFormat="1" spans="1:31">
      <c r="A734" s="18"/>
      <c r="B734" s="19"/>
      <c r="C734" s="20">
        <v>240621000005</v>
      </c>
      <c r="D734" s="21">
        <v>45476</v>
      </c>
      <c r="E734" s="21" t="s">
        <v>48</v>
      </c>
      <c r="F734" s="19" t="s">
        <v>49</v>
      </c>
      <c r="G734" s="19" t="s">
        <v>282</v>
      </c>
      <c r="H734" s="19">
        <v>14</v>
      </c>
      <c r="I734" s="38">
        <v>810</v>
      </c>
      <c r="J734" s="39"/>
      <c r="K734" s="40"/>
      <c r="L734" s="19"/>
      <c r="M734" s="40"/>
      <c r="N734" s="41"/>
      <c r="O734" s="42">
        <f t="shared" ref="O734:O738" si="445">SUM(I734)</f>
        <v>810</v>
      </c>
      <c r="P734" s="44"/>
      <c r="Q734" s="44"/>
      <c r="R734" s="68">
        <f t="shared" si="442"/>
        <v>659.913147410359</v>
      </c>
      <c r="S734" s="68"/>
      <c r="T734" s="69">
        <f t="shared" si="443"/>
        <v>0.956175298804781</v>
      </c>
      <c r="U734" s="68"/>
      <c r="V734" s="68"/>
      <c r="W734" s="68">
        <f t="shared" si="439"/>
        <v>660.869322709163</v>
      </c>
      <c r="X734" s="70">
        <f t="shared" si="444"/>
        <v>10.7323505976096</v>
      </c>
      <c r="Y734" s="70"/>
      <c r="Z734" s="70"/>
      <c r="AA734" s="70">
        <f t="shared" si="440"/>
        <v>10.7323505976096</v>
      </c>
      <c r="AB734" s="80">
        <v>7.24</v>
      </c>
      <c r="AC734" s="68">
        <f t="shared" si="437"/>
        <v>77.7022183266932</v>
      </c>
      <c r="AD734" s="68">
        <f t="shared" si="435"/>
        <v>738.571541035857</v>
      </c>
      <c r="AE734" s="68">
        <f t="shared" si="438"/>
        <v>71.4284589641435</v>
      </c>
    </row>
    <row r="735" customFormat="1" spans="1:31">
      <c r="A735" s="18"/>
      <c r="B735" s="19"/>
      <c r="C735" s="20">
        <v>240621000021</v>
      </c>
      <c r="D735" s="21">
        <v>45476</v>
      </c>
      <c r="E735" s="21" t="s">
        <v>51</v>
      </c>
      <c r="F735" s="19" t="s">
        <v>52</v>
      </c>
      <c r="G735" s="19" t="s">
        <v>506</v>
      </c>
      <c r="H735" s="19">
        <v>13</v>
      </c>
      <c r="I735" s="42"/>
      <c r="J735" s="46">
        <v>249634</v>
      </c>
      <c r="K735" s="40"/>
      <c r="L735" s="19"/>
      <c r="M735" s="48">
        <v>165.76</v>
      </c>
      <c r="N735" s="41">
        <v>7.24</v>
      </c>
      <c r="O735" s="42">
        <f>SUM(M735*N735)</f>
        <v>1200.1024</v>
      </c>
      <c r="P735" s="44"/>
      <c r="Q735" s="44"/>
      <c r="R735" s="68">
        <f t="shared" si="442"/>
        <v>612.776494023904</v>
      </c>
      <c r="S735" s="68"/>
      <c r="T735" s="69">
        <f t="shared" si="443"/>
        <v>0.887877063175868</v>
      </c>
      <c r="U735" s="68"/>
      <c r="V735" s="68"/>
      <c r="W735" s="68">
        <f t="shared" si="439"/>
        <v>613.66437108708</v>
      </c>
      <c r="X735" s="70">
        <f t="shared" si="444"/>
        <v>9.96575412635174</v>
      </c>
      <c r="Y735" s="70"/>
      <c r="Z735" s="70"/>
      <c r="AA735" s="70">
        <f t="shared" si="440"/>
        <v>9.96575412635174</v>
      </c>
      <c r="AB735" s="80">
        <v>7.24</v>
      </c>
      <c r="AC735" s="68">
        <f t="shared" si="437"/>
        <v>72.1520598747866</v>
      </c>
      <c r="AD735" s="68">
        <f t="shared" si="435"/>
        <v>685.816430961867</v>
      </c>
      <c r="AE735" s="68">
        <f t="shared" si="438"/>
        <v>514.285969038133</v>
      </c>
    </row>
    <row r="736" customFormat="1" spans="1:31">
      <c r="A736" s="18"/>
      <c r="B736" s="19"/>
      <c r="C736" s="20">
        <v>240621000034</v>
      </c>
      <c r="D736" s="21">
        <v>45476</v>
      </c>
      <c r="E736" s="21" t="s">
        <v>41</v>
      </c>
      <c r="F736" s="19" t="s">
        <v>42</v>
      </c>
      <c r="G736" s="19" t="s">
        <v>485</v>
      </c>
      <c r="H736" s="19">
        <v>13.5</v>
      </c>
      <c r="I736" s="45"/>
      <c r="J736" s="46">
        <v>179130</v>
      </c>
      <c r="K736" s="40"/>
      <c r="L736" s="47">
        <f t="shared" ref="L736:L740" si="446">SUM(J736/M736)</f>
        <v>1520.37005601765</v>
      </c>
      <c r="M736" s="48">
        <v>117.82</v>
      </c>
      <c r="N736" s="41">
        <v>7.24</v>
      </c>
      <c r="O736" s="42">
        <f t="shared" si="441"/>
        <v>853.0168</v>
      </c>
      <c r="P736" s="44"/>
      <c r="Q736" s="44"/>
      <c r="R736" s="68">
        <f t="shared" si="442"/>
        <v>636.344820717131</v>
      </c>
      <c r="S736" s="68"/>
      <c r="T736" s="69">
        <f t="shared" si="443"/>
        <v>0.922026180990324</v>
      </c>
      <c r="U736" s="68"/>
      <c r="V736" s="68"/>
      <c r="W736" s="68">
        <f t="shared" si="439"/>
        <v>637.266846898122</v>
      </c>
      <c r="X736" s="70">
        <f t="shared" si="444"/>
        <v>10.3490523619807</v>
      </c>
      <c r="Y736" s="70"/>
      <c r="Z736" s="70"/>
      <c r="AA736" s="70">
        <f t="shared" si="440"/>
        <v>10.3490523619807</v>
      </c>
      <c r="AB736" s="80">
        <v>7.24</v>
      </c>
      <c r="AC736" s="68">
        <f t="shared" si="437"/>
        <v>74.9271391007399</v>
      </c>
      <c r="AD736" s="68">
        <f t="shared" si="435"/>
        <v>712.193985998862</v>
      </c>
      <c r="AE736" s="68">
        <f t="shared" si="438"/>
        <v>140.822814001138</v>
      </c>
    </row>
    <row r="737" customFormat="1" spans="1:31">
      <c r="A737" s="18"/>
      <c r="B737" s="19"/>
      <c r="C737" s="20">
        <v>240622000001</v>
      </c>
      <c r="D737" s="21">
        <v>45476</v>
      </c>
      <c r="E737" s="21" t="s">
        <v>51</v>
      </c>
      <c r="F737" s="19" t="s">
        <v>52</v>
      </c>
      <c r="G737" s="19" t="s">
        <v>507</v>
      </c>
      <c r="H737" s="19">
        <v>0.5</v>
      </c>
      <c r="I737" s="38">
        <v>100.8</v>
      </c>
      <c r="J737" s="39"/>
      <c r="K737" s="40"/>
      <c r="L737" s="19"/>
      <c r="M737" s="40"/>
      <c r="N737" s="41"/>
      <c r="O737" s="42">
        <f t="shared" si="445"/>
        <v>100.8</v>
      </c>
      <c r="P737" s="44"/>
      <c r="Q737" s="44"/>
      <c r="R737" s="68">
        <f t="shared" si="442"/>
        <v>23.5683266932271</v>
      </c>
      <c r="S737" s="68"/>
      <c r="T737" s="69">
        <f t="shared" si="443"/>
        <v>0.0341491178144565</v>
      </c>
      <c r="U737" s="68"/>
      <c r="V737" s="68"/>
      <c r="W737" s="68">
        <f t="shared" si="439"/>
        <v>23.6024758110416</v>
      </c>
      <c r="X737" s="70">
        <f t="shared" si="444"/>
        <v>0.383298235628913</v>
      </c>
      <c r="Y737" s="70"/>
      <c r="Z737" s="70"/>
      <c r="AA737" s="70">
        <f t="shared" si="440"/>
        <v>0.383298235628913</v>
      </c>
      <c r="AB737" s="80">
        <v>7.24</v>
      </c>
      <c r="AC737" s="68">
        <f t="shared" si="437"/>
        <v>2.77507922595333</v>
      </c>
      <c r="AD737" s="68">
        <f t="shared" si="435"/>
        <v>26.3775550369949</v>
      </c>
      <c r="AE737" s="68">
        <f t="shared" si="438"/>
        <v>74.4224449630051</v>
      </c>
    </row>
    <row r="738" customFormat="1" spans="1:31">
      <c r="A738" s="18"/>
      <c r="B738" s="19"/>
      <c r="C738" s="20">
        <v>240622000005</v>
      </c>
      <c r="D738" s="21">
        <v>45476</v>
      </c>
      <c r="E738" s="21" t="s">
        <v>48</v>
      </c>
      <c r="F738" s="19" t="s">
        <v>49</v>
      </c>
      <c r="G738" s="19" t="s">
        <v>183</v>
      </c>
      <c r="H738" s="19">
        <v>0.96</v>
      </c>
      <c r="I738" s="38">
        <v>63</v>
      </c>
      <c r="J738" s="39"/>
      <c r="K738" s="40"/>
      <c r="L738" s="19"/>
      <c r="M738" s="40"/>
      <c r="N738" s="41"/>
      <c r="O738" s="42">
        <f t="shared" si="445"/>
        <v>63</v>
      </c>
      <c r="P738" s="44"/>
      <c r="Q738" s="44"/>
      <c r="R738" s="68">
        <f t="shared" si="442"/>
        <v>45.251187250996</v>
      </c>
      <c r="S738" s="68"/>
      <c r="T738" s="69">
        <f t="shared" si="443"/>
        <v>0.0655663062037564</v>
      </c>
      <c r="U738" s="68"/>
      <c r="V738" s="68"/>
      <c r="W738" s="68">
        <f t="shared" si="439"/>
        <v>45.3167535571998</v>
      </c>
      <c r="X738" s="70">
        <f t="shared" si="444"/>
        <v>0.735932612407513</v>
      </c>
      <c r="Y738" s="70"/>
      <c r="Z738" s="70"/>
      <c r="AA738" s="70">
        <f t="shared" si="440"/>
        <v>0.735932612407513</v>
      </c>
      <c r="AB738" s="80">
        <v>7.24</v>
      </c>
      <c r="AC738" s="68">
        <f t="shared" si="437"/>
        <v>5.32815211383039</v>
      </c>
      <c r="AD738" s="68">
        <f t="shared" si="435"/>
        <v>50.6449056710302</v>
      </c>
      <c r="AE738" s="68">
        <f t="shared" si="438"/>
        <v>12.3550943289698</v>
      </c>
    </row>
    <row r="739" customFormat="1" spans="1:31">
      <c r="A739" s="18"/>
      <c r="B739" s="19"/>
      <c r="C739" s="20">
        <v>240622000009</v>
      </c>
      <c r="D739" s="21">
        <v>45476</v>
      </c>
      <c r="E739" s="21" t="s">
        <v>48</v>
      </c>
      <c r="F739" s="19" t="s">
        <v>49</v>
      </c>
      <c r="G739" s="19" t="s">
        <v>304</v>
      </c>
      <c r="H739" s="19">
        <v>10</v>
      </c>
      <c r="I739" s="45"/>
      <c r="J739" s="46">
        <v>126000</v>
      </c>
      <c r="K739" s="40"/>
      <c r="L739" s="47">
        <f t="shared" si="446"/>
        <v>1520.4537226982</v>
      </c>
      <c r="M739" s="48">
        <v>82.87</v>
      </c>
      <c r="N739" s="41">
        <v>7.24</v>
      </c>
      <c r="O739" s="42">
        <f t="shared" ref="O739:O743" si="447">SUM(M739*N739)</f>
        <v>599.9788</v>
      </c>
      <c r="P739" s="44"/>
      <c r="Q739" s="44"/>
      <c r="R739" s="68">
        <f t="shared" si="442"/>
        <v>471.366533864542</v>
      </c>
      <c r="S739" s="68"/>
      <c r="T739" s="69">
        <f t="shared" si="443"/>
        <v>0.682982356289129</v>
      </c>
      <c r="U739" s="68"/>
      <c r="V739" s="68"/>
      <c r="W739" s="68">
        <f t="shared" si="439"/>
        <v>472.049516220831</v>
      </c>
      <c r="X739" s="70">
        <f t="shared" si="444"/>
        <v>7.66596471257826</v>
      </c>
      <c r="Y739" s="70"/>
      <c r="Z739" s="70"/>
      <c r="AA739" s="70">
        <f t="shared" si="440"/>
        <v>7.66596471257826</v>
      </c>
      <c r="AB739" s="80">
        <v>7.24</v>
      </c>
      <c r="AC739" s="68">
        <f t="shared" si="437"/>
        <v>55.5015845190666</v>
      </c>
      <c r="AD739" s="68">
        <f t="shared" si="435"/>
        <v>527.551100739898</v>
      </c>
      <c r="AE739" s="68">
        <f t="shared" si="438"/>
        <v>72.4276992601024</v>
      </c>
    </row>
    <row r="740" customFormat="1" spans="1:31">
      <c r="A740" s="18"/>
      <c r="B740" s="19"/>
      <c r="C740" s="20">
        <v>240623000001</v>
      </c>
      <c r="D740" s="21">
        <v>45476</v>
      </c>
      <c r="E740" s="21" t="s">
        <v>44</v>
      </c>
      <c r="F740" s="19" t="s">
        <v>45</v>
      </c>
      <c r="G740" s="19" t="s">
        <v>127</v>
      </c>
      <c r="H740" s="19">
        <v>0.8</v>
      </c>
      <c r="I740" s="42"/>
      <c r="J740" s="46">
        <v>15400</v>
      </c>
      <c r="K740" s="40"/>
      <c r="L740" s="47">
        <f t="shared" si="446"/>
        <v>1590.90909090909</v>
      </c>
      <c r="M740" s="48">
        <v>9.68</v>
      </c>
      <c r="N740" s="41">
        <v>7.24</v>
      </c>
      <c r="O740" s="42">
        <f t="shared" si="447"/>
        <v>70.0832</v>
      </c>
      <c r="P740" s="44"/>
      <c r="Q740" s="44"/>
      <c r="R740" s="68">
        <f t="shared" si="442"/>
        <v>37.7093227091634</v>
      </c>
      <c r="S740" s="68"/>
      <c r="T740" s="69">
        <f t="shared" si="443"/>
        <v>0.0546385885031303</v>
      </c>
      <c r="U740" s="68"/>
      <c r="V740" s="68"/>
      <c r="W740" s="68">
        <f t="shared" si="439"/>
        <v>37.7639612976665</v>
      </c>
      <c r="X740" s="70">
        <f t="shared" si="444"/>
        <v>0.613277177006261</v>
      </c>
      <c r="Y740" s="70"/>
      <c r="Z740" s="70"/>
      <c r="AA740" s="70">
        <f t="shared" si="440"/>
        <v>0.613277177006261</v>
      </c>
      <c r="AB740" s="80">
        <v>7.24</v>
      </c>
      <c r="AC740" s="68">
        <f t="shared" si="437"/>
        <v>4.44012676152533</v>
      </c>
      <c r="AD740" s="68">
        <f t="shared" si="435"/>
        <v>42.2040880591918</v>
      </c>
      <c r="AE740" s="68">
        <f t="shared" si="438"/>
        <v>27.8791119408082</v>
      </c>
    </row>
    <row r="741" customFormat="1" spans="1:31">
      <c r="A741" s="18"/>
      <c r="B741" s="19"/>
      <c r="C741" s="20">
        <v>240623000006</v>
      </c>
      <c r="D741" s="21">
        <v>45476</v>
      </c>
      <c r="E741" s="21" t="s">
        <v>37</v>
      </c>
      <c r="F741" s="19" t="s">
        <v>37</v>
      </c>
      <c r="G741" s="19" t="s">
        <v>228</v>
      </c>
      <c r="H741" s="19">
        <v>55</v>
      </c>
      <c r="I741" s="38">
        <v>4538.2</v>
      </c>
      <c r="J741" s="39"/>
      <c r="K741" s="40"/>
      <c r="L741" s="19"/>
      <c r="M741" s="40"/>
      <c r="N741" s="41"/>
      <c r="O741" s="42">
        <f t="shared" ref="O741:O750" si="448">SUM(I741)</f>
        <v>4538.2</v>
      </c>
      <c r="P741" s="44"/>
      <c r="Q741" s="44"/>
      <c r="R741" s="68">
        <f t="shared" si="442"/>
        <v>2592.51593625498</v>
      </c>
      <c r="S741" s="68"/>
      <c r="T741" s="69">
        <f t="shared" si="443"/>
        <v>3.75640295959021</v>
      </c>
      <c r="U741" s="69">
        <v>190</v>
      </c>
      <c r="V741" s="68"/>
      <c r="W741" s="68">
        <f t="shared" si="439"/>
        <v>2786.27233921457</v>
      </c>
      <c r="X741" s="70">
        <f t="shared" si="444"/>
        <v>42.1628059191804</v>
      </c>
      <c r="Y741" s="70"/>
      <c r="Z741" s="70"/>
      <c r="AA741" s="70">
        <f t="shared" si="440"/>
        <v>42.1628059191804</v>
      </c>
      <c r="AB741" s="80">
        <v>7.24</v>
      </c>
      <c r="AC741" s="68">
        <f t="shared" si="437"/>
        <v>305.258714854866</v>
      </c>
      <c r="AD741" s="68">
        <f t="shared" si="435"/>
        <v>3091.53105406944</v>
      </c>
      <c r="AE741" s="68">
        <f t="shared" si="438"/>
        <v>1446.66894593056</v>
      </c>
    </row>
    <row r="742" customFormat="1" spans="1:31">
      <c r="A742" s="18"/>
      <c r="B742" s="19"/>
      <c r="C742" s="20">
        <v>240624000005</v>
      </c>
      <c r="D742" s="21">
        <v>45476</v>
      </c>
      <c r="E742" s="21" t="s">
        <v>48</v>
      </c>
      <c r="F742" s="19" t="s">
        <v>49</v>
      </c>
      <c r="G742" s="19" t="s">
        <v>508</v>
      </c>
      <c r="H742" s="19">
        <v>0.49</v>
      </c>
      <c r="I742" s="38">
        <v>75</v>
      </c>
      <c r="J742" s="39"/>
      <c r="K742" s="40"/>
      <c r="L742" s="19"/>
      <c r="M742" s="40"/>
      <c r="N742" s="41"/>
      <c r="O742" s="42">
        <f t="shared" si="448"/>
        <v>75</v>
      </c>
      <c r="P742" s="44"/>
      <c r="Q742" s="44"/>
      <c r="R742" s="68">
        <f t="shared" si="442"/>
        <v>23.0969601593625</v>
      </c>
      <c r="S742" s="68"/>
      <c r="T742" s="69">
        <f t="shared" si="443"/>
        <v>0.0334661354581673</v>
      </c>
      <c r="U742" s="68"/>
      <c r="V742" s="68"/>
      <c r="W742" s="68">
        <f t="shared" si="439"/>
        <v>23.1304262948207</v>
      </c>
      <c r="X742" s="70">
        <f t="shared" si="444"/>
        <v>0.375632270916335</v>
      </c>
      <c r="Y742" s="70"/>
      <c r="Z742" s="70"/>
      <c r="AA742" s="70">
        <f t="shared" si="440"/>
        <v>0.375632270916335</v>
      </c>
      <c r="AB742" s="80">
        <v>7.24</v>
      </c>
      <c r="AC742" s="68">
        <f t="shared" si="437"/>
        <v>2.71957764143426</v>
      </c>
      <c r="AD742" s="68">
        <f t="shared" si="435"/>
        <v>25.850003936255</v>
      </c>
      <c r="AE742" s="68">
        <f t="shared" si="438"/>
        <v>49.149996063745</v>
      </c>
    </row>
    <row r="743" customFormat="1" spans="1:31">
      <c r="A743" s="18"/>
      <c r="B743" s="19"/>
      <c r="C743" s="20">
        <v>240624000015</v>
      </c>
      <c r="D743" s="21">
        <v>45476</v>
      </c>
      <c r="E743" s="21" t="s">
        <v>48</v>
      </c>
      <c r="F743" s="19" t="s">
        <v>49</v>
      </c>
      <c r="G743" s="19" t="s">
        <v>509</v>
      </c>
      <c r="H743" s="19">
        <v>3</v>
      </c>
      <c r="I743" s="45"/>
      <c r="J743" s="46">
        <v>75600</v>
      </c>
      <c r="K743" s="40"/>
      <c r="L743" s="47">
        <f>SUM(J743/M743)</f>
        <v>1520.51488334674</v>
      </c>
      <c r="M743" s="48">
        <v>49.72</v>
      </c>
      <c r="N743" s="41">
        <v>7.24</v>
      </c>
      <c r="O743" s="42">
        <f t="shared" si="447"/>
        <v>359.9728</v>
      </c>
      <c r="P743" s="44"/>
      <c r="Q743" s="44"/>
      <c r="R743" s="68">
        <f t="shared" si="442"/>
        <v>141.409960159363</v>
      </c>
      <c r="S743" s="68"/>
      <c r="T743" s="69">
        <f t="shared" si="443"/>
        <v>0.204894706886739</v>
      </c>
      <c r="U743" s="68"/>
      <c r="V743" s="68"/>
      <c r="W743" s="68">
        <f t="shared" si="439"/>
        <v>141.614854866249</v>
      </c>
      <c r="X743" s="70">
        <f t="shared" si="444"/>
        <v>2.29978941377348</v>
      </c>
      <c r="Y743" s="70"/>
      <c r="Z743" s="70"/>
      <c r="AA743" s="70">
        <f t="shared" si="440"/>
        <v>2.29978941377348</v>
      </c>
      <c r="AB743" s="80">
        <v>7.24</v>
      </c>
      <c r="AC743" s="68">
        <f t="shared" si="437"/>
        <v>16.65047535572</v>
      </c>
      <c r="AD743" s="68">
        <f t="shared" si="435"/>
        <v>158.265330221969</v>
      </c>
      <c r="AE743" s="68">
        <f t="shared" si="438"/>
        <v>201.707469778031</v>
      </c>
    </row>
    <row r="744" customFormat="1" spans="1:31">
      <c r="A744" s="18"/>
      <c r="B744" s="19"/>
      <c r="C744" s="20">
        <v>240624000016</v>
      </c>
      <c r="D744" s="21">
        <v>45476</v>
      </c>
      <c r="E744" s="21" t="s">
        <v>51</v>
      </c>
      <c r="F744" s="19" t="s">
        <v>52</v>
      </c>
      <c r="G744" s="19" t="s">
        <v>510</v>
      </c>
      <c r="H744" s="19">
        <v>6.5</v>
      </c>
      <c r="I744" s="38">
        <v>454.5</v>
      </c>
      <c r="J744" s="39"/>
      <c r="K744" s="40"/>
      <c r="L744" s="19"/>
      <c r="M744" s="40"/>
      <c r="N744" s="41"/>
      <c r="O744" s="42">
        <f t="shared" si="448"/>
        <v>454.5</v>
      </c>
      <c r="P744" s="44"/>
      <c r="Q744" s="44"/>
      <c r="R744" s="68">
        <f t="shared" si="442"/>
        <v>306.388247011952</v>
      </c>
      <c r="S744" s="68"/>
      <c r="T744" s="69">
        <f t="shared" si="443"/>
        <v>0.443938531587934</v>
      </c>
      <c r="U744" s="68"/>
      <c r="V744" s="68"/>
      <c r="W744" s="68">
        <f t="shared" si="439"/>
        <v>306.83218554354</v>
      </c>
      <c r="X744" s="70">
        <f t="shared" si="444"/>
        <v>4.98287706317587</v>
      </c>
      <c r="Y744" s="70">
        <v>5.52</v>
      </c>
      <c r="Z744" s="70"/>
      <c r="AA744" s="70">
        <f t="shared" si="440"/>
        <v>10.5028770631759</v>
      </c>
      <c r="AB744" s="80">
        <v>7.24</v>
      </c>
      <c r="AC744" s="68">
        <f t="shared" si="437"/>
        <v>76.0408299373933</v>
      </c>
      <c r="AD744" s="68">
        <f t="shared" si="435"/>
        <v>382.873015480933</v>
      </c>
      <c r="AE744" s="68">
        <f t="shared" si="438"/>
        <v>71.6269845190666</v>
      </c>
    </row>
    <row r="745" customFormat="1" spans="1:31">
      <c r="A745" s="18"/>
      <c r="B745" s="19"/>
      <c r="C745" s="20">
        <v>240624000019</v>
      </c>
      <c r="D745" s="21">
        <v>45476</v>
      </c>
      <c r="E745" s="21" t="s">
        <v>48</v>
      </c>
      <c r="F745" s="19" t="s">
        <v>49</v>
      </c>
      <c r="G745" s="19" t="s">
        <v>345</v>
      </c>
      <c r="H745" s="19">
        <v>5</v>
      </c>
      <c r="I745" s="38">
        <v>350</v>
      </c>
      <c r="J745" s="39"/>
      <c r="K745" s="40"/>
      <c r="L745" s="19"/>
      <c r="M745" s="40"/>
      <c r="N745" s="41"/>
      <c r="O745" s="42">
        <f t="shared" si="448"/>
        <v>350</v>
      </c>
      <c r="P745" s="44"/>
      <c r="Q745" s="44"/>
      <c r="R745" s="68">
        <f t="shared" si="442"/>
        <v>235.683266932271</v>
      </c>
      <c r="S745" s="68"/>
      <c r="T745" s="69">
        <f t="shared" si="443"/>
        <v>0.341491178144565</v>
      </c>
      <c r="U745" s="68"/>
      <c r="V745" s="68"/>
      <c r="W745" s="68">
        <f t="shared" si="439"/>
        <v>236.024758110415</v>
      </c>
      <c r="X745" s="70">
        <f t="shared" si="444"/>
        <v>3.83298235628913</v>
      </c>
      <c r="Y745" s="70"/>
      <c r="Z745" s="70"/>
      <c r="AA745" s="70">
        <f t="shared" si="440"/>
        <v>3.83298235628913</v>
      </c>
      <c r="AB745" s="80">
        <v>7.24</v>
      </c>
      <c r="AC745" s="68">
        <f t="shared" si="437"/>
        <v>27.7507922595333</v>
      </c>
      <c r="AD745" s="68">
        <f t="shared" si="435"/>
        <v>263.775550369949</v>
      </c>
      <c r="AE745" s="68">
        <f t="shared" si="438"/>
        <v>86.2244496300512</v>
      </c>
    </row>
    <row r="746" customFormat="1" spans="1:31">
      <c r="A746" s="18"/>
      <c r="B746" s="19"/>
      <c r="C746" s="20">
        <v>240624000020</v>
      </c>
      <c r="D746" s="21">
        <v>45476</v>
      </c>
      <c r="E746" s="21" t="s">
        <v>48</v>
      </c>
      <c r="F746" s="19" t="s">
        <v>49</v>
      </c>
      <c r="G746" s="19" t="s">
        <v>511</v>
      </c>
      <c r="H746" s="19">
        <v>3</v>
      </c>
      <c r="I746" s="38">
        <v>184.8</v>
      </c>
      <c r="J746" s="39"/>
      <c r="K746" s="40"/>
      <c r="L746" s="19"/>
      <c r="M746" s="40"/>
      <c r="N746" s="41"/>
      <c r="O746" s="42">
        <f t="shared" si="448"/>
        <v>184.8</v>
      </c>
      <c r="P746" s="44"/>
      <c r="Q746" s="44"/>
      <c r="R746" s="68">
        <f t="shared" si="442"/>
        <v>141.409960159363</v>
      </c>
      <c r="S746" s="68"/>
      <c r="T746" s="69">
        <f t="shared" si="443"/>
        <v>0.204894706886739</v>
      </c>
      <c r="U746" s="68"/>
      <c r="V746" s="68"/>
      <c r="W746" s="68">
        <f t="shared" si="439"/>
        <v>141.614854866249</v>
      </c>
      <c r="X746" s="70">
        <f t="shared" si="444"/>
        <v>2.29978941377348</v>
      </c>
      <c r="Y746" s="70"/>
      <c r="Z746" s="70"/>
      <c r="AA746" s="70">
        <f t="shared" si="440"/>
        <v>2.29978941377348</v>
      </c>
      <c r="AB746" s="80">
        <v>7.24</v>
      </c>
      <c r="AC746" s="68">
        <f t="shared" si="437"/>
        <v>16.65047535572</v>
      </c>
      <c r="AD746" s="68">
        <f t="shared" si="435"/>
        <v>158.265330221969</v>
      </c>
      <c r="AE746" s="68">
        <f t="shared" si="438"/>
        <v>26.5346697780307</v>
      </c>
    </row>
    <row r="747" customFormat="1" spans="1:31">
      <c r="A747" s="18"/>
      <c r="B747" s="19"/>
      <c r="C747" s="20">
        <v>240624000021</v>
      </c>
      <c r="D747" s="21">
        <v>45476</v>
      </c>
      <c r="E747" s="21" t="s">
        <v>48</v>
      </c>
      <c r="F747" s="19" t="s">
        <v>49</v>
      </c>
      <c r="G747" s="19" t="s">
        <v>153</v>
      </c>
      <c r="H747" s="19">
        <v>5.5</v>
      </c>
      <c r="I747" s="38">
        <v>510</v>
      </c>
      <c r="J747" s="39"/>
      <c r="K747" s="40"/>
      <c r="L747" s="19"/>
      <c r="M747" s="40"/>
      <c r="N747" s="41"/>
      <c r="O747" s="42">
        <f t="shared" si="448"/>
        <v>510</v>
      </c>
      <c r="P747" s="44"/>
      <c r="Q747" s="44"/>
      <c r="R747" s="68">
        <f t="shared" si="442"/>
        <v>259.251593625498</v>
      </c>
      <c r="S747" s="68"/>
      <c r="T747" s="69">
        <f t="shared" si="443"/>
        <v>0.375640295959021</v>
      </c>
      <c r="U747" s="68"/>
      <c r="V747" s="68"/>
      <c r="W747" s="68">
        <f t="shared" si="439"/>
        <v>259.627233921457</v>
      </c>
      <c r="X747" s="70">
        <f t="shared" si="444"/>
        <v>4.21628059191804</v>
      </c>
      <c r="Y747" s="70"/>
      <c r="Z747" s="70"/>
      <c r="AA747" s="70">
        <f t="shared" si="440"/>
        <v>4.21628059191804</v>
      </c>
      <c r="AB747" s="80">
        <v>7.24</v>
      </c>
      <c r="AC747" s="68">
        <f t="shared" si="437"/>
        <v>30.5258714854866</v>
      </c>
      <c r="AD747" s="68">
        <f t="shared" si="435"/>
        <v>290.153105406944</v>
      </c>
      <c r="AE747" s="68">
        <f t="shared" si="438"/>
        <v>219.846894593056</v>
      </c>
    </row>
    <row r="748" customFormat="1" spans="1:31">
      <c r="A748" s="18"/>
      <c r="B748" s="19"/>
      <c r="C748" s="20">
        <v>240624000023</v>
      </c>
      <c r="D748" s="21">
        <v>45476</v>
      </c>
      <c r="E748" s="21" t="s">
        <v>48</v>
      </c>
      <c r="F748" s="19" t="s">
        <v>49</v>
      </c>
      <c r="G748" s="19" t="s">
        <v>142</v>
      </c>
      <c r="H748" s="19">
        <v>13</v>
      </c>
      <c r="I748" s="38">
        <v>910</v>
      </c>
      <c r="J748" s="39"/>
      <c r="K748" s="40"/>
      <c r="L748" s="19"/>
      <c r="M748" s="40"/>
      <c r="N748" s="41"/>
      <c r="O748" s="42">
        <f t="shared" si="448"/>
        <v>910</v>
      </c>
      <c r="P748" s="44"/>
      <c r="Q748" s="44"/>
      <c r="R748" s="68">
        <f t="shared" si="442"/>
        <v>612.776494023904</v>
      </c>
      <c r="S748" s="68"/>
      <c r="T748" s="69">
        <f t="shared" si="443"/>
        <v>0.887877063175868</v>
      </c>
      <c r="U748" s="68"/>
      <c r="V748" s="68"/>
      <c r="W748" s="68">
        <f t="shared" si="439"/>
        <v>613.66437108708</v>
      </c>
      <c r="X748" s="70">
        <f t="shared" si="444"/>
        <v>9.96575412635174</v>
      </c>
      <c r="Y748" s="70"/>
      <c r="Z748" s="70"/>
      <c r="AA748" s="70">
        <f t="shared" si="440"/>
        <v>9.96575412635174</v>
      </c>
      <c r="AB748" s="80">
        <v>7.24</v>
      </c>
      <c r="AC748" s="68">
        <f t="shared" si="437"/>
        <v>72.1520598747866</v>
      </c>
      <c r="AD748" s="68">
        <f t="shared" si="435"/>
        <v>685.816430961867</v>
      </c>
      <c r="AE748" s="68">
        <f t="shared" si="438"/>
        <v>224.183569038133</v>
      </c>
    </row>
    <row r="749" customFormat="1" spans="1:31">
      <c r="A749" s="18"/>
      <c r="B749" s="19"/>
      <c r="C749" s="20">
        <v>240624000026</v>
      </c>
      <c r="D749" s="21">
        <v>45476</v>
      </c>
      <c r="E749" s="21" t="s">
        <v>51</v>
      </c>
      <c r="F749" s="19" t="s">
        <v>52</v>
      </c>
      <c r="G749" s="19" t="s">
        <v>512</v>
      </c>
      <c r="H749" s="19">
        <v>2.5</v>
      </c>
      <c r="I749" s="38">
        <v>312.5</v>
      </c>
      <c r="J749" s="39"/>
      <c r="K749" s="40"/>
      <c r="L749" s="19"/>
      <c r="M749" s="40"/>
      <c r="N749" s="41"/>
      <c r="O749" s="42">
        <f t="shared" si="448"/>
        <v>312.5</v>
      </c>
      <c r="P749" s="44"/>
      <c r="Q749" s="44"/>
      <c r="R749" s="68">
        <f t="shared" si="442"/>
        <v>117.841633466135</v>
      </c>
      <c r="S749" s="68"/>
      <c r="T749" s="69">
        <f t="shared" si="443"/>
        <v>0.170745589072282</v>
      </c>
      <c r="U749" s="68"/>
      <c r="V749" s="68"/>
      <c r="W749" s="68">
        <f t="shared" si="439"/>
        <v>118.012379055208</v>
      </c>
      <c r="X749" s="70">
        <f t="shared" si="444"/>
        <v>1.91649117814456</v>
      </c>
      <c r="Y749" s="70"/>
      <c r="Z749" s="70"/>
      <c r="AA749" s="70">
        <f t="shared" si="440"/>
        <v>1.91649117814456</v>
      </c>
      <c r="AB749" s="80">
        <v>7.24</v>
      </c>
      <c r="AC749" s="68">
        <f t="shared" si="437"/>
        <v>13.8753961297666</v>
      </c>
      <c r="AD749" s="68">
        <f t="shared" si="435"/>
        <v>131.887775184974</v>
      </c>
      <c r="AE749" s="68">
        <f t="shared" si="438"/>
        <v>180.612224815026</v>
      </c>
    </row>
    <row r="750" customFormat="1" spans="1:31">
      <c r="A750" s="18"/>
      <c r="B750" s="19"/>
      <c r="C750" s="20">
        <v>240624000031</v>
      </c>
      <c r="D750" s="21">
        <v>45476</v>
      </c>
      <c r="E750" s="21" t="s">
        <v>85</v>
      </c>
      <c r="F750" s="19" t="s">
        <v>86</v>
      </c>
      <c r="G750" s="19" t="s">
        <v>513</v>
      </c>
      <c r="H750" s="19">
        <v>12.5</v>
      </c>
      <c r="I750" s="45"/>
      <c r="J750" s="46">
        <v>167554</v>
      </c>
      <c r="K750" s="40"/>
      <c r="L750" s="47">
        <f>SUM(J750/M750)</f>
        <v>1534.93953829241</v>
      </c>
      <c r="M750" s="48">
        <v>109.16</v>
      </c>
      <c r="N750" s="97">
        <v>7.24</v>
      </c>
      <c r="O750" s="42">
        <f>SUM(M750*N750)</f>
        <v>790.3184</v>
      </c>
      <c r="P750" s="44"/>
      <c r="Q750" s="44"/>
      <c r="R750" s="68">
        <f t="shared" si="442"/>
        <v>589.208167330677</v>
      </c>
      <c r="S750" s="68"/>
      <c r="T750" s="69">
        <f t="shared" si="443"/>
        <v>0.853727945361411</v>
      </c>
      <c r="U750" s="68"/>
      <c r="V750" s="68"/>
      <c r="W750" s="68">
        <f t="shared" si="439"/>
        <v>590.061895276039</v>
      </c>
      <c r="X750" s="70">
        <f t="shared" si="444"/>
        <v>9.58245589072282</v>
      </c>
      <c r="Y750" s="70"/>
      <c r="Z750" s="70"/>
      <c r="AA750" s="70">
        <f t="shared" si="440"/>
        <v>9.58245589072282</v>
      </c>
      <c r="AB750" s="80">
        <v>7.24</v>
      </c>
      <c r="AC750" s="68">
        <f t="shared" si="437"/>
        <v>69.3769806488333</v>
      </c>
      <c r="AD750" s="68">
        <f t="shared" si="435"/>
        <v>659.438875924872</v>
      </c>
      <c r="AE750" s="68">
        <f t="shared" si="438"/>
        <v>130.879524075128</v>
      </c>
    </row>
    <row r="751" customFormat="1" spans="1:31">
      <c r="A751" s="18"/>
      <c r="B751" s="19"/>
      <c r="C751" s="20">
        <v>240624000042</v>
      </c>
      <c r="D751" s="21">
        <v>45476</v>
      </c>
      <c r="E751" s="21" t="s">
        <v>41</v>
      </c>
      <c r="F751" s="19" t="s">
        <v>42</v>
      </c>
      <c r="G751" s="19" t="s">
        <v>247</v>
      </c>
      <c r="H751" s="19">
        <v>3.5</v>
      </c>
      <c r="I751" s="45"/>
      <c r="J751" s="46">
        <v>53010</v>
      </c>
      <c r="K751" s="40"/>
      <c r="L751" s="47">
        <f t="shared" ref="L751:L754" si="449">SUM(J751/M751)</f>
        <v>1579.5589988081</v>
      </c>
      <c r="M751" s="48">
        <v>33.56</v>
      </c>
      <c r="N751" s="41">
        <v>7.24</v>
      </c>
      <c r="O751" s="42">
        <f t="shared" ref="O751:O754" si="450">SUM(M751*N751)</f>
        <v>242.9744</v>
      </c>
      <c r="P751" s="44"/>
      <c r="Q751" s="44"/>
      <c r="R751" s="68">
        <f t="shared" si="442"/>
        <v>164.97828685259</v>
      </c>
      <c r="S751" s="68"/>
      <c r="T751" s="69">
        <f t="shared" si="443"/>
        <v>0.239043824701195</v>
      </c>
      <c r="U751" s="68">
        <v>30</v>
      </c>
      <c r="V751" s="68"/>
      <c r="W751" s="68">
        <f t="shared" si="439"/>
        <v>195.217330677291</v>
      </c>
      <c r="X751" s="70">
        <f t="shared" si="444"/>
        <v>2.68308764940239</v>
      </c>
      <c r="Y751" s="70"/>
      <c r="Z751" s="70"/>
      <c r="AA751" s="70">
        <f t="shared" si="440"/>
        <v>2.68308764940239</v>
      </c>
      <c r="AB751" s="80">
        <v>7.24</v>
      </c>
      <c r="AC751" s="68">
        <f t="shared" si="437"/>
        <v>19.4255545816733</v>
      </c>
      <c r="AD751" s="68">
        <f t="shared" si="435"/>
        <v>214.642885258964</v>
      </c>
      <c r="AE751" s="68">
        <f t="shared" si="438"/>
        <v>28.3315147410359</v>
      </c>
    </row>
    <row r="752" customFormat="1" spans="1:31">
      <c r="A752" s="18"/>
      <c r="B752" s="19"/>
      <c r="C752" s="20">
        <v>240624000045</v>
      </c>
      <c r="D752" s="21">
        <v>45476</v>
      </c>
      <c r="E752" s="21" t="s">
        <v>136</v>
      </c>
      <c r="F752" s="19" t="s">
        <v>137</v>
      </c>
      <c r="G752" s="19" t="s">
        <v>480</v>
      </c>
      <c r="H752" s="19">
        <v>2</v>
      </c>
      <c r="I752" s="45"/>
      <c r="J752" s="46">
        <v>31482</v>
      </c>
      <c r="K752" s="40"/>
      <c r="L752" s="47">
        <f t="shared" si="449"/>
        <v>1534.95855680156</v>
      </c>
      <c r="M752" s="48">
        <v>20.51</v>
      </c>
      <c r="N752" s="97">
        <v>7.24</v>
      </c>
      <c r="O752" s="42">
        <f t="shared" si="450"/>
        <v>148.4924</v>
      </c>
      <c r="P752" s="44"/>
      <c r="Q752" s="44"/>
      <c r="R752" s="68">
        <f t="shared" si="442"/>
        <v>94.2733067729084</v>
      </c>
      <c r="S752" s="68"/>
      <c r="T752" s="69">
        <f t="shared" si="443"/>
        <v>0.136596471257826</v>
      </c>
      <c r="U752" s="68"/>
      <c r="V752" s="68"/>
      <c r="W752" s="68">
        <f t="shared" si="439"/>
        <v>94.4099032441662</v>
      </c>
      <c r="X752" s="70">
        <f t="shared" si="444"/>
        <v>1.53319294251565</v>
      </c>
      <c r="Y752" s="70"/>
      <c r="Z752" s="70"/>
      <c r="AA752" s="70">
        <f t="shared" si="440"/>
        <v>1.53319294251565</v>
      </c>
      <c r="AB752" s="80">
        <v>7.24</v>
      </c>
      <c r="AC752" s="68">
        <f t="shared" si="437"/>
        <v>11.1003169038133</v>
      </c>
      <c r="AD752" s="68">
        <f t="shared" si="435"/>
        <v>105.51022014798</v>
      </c>
      <c r="AE752" s="68">
        <f t="shared" si="438"/>
        <v>42.9821798520205</v>
      </c>
    </row>
    <row r="753" customFormat="1" spans="1:31">
      <c r="A753" s="18"/>
      <c r="B753" s="19"/>
      <c r="C753" s="81">
        <v>240624000055</v>
      </c>
      <c r="D753" s="82">
        <v>45476</v>
      </c>
      <c r="E753" s="21" t="s">
        <v>66</v>
      </c>
      <c r="F753" s="83" t="s">
        <v>256</v>
      </c>
      <c r="G753" s="83" t="s">
        <v>297</v>
      </c>
      <c r="H753" s="83">
        <v>0.5</v>
      </c>
      <c r="I753" s="45"/>
      <c r="J753" s="47">
        <v>21204</v>
      </c>
      <c r="K753" s="120"/>
      <c r="L753" s="47">
        <f t="shared" si="449"/>
        <v>1505.96590909091</v>
      </c>
      <c r="M753" s="121">
        <v>14.08</v>
      </c>
      <c r="N753" s="41">
        <v>7.24</v>
      </c>
      <c r="O753" s="42">
        <f t="shared" si="450"/>
        <v>101.9392</v>
      </c>
      <c r="P753" s="44"/>
      <c r="Q753" s="44"/>
      <c r="R753" s="68">
        <f t="shared" si="442"/>
        <v>23.5683266932271</v>
      </c>
      <c r="S753" s="68"/>
      <c r="T753" s="69">
        <f t="shared" si="443"/>
        <v>0.0341491178144565</v>
      </c>
      <c r="U753" s="68"/>
      <c r="V753" s="68"/>
      <c r="W753" s="68">
        <f t="shared" si="439"/>
        <v>23.6024758110416</v>
      </c>
      <c r="X753" s="70">
        <f t="shared" si="444"/>
        <v>0.383298235628913</v>
      </c>
      <c r="Y753" s="70"/>
      <c r="Z753" s="70"/>
      <c r="AA753" s="70">
        <f t="shared" si="440"/>
        <v>0.383298235628913</v>
      </c>
      <c r="AB753" s="80">
        <v>7.24</v>
      </c>
      <c r="AC753" s="68">
        <f t="shared" si="437"/>
        <v>2.77507922595333</v>
      </c>
      <c r="AD753" s="68">
        <f t="shared" si="435"/>
        <v>26.3775550369949</v>
      </c>
      <c r="AE753" s="68">
        <f t="shared" si="438"/>
        <v>75.5616449630051</v>
      </c>
    </row>
    <row r="754" customFormat="1" spans="1:31">
      <c r="A754" s="18"/>
      <c r="B754" s="19"/>
      <c r="C754" s="20">
        <v>240624000057</v>
      </c>
      <c r="D754" s="21">
        <v>45476</v>
      </c>
      <c r="E754" s="21" t="s">
        <v>66</v>
      </c>
      <c r="F754" s="19" t="s">
        <v>514</v>
      </c>
      <c r="G754" s="19" t="s">
        <v>515</v>
      </c>
      <c r="H754" s="19">
        <v>2.5</v>
      </c>
      <c r="I754" s="42"/>
      <c r="J754" s="46">
        <v>64623</v>
      </c>
      <c r="K754" s="40"/>
      <c r="L754" s="47">
        <f t="shared" si="449"/>
        <v>1506.01258447914</v>
      </c>
      <c r="M754" s="48">
        <v>42.91</v>
      </c>
      <c r="N754" s="41">
        <v>7.24</v>
      </c>
      <c r="O754" s="42">
        <f t="shared" si="450"/>
        <v>310.6684</v>
      </c>
      <c r="P754" s="44"/>
      <c r="Q754" s="44"/>
      <c r="R754" s="68">
        <f t="shared" si="442"/>
        <v>117.841633466135</v>
      </c>
      <c r="S754" s="68"/>
      <c r="T754" s="69">
        <f t="shared" si="443"/>
        <v>0.170745589072282</v>
      </c>
      <c r="U754" s="68"/>
      <c r="V754" s="68"/>
      <c r="W754" s="68">
        <f t="shared" si="439"/>
        <v>118.012379055208</v>
      </c>
      <c r="X754" s="70">
        <f t="shared" si="444"/>
        <v>1.91649117814456</v>
      </c>
      <c r="Y754" s="70"/>
      <c r="Z754" s="70"/>
      <c r="AA754" s="70">
        <f t="shared" si="440"/>
        <v>1.91649117814456</v>
      </c>
      <c r="AB754" s="80">
        <v>7.24</v>
      </c>
      <c r="AC754" s="68">
        <f t="shared" si="437"/>
        <v>13.8753961297666</v>
      </c>
      <c r="AD754" s="68">
        <f t="shared" si="435"/>
        <v>131.887775184974</v>
      </c>
      <c r="AE754" s="68">
        <f t="shared" si="438"/>
        <v>178.780624815026</v>
      </c>
    </row>
    <row r="755" customFormat="1" spans="1:31">
      <c r="A755" s="18"/>
      <c r="B755" s="19"/>
      <c r="C755" s="20">
        <v>240625000010</v>
      </c>
      <c r="D755" s="21">
        <v>45476</v>
      </c>
      <c r="E755" s="21" t="s">
        <v>51</v>
      </c>
      <c r="F755" s="19" t="s">
        <v>52</v>
      </c>
      <c r="G755" s="19" t="s">
        <v>516</v>
      </c>
      <c r="H755" s="19">
        <v>7.5</v>
      </c>
      <c r="I755" s="38">
        <v>526.35</v>
      </c>
      <c r="J755" s="39"/>
      <c r="K755" s="40"/>
      <c r="L755" s="19"/>
      <c r="M755" s="40"/>
      <c r="N755" s="41"/>
      <c r="O755" s="42">
        <f t="shared" ref="O752:O760" si="451">SUM(I755)</f>
        <v>526.35</v>
      </c>
      <c r="P755" s="44"/>
      <c r="Q755" s="44"/>
      <c r="R755" s="68">
        <f t="shared" si="442"/>
        <v>353.524900398406</v>
      </c>
      <c r="S755" s="68"/>
      <c r="T755" s="69">
        <f t="shared" si="443"/>
        <v>0.512236767216847</v>
      </c>
      <c r="U755" s="68"/>
      <c r="V755" s="68"/>
      <c r="W755" s="68">
        <f t="shared" si="439"/>
        <v>354.037137165623</v>
      </c>
      <c r="X755" s="70">
        <f t="shared" si="444"/>
        <v>5.74947353443369</v>
      </c>
      <c r="Y755" s="70"/>
      <c r="Z755" s="70"/>
      <c r="AA755" s="70">
        <f t="shared" si="440"/>
        <v>5.74947353443369</v>
      </c>
      <c r="AB755" s="80">
        <v>7.24</v>
      </c>
      <c r="AC755" s="68">
        <f t="shared" si="437"/>
        <v>41.6261883892999</v>
      </c>
      <c r="AD755" s="68">
        <f t="shared" si="435"/>
        <v>395.663325554923</v>
      </c>
      <c r="AE755" s="68">
        <f t="shared" si="438"/>
        <v>130.686674445077</v>
      </c>
    </row>
    <row r="756" customFormat="1" spans="1:31">
      <c r="A756" s="18"/>
      <c r="B756" s="19"/>
      <c r="C756" s="20">
        <v>240625000015</v>
      </c>
      <c r="D756" s="21">
        <v>45476</v>
      </c>
      <c r="E756" s="21" t="s">
        <v>85</v>
      </c>
      <c r="F756" s="19" t="s">
        <v>86</v>
      </c>
      <c r="G756" s="19" t="s">
        <v>517</v>
      </c>
      <c r="H756" s="19">
        <v>0.56</v>
      </c>
      <c r="I756" s="86">
        <v>138.2</v>
      </c>
      <c r="J756" s="39"/>
      <c r="K756" s="40"/>
      <c r="L756" s="19"/>
      <c r="M756" s="40"/>
      <c r="N756" s="41"/>
      <c r="O756" s="42">
        <f t="shared" si="451"/>
        <v>138.2</v>
      </c>
      <c r="P756" s="44"/>
      <c r="Q756" s="44"/>
      <c r="R756" s="68">
        <f t="shared" si="442"/>
        <v>26.3965258964143</v>
      </c>
      <c r="S756" s="68"/>
      <c r="T756" s="69">
        <f t="shared" si="443"/>
        <v>0.0382470119521912</v>
      </c>
      <c r="U756" s="68"/>
      <c r="V756" s="68"/>
      <c r="W756" s="68">
        <f t="shared" si="439"/>
        <v>26.4347729083665</v>
      </c>
      <c r="X756" s="70">
        <f t="shared" si="444"/>
        <v>0.429294023904383</v>
      </c>
      <c r="Y756" s="70">
        <v>6.9</v>
      </c>
      <c r="Z756" s="70"/>
      <c r="AA756" s="70">
        <f t="shared" si="440"/>
        <v>7.32929402390438</v>
      </c>
      <c r="AB756" s="80">
        <v>7.24</v>
      </c>
      <c r="AC756" s="68">
        <f t="shared" si="437"/>
        <v>53.0640887330677</v>
      </c>
      <c r="AD756" s="68">
        <f t="shared" si="435"/>
        <v>79.4988616414343</v>
      </c>
      <c r="AE756" s="68">
        <f t="shared" si="438"/>
        <v>58.7011383585657</v>
      </c>
    </row>
    <row r="757" customFormat="1" spans="1:31">
      <c r="A757" s="18"/>
      <c r="B757" s="19"/>
      <c r="C757" s="20">
        <v>240625000022</v>
      </c>
      <c r="D757" s="21">
        <v>45476</v>
      </c>
      <c r="E757" s="21" t="s">
        <v>41</v>
      </c>
      <c r="F757" s="19" t="s">
        <v>42</v>
      </c>
      <c r="G757" s="19" t="s">
        <v>74</v>
      </c>
      <c r="H757" s="19">
        <v>3</v>
      </c>
      <c r="I757" s="38">
        <v>319.2</v>
      </c>
      <c r="J757" s="39"/>
      <c r="K757" s="40"/>
      <c r="L757" s="19"/>
      <c r="M757" s="40"/>
      <c r="N757" s="41"/>
      <c r="O757" s="42">
        <f t="shared" si="451"/>
        <v>319.2</v>
      </c>
      <c r="P757" s="44"/>
      <c r="Q757" s="44"/>
      <c r="R757" s="68">
        <f t="shared" si="442"/>
        <v>141.409960159363</v>
      </c>
      <c r="S757" s="68"/>
      <c r="T757" s="69">
        <f t="shared" si="443"/>
        <v>0.204894706886739</v>
      </c>
      <c r="U757" s="68"/>
      <c r="V757" s="68"/>
      <c r="W757" s="68">
        <f t="shared" si="439"/>
        <v>141.614854866249</v>
      </c>
      <c r="X757" s="70">
        <f t="shared" si="444"/>
        <v>2.29978941377348</v>
      </c>
      <c r="Y757" s="70"/>
      <c r="Z757" s="70"/>
      <c r="AA757" s="70">
        <f t="shared" si="440"/>
        <v>2.29978941377348</v>
      </c>
      <c r="AB757" s="80">
        <v>7.24</v>
      </c>
      <c r="AC757" s="68">
        <f t="shared" si="437"/>
        <v>16.65047535572</v>
      </c>
      <c r="AD757" s="68">
        <f t="shared" si="435"/>
        <v>158.265330221969</v>
      </c>
      <c r="AE757" s="68">
        <f t="shared" si="438"/>
        <v>160.934669778031</v>
      </c>
    </row>
    <row r="758" customFormat="1" spans="1:31">
      <c r="A758" s="18"/>
      <c r="B758" s="19"/>
      <c r="C758" s="20">
        <v>240625000023</v>
      </c>
      <c r="D758" s="21">
        <v>45476</v>
      </c>
      <c r="E758" s="21" t="s">
        <v>37</v>
      </c>
      <c r="F758" s="19" t="s">
        <v>37</v>
      </c>
      <c r="G758" s="19" t="s">
        <v>202</v>
      </c>
      <c r="H758" s="19">
        <v>695.5</v>
      </c>
      <c r="I758" s="38">
        <v>37376.5</v>
      </c>
      <c r="J758" s="39"/>
      <c r="K758" s="40"/>
      <c r="L758" s="19"/>
      <c r="M758" s="40"/>
      <c r="N758" s="41"/>
      <c r="O758" s="42">
        <f t="shared" si="451"/>
        <v>37376.5</v>
      </c>
      <c r="P758" s="44"/>
      <c r="Q758" s="44"/>
      <c r="R758" s="68">
        <f t="shared" si="442"/>
        <v>32783.5424302789</v>
      </c>
      <c r="S758" s="68"/>
      <c r="T758" s="69">
        <f t="shared" si="443"/>
        <v>47.5014228799089</v>
      </c>
      <c r="U758" s="68"/>
      <c r="V758" s="68"/>
      <c r="W758" s="68">
        <f t="shared" si="439"/>
        <v>32831.0438531588</v>
      </c>
      <c r="X758" s="70">
        <f t="shared" si="444"/>
        <v>533.167845759818</v>
      </c>
      <c r="Y758" s="70"/>
      <c r="Z758" s="70"/>
      <c r="AA758" s="70">
        <f t="shared" si="440"/>
        <v>533.167845759818</v>
      </c>
      <c r="AB758" s="80">
        <v>7.24</v>
      </c>
      <c r="AC758" s="68">
        <f t="shared" si="437"/>
        <v>3860.13520330108</v>
      </c>
      <c r="AD758" s="68">
        <f t="shared" si="435"/>
        <v>36691.1790564599</v>
      </c>
      <c r="AE758" s="68">
        <f t="shared" si="438"/>
        <v>685.320943540115</v>
      </c>
    </row>
    <row r="759" customFormat="1" spans="1:31">
      <c r="A759" s="18"/>
      <c r="B759" s="19"/>
      <c r="C759" s="20">
        <v>240625000029</v>
      </c>
      <c r="D759" s="21">
        <v>45476</v>
      </c>
      <c r="E759" s="21" t="s">
        <v>44</v>
      </c>
      <c r="F759" s="19" t="s">
        <v>45</v>
      </c>
      <c r="G759" s="19" t="s">
        <v>484</v>
      </c>
      <c r="H759" s="19">
        <v>47.5</v>
      </c>
      <c r="I759" s="38">
        <v>3135</v>
      </c>
      <c r="J759" s="39"/>
      <c r="K759" s="40"/>
      <c r="L759" s="19"/>
      <c r="M759" s="40"/>
      <c r="N759" s="41"/>
      <c r="O759" s="42">
        <f t="shared" si="451"/>
        <v>3135</v>
      </c>
      <c r="P759" s="44"/>
      <c r="Q759" s="44"/>
      <c r="R759" s="68">
        <f t="shared" si="442"/>
        <v>2238.99103585657</v>
      </c>
      <c r="S759" s="68"/>
      <c r="T759" s="69">
        <f t="shared" si="443"/>
        <v>3.24416619237336</v>
      </c>
      <c r="U759" s="68"/>
      <c r="V759" s="68"/>
      <c r="W759" s="68">
        <f t="shared" si="439"/>
        <v>2242.23520204895</v>
      </c>
      <c r="X759" s="70">
        <f t="shared" si="444"/>
        <v>36.4133323847467</v>
      </c>
      <c r="Y759" s="70"/>
      <c r="Z759" s="70"/>
      <c r="AA759" s="70">
        <f t="shared" si="440"/>
        <v>36.4133323847467</v>
      </c>
      <c r="AB759" s="80">
        <v>7.24</v>
      </c>
      <c r="AC759" s="68">
        <f t="shared" si="437"/>
        <v>263.632526465566</v>
      </c>
      <c r="AD759" s="68">
        <f t="shared" si="435"/>
        <v>2505.86772851451</v>
      </c>
      <c r="AE759" s="68">
        <f t="shared" si="438"/>
        <v>629.132271485486</v>
      </c>
    </row>
    <row r="760" customFormat="1" spans="1:31">
      <c r="A760" s="18"/>
      <c r="B760" s="19"/>
      <c r="C760" s="20">
        <v>240625000034</v>
      </c>
      <c r="D760" s="21">
        <v>45476</v>
      </c>
      <c r="E760" s="21" t="s">
        <v>48</v>
      </c>
      <c r="F760" s="19" t="s">
        <v>49</v>
      </c>
      <c r="G760" s="19" t="s">
        <v>518</v>
      </c>
      <c r="H760" s="19">
        <v>7.5</v>
      </c>
      <c r="I760" s="45"/>
      <c r="J760" s="46">
        <v>103350</v>
      </c>
      <c r="K760" s="40"/>
      <c r="L760" s="47">
        <f>SUM(J760/M760)</f>
        <v>1534.97697905837</v>
      </c>
      <c r="M760" s="48">
        <v>67.33</v>
      </c>
      <c r="N760" s="97">
        <v>7.24</v>
      </c>
      <c r="O760" s="42">
        <f>SUM(M760*N760)</f>
        <v>487.4692</v>
      </c>
      <c r="P760" s="44"/>
      <c r="Q760" s="44"/>
      <c r="R760" s="68">
        <f t="shared" si="442"/>
        <v>353.524900398406</v>
      </c>
      <c r="S760" s="68"/>
      <c r="T760" s="69">
        <f t="shared" si="443"/>
        <v>0.512236767216847</v>
      </c>
      <c r="U760" s="68"/>
      <c r="V760" s="68"/>
      <c r="W760" s="68">
        <f t="shared" si="439"/>
        <v>354.037137165623</v>
      </c>
      <c r="X760" s="70">
        <f t="shared" si="444"/>
        <v>5.74947353443369</v>
      </c>
      <c r="Y760" s="70"/>
      <c r="Z760" s="70"/>
      <c r="AA760" s="70">
        <f t="shared" si="440"/>
        <v>5.74947353443369</v>
      </c>
      <c r="AB760" s="80">
        <v>7.24</v>
      </c>
      <c r="AC760" s="68">
        <f t="shared" si="437"/>
        <v>41.6261883892999</v>
      </c>
      <c r="AD760" s="68">
        <f t="shared" si="435"/>
        <v>395.663325554923</v>
      </c>
      <c r="AE760" s="68">
        <f t="shared" si="438"/>
        <v>91.8058744450768</v>
      </c>
    </row>
    <row r="761" customFormat="1" spans="1:31">
      <c r="A761" s="18"/>
      <c r="B761" s="19"/>
      <c r="C761" s="20">
        <v>240625000035</v>
      </c>
      <c r="D761" s="21">
        <v>45476</v>
      </c>
      <c r="E761" s="21" t="s">
        <v>48</v>
      </c>
      <c r="F761" s="19" t="s">
        <v>49</v>
      </c>
      <c r="G761" s="19" t="s">
        <v>519</v>
      </c>
      <c r="H761" s="19">
        <v>20</v>
      </c>
      <c r="I761" s="45"/>
      <c r="J761" s="46">
        <v>279840</v>
      </c>
      <c r="K761" s="40"/>
      <c r="L761" s="47">
        <f>SUM(J761/M761)</f>
        <v>1534.88372093023</v>
      </c>
      <c r="M761" s="48">
        <v>182.32</v>
      </c>
      <c r="N761" s="41">
        <v>7.24</v>
      </c>
      <c r="O761" s="42">
        <f>SUM(M761*N761)</f>
        <v>1319.9968</v>
      </c>
      <c r="P761" s="44"/>
      <c r="Q761" s="44"/>
      <c r="R761" s="68">
        <f t="shared" si="442"/>
        <v>942.733067729084</v>
      </c>
      <c r="S761" s="68"/>
      <c r="T761" s="69">
        <f t="shared" si="443"/>
        <v>1.36596471257826</v>
      </c>
      <c r="U761" s="68"/>
      <c r="V761" s="68"/>
      <c r="W761" s="68">
        <f t="shared" si="439"/>
        <v>944.099032441662</v>
      </c>
      <c r="X761" s="70">
        <f t="shared" si="444"/>
        <v>15.3319294251565</v>
      </c>
      <c r="Y761" s="70"/>
      <c r="Z761" s="70"/>
      <c r="AA761" s="70">
        <f t="shared" si="440"/>
        <v>15.3319294251565</v>
      </c>
      <c r="AB761" s="80">
        <v>7.24</v>
      </c>
      <c r="AC761" s="68">
        <f t="shared" si="437"/>
        <v>111.003169038133</v>
      </c>
      <c r="AD761" s="68">
        <f t="shared" si="435"/>
        <v>1055.1022014798</v>
      </c>
      <c r="AE761" s="68">
        <f t="shared" si="438"/>
        <v>264.894598520205</v>
      </c>
    </row>
    <row r="762" customFormat="1" spans="1:31">
      <c r="A762" s="18"/>
      <c r="B762" s="19"/>
      <c r="C762" s="20">
        <v>240625000036</v>
      </c>
      <c r="D762" s="21">
        <v>45476</v>
      </c>
      <c r="E762" s="21" t="s">
        <v>48</v>
      </c>
      <c r="F762" s="19" t="s">
        <v>49</v>
      </c>
      <c r="G762" s="19" t="s">
        <v>520</v>
      </c>
      <c r="H762" s="19">
        <v>14</v>
      </c>
      <c r="I762" s="38">
        <v>862</v>
      </c>
      <c r="J762" s="39"/>
      <c r="K762" s="40"/>
      <c r="L762" s="19"/>
      <c r="M762" s="40"/>
      <c r="N762" s="41"/>
      <c r="O762" s="42">
        <f t="shared" ref="O762:O764" si="452">SUM(I762)</f>
        <v>862</v>
      </c>
      <c r="P762" s="44"/>
      <c r="Q762" s="44"/>
      <c r="R762" s="68">
        <f t="shared" si="442"/>
        <v>659.913147410359</v>
      </c>
      <c r="S762" s="68"/>
      <c r="T762" s="69">
        <f t="shared" si="443"/>
        <v>0.956175298804781</v>
      </c>
      <c r="U762" s="68"/>
      <c r="V762" s="68"/>
      <c r="W762" s="68">
        <f t="shared" si="439"/>
        <v>660.869322709163</v>
      </c>
      <c r="X762" s="70">
        <f t="shared" si="444"/>
        <v>10.7323505976096</v>
      </c>
      <c r="Y762" s="70"/>
      <c r="Z762" s="70"/>
      <c r="AA762" s="70">
        <f t="shared" si="440"/>
        <v>10.7323505976096</v>
      </c>
      <c r="AB762" s="80">
        <v>7.24</v>
      </c>
      <c r="AC762" s="68">
        <f t="shared" si="437"/>
        <v>77.7022183266932</v>
      </c>
      <c r="AD762" s="68">
        <f t="shared" si="435"/>
        <v>738.571541035857</v>
      </c>
      <c r="AE762" s="68">
        <f t="shared" si="438"/>
        <v>123.428458964143</v>
      </c>
    </row>
    <row r="763" customFormat="1" spans="1:31">
      <c r="A763" s="18"/>
      <c r="B763" s="19"/>
      <c r="C763" s="20">
        <v>240625000040</v>
      </c>
      <c r="D763" s="21">
        <v>45476</v>
      </c>
      <c r="E763" s="21" t="s">
        <v>37</v>
      </c>
      <c r="F763" s="19" t="s">
        <v>37</v>
      </c>
      <c r="G763" s="19" t="s">
        <v>207</v>
      </c>
      <c r="H763" s="19">
        <v>747.5</v>
      </c>
      <c r="I763" s="45">
        <v>38870</v>
      </c>
      <c r="J763" s="39"/>
      <c r="K763" s="40"/>
      <c r="L763" s="19"/>
      <c r="M763" s="40"/>
      <c r="N763" s="41"/>
      <c r="O763" s="42">
        <f t="shared" si="452"/>
        <v>38870</v>
      </c>
      <c r="P763" s="44"/>
      <c r="Q763" s="44"/>
      <c r="R763" s="68">
        <f t="shared" si="442"/>
        <v>35234.6484063745</v>
      </c>
      <c r="S763" s="68"/>
      <c r="T763" s="69">
        <f t="shared" si="443"/>
        <v>51.0529311326124</v>
      </c>
      <c r="U763" s="68"/>
      <c r="V763" s="68"/>
      <c r="W763" s="68">
        <f t="shared" si="439"/>
        <v>35285.7013375071</v>
      </c>
      <c r="X763" s="70">
        <f t="shared" si="444"/>
        <v>573.030862265225</v>
      </c>
      <c r="Y763" s="70"/>
      <c r="Z763" s="70"/>
      <c r="AA763" s="70">
        <f t="shared" si="440"/>
        <v>573.030862265225</v>
      </c>
      <c r="AB763" s="80">
        <v>7.24</v>
      </c>
      <c r="AC763" s="68">
        <f t="shared" si="437"/>
        <v>4148.74344280023</v>
      </c>
      <c r="AD763" s="68">
        <f t="shared" si="435"/>
        <v>39434.4447803073</v>
      </c>
      <c r="AE763" s="68">
        <f t="shared" si="438"/>
        <v>-564.444780307342</v>
      </c>
    </row>
    <row r="764" customFormat="1" spans="1:31">
      <c r="A764" s="18"/>
      <c r="B764" s="19"/>
      <c r="C764" s="20">
        <v>240626000003</v>
      </c>
      <c r="D764" s="21">
        <v>45476</v>
      </c>
      <c r="E764" s="21" t="s">
        <v>41</v>
      </c>
      <c r="F764" s="19" t="s">
        <v>42</v>
      </c>
      <c r="G764" s="19" t="s">
        <v>319</v>
      </c>
      <c r="H764" s="19">
        <v>7.5</v>
      </c>
      <c r="I764" s="38">
        <v>495</v>
      </c>
      <c r="J764" s="39"/>
      <c r="K764" s="40"/>
      <c r="L764" s="19"/>
      <c r="M764" s="40"/>
      <c r="N764" s="41"/>
      <c r="O764" s="42">
        <f t="shared" si="452"/>
        <v>495</v>
      </c>
      <c r="P764" s="44"/>
      <c r="Q764" s="44"/>
      <c r="R764" s="68">
        <f t="shared" si="442"/>
        <v>353.524900398406</v>
      </c>
      <c r="S764" s="68"/>
      <c r="T764" s="69">
        <f t="shared" si="443"/>
        <v>0.512236767216847</v>
      </c>
      <c r="U764" s="68"/>
      <c r="V764" s="68"/>
      <c r="W764" s="68">
        <f t="shared" si="439"/>
        <v>354.037137165623</v>
      </c>
      <c r="X764" s="70">
        <f t="shared" si="444"/>
        <v>5.74947353443369</v>
      </c>
      <c r="Y764" s="70"/>
      <c r="Z764" s="70"/>
      <c r="AA764" s="70">
        <f t="shared" si="440"/>
        <v>5.74947353443369</v>
      </c>
      <c r="AB764" s="80">
        <v>7.24</v>
      </c>
      <c r="AC764" s="68">
        <f t="shared" si="437"/>
        <v>41.6261883892999</v>
      </c>
      <c r="AD764" s="68">
        <f t="shared" si="435"/>
        <v>395.663325554923</v>
      </c>
      <c r="AE764" s="68">
        <f t="shared" si="438"/>
        <v>99.3366744450768</v>
      </c>
    </row>
    <row r="765" customFormat="1" spans="1:31">
      <c r="A765" s="18"/>
      <c r="B765" s="19"/>
      <c r="C765" s="20">
        <v>240626000005</v>
      </c>
      <c r="D765" s="21">
        <v>45476</v>
      </c>
      <c r="E765" s="21" t="s">
        <v>44</v>
      </c>
      <c r="F765" s="19" t="s">
        <v>45</v>
      </c>
      <c r="G765" s="19" t="s">
        <v>521</v>
      </c>
      <c r="H765" s="19">
        <v>3</v>
      </c>
      <c r="I765" s="85">
        <v>201</v>
      </c>
      <c r="J765" s="39"/>
      <c r="K765" s="40"/>
      <c r="L765" s="19"/>
      <c r="M765" s="40"/>
      <c r="N765" s="41"/>
      <c r="O765" s="42">
        <f>SUBTOTAL(9,I765)</f>
        <v>201</v>
      </c>
      <c r="P765" s="44"/>
      <c r="Q765" s="44"/>
      <c r="R765" s="68">
        <f t="shared" si="442"/>
        <v>141.409960159363</v>
      </c>
      <c r="S765" s="68"/>
      <c r="T765" s="69">
        <f t="shared" si="443"/>
        <v>0.204894706886739</v>
      </c>
      <c r="U765" s="68"/>
      <c r="V765" s="68"/>
      <c r="W765" s="68">
        <f t="shared" si="439"/>
        <v>141.614854866249</v>
      </c>
      <c r="X765" s="70">
        <f t="shared" si="444"/>
        <v>2.29978941377348</v>
      </c>
      <c r="Y765" s="70"/>
      <c r="Z765" s="70"/>
      <c r="AA765" s="70">
        <f t="shared" si="440"/>
        <v>2.29978941377348</v>
      </c>
      <c r="AB765" s="80">
        <v>7.24</v>
      </c>
      <c r="AC765" s="68">
        <f t="shared" si="437"/>
        <v>16.65047535572</v>
      </c>
      <c r="AD765" s="68">
        <f t="shared" si="435"/>
        <v>158.265330221969</v>
      </c>
      <c r="AE765" s="68">
        <f t="shared" si="438"/>
        <v>42.734669778031</v>
      </c>
    </row>
    <row r="766" customFormat="1" spans="1:31">
      <c r="A766" s="18"/>
      <c r="B766" s="19"/>
      <c r="C766" s="20">
        <v>240626000006</v>
      </c>
      <c r="D766" s="21">
        <v>45476</v>
      </c>
      <c r="E766" s="21" t="s">
        <v>48</v>
      </c>
      <c r="F766" s="19" t="s">
        <v>49</v>
      </c>
      <c r="G766" s="19" t="s">
        <v>522</v>
      </c>
      <c r="H766" s="19">
        <v>1.5</v>
      </c>
      <c r="I766" s="45"/>
      <c r="J766" s="46">
        <v>23500</v>
      </c>
      <c r="K766" s="40"/>
      <c r="L766" s="47">
        <f>SUM(J766/M766)</f>
        <v>1517.10781149128</v>
      </c>
      <c r="M766" s="48">
        <v>15.49</v>
      </c>
      <c r="N766" s="41">
        <v>7.24</v>
      </c>
      <c r="O766" s="42">
        <f>SUM(M766*N766)</f>
        <v>112.1476</v>
      </c>
      <c r="P766" s="44"/>
      <c r="Q766" s="44"/>
      <c r="R766" s="68">
        <f t="shared" si="442"/>
        <v>70.7049800796813</v>
      </c>
      <c r="S766" s="68"/>
      <c r="T766" s="69">
        <f t="shared" si="443"/>
        <v>0.102447353443369</v>
      </c>
      <c r="U766" s="68"/>
      <c r="V766" s="68"/>
      <c r="W766" s="68">
        <f t="shared" si="439"/>
        <v>70.8074274331246</v>
      </c>
      <c r="X766" s="70">
        <f t="shared" si="444"/>
        <v>1.14989470688674</v>
      </c>
      <c r="Y766" s="70"/>
      <c r="Z766" s="70"/>
      <c r="AA766" s="70">
        <f t="shared" si="440"/>
        <v>1.14989470688674</v>
      </c>
      <c r="AB766" s="80">
        <v>7.24</v>
      </c>
      <c r="AC766" s="68">
        <f t="shared" si="437"/>
        <v>8.32523767785999</v>
      </c>
      <c r="AD766" s="68">
        <f t="shared" si="435"/>
        <v>79.1326651109846</v>
      </c>
      <c r="AE766" s="68">
        <f t="shared" si="438"/>
        <v>33.0149348890154</v>
      </c>
    </row>
    <row r="767" customFormat="1" spans="1:31">
      <c r="A767" s="18"/>
      <c r="B767" s="19"/>
      <c r="C767" s="20">
        <v>240626000029</v>
      </c>
      <c r="D767" s="21">
        <v>45476</v>
      </c>
      <c r="E767" s="21" t="s">
        <v>37</v>
      </c>
      <c r="F767" s="19" t="s">
        <v>37</v>
      </c>
      <c r="G767" s="19" t="s">
        <v>385</v>
      </c>
      <c r="H767" s="19">
        <v>27.5</v>
      </c>
      <c r="I767" s="38">
        <v>1680</v>
      </c>
      <c r="J767" s="39"/>
      <c r="K767" s="40"/>
      <c r="L767" s="19"/>
      <c r="M767" s="40"/>
      <c r="N767" s="41"/>
      <c r="O767" s="42">
        <f t="shared" ref="O767:O775" si="453">SUM(I767)</f>
        <v>1680</v>
      </c>
      <c r="P767" s="44"/>
      <c r="Q767" s="44"/>
      <c r="R767" s="68">
        <f t="shared" si="442"/>
        <v>1296.25796812749</v>
      </c>
      <c r="S767" s="68"/>
      <c r="T767" s="69">
        <f t="shared" si="443"/>
        <v>1.87820147979511</v>
      </c>
      <c r="U767" s="68">
        <v>40</v>
      </c>
      <c r="V767" s="68"/>
      <c r="W767" s="68">
        <f t="shared" si="439"/>
        <v>1338.13616960729</v>
      </c>
      <c r="X767" s="70">
        <f t="shared" si="444"/>
        <v>21.0814029595902</v>
      </c>
      <c r="Y767" s="70"/>
      <c r="Z767" s="70"/>
      <c r="AA767" s="70">
        <f t="shared" si="440"/>
        <v>21.0814029595902</v>
      </c>
      <c r="AB767" s="80">
        <v>7.24</v>
      </c>
      <c r="AC767" s="68">
        <f t="shared" si="437"/>
        <v>152.629357427433</v>
      </c>
      <c r="AD767" s="68">
        <f t="shared" si="435"/>
        <v>1490.76552703472</v>
      </c>
      <c r="AE767" s="68">
        <f t="shared" si="438"/>
        <v>189.234472965282</v>
      </c>
    </row>
    <row r="768" customFormat="1" spans="1:31">
      <c r="A768" s="18"/>
      <c r="B768" s="19"/>
      <c r="C768" s="20">
        <v>240626000032</v>
      </c>
      <c r="D768" s="21">
        <v>45476</v>
      </c>
      <c r="E768" s="21" t="s">
        <v>44</v>
      </c>
      <c r="F768" s="19" t="s">
        <v>45</v>
      </c>
      <c r="G768" s="19" t="s">
        <v>523</v>
      </c>
      <c r="H768" s="19">
        <v>8.5</v>
      </c>
      <c r="I768" s="38">
        <v>595</v>
      </c>
      <c r="J768" s="39"/>
      <c r="K768" s="40"/>
      <c r="L768" s="19"/>
      <c r="M768" s="40"/>
      <c r="N768" s="41"/>
      <c r="O768" s="42">
        <f t="shared" si="453"/>
        <v>595</v>
      </c>
      <c r="P768" s="44"/>
      <c r="Q768" s="44"/>
      <c r="R768" s="68">
        <f t="shared" si="442"/>
        <v>400.661553784861</v>
      </c>
      <c r="S768" s="68"/>
      <c r="T768" s="69">
        <f t="shared" si="443"/>
        <v>0.58053500284576</v>
      </c>
      <c r="U768" s="68"/>
      <c r="V768" s="68"/>
      <c r="W768" s="68">
        <f t="shared" ref="W768:W786" si="454">SUM(R768:V768)</f>
        <v>401.242088787706</v>
      </c>
      <c r="X768" s="70">
        <f t="shared" si="444"/>
        <v>6.51607000569152</v>
      </c>
      <c r="Y768" s="70"/>
      <c r="Z768" s="70"/>
      <c r="AA768" s="70">
        <f t="shared" si="440"/>
        <v>6.51607000569152</v>
      </c>
      <c r="AB768" s="80">
        <v>7.24</v>
      </c>
      <c r="AC768" s="68">
        <f t="shared" si="437"/>
        <v>47.1763468412066</v>
      </c>
      <c r="AD768" s="68">
        <f t="shared" si="435"/>
        <v>448.418435628913</v>
      </c>
      <c r="AE768" s="68">
        <f t="shared" si="438"/>
        <v>146.581564371087</v>
      </c>
    </row>
    <row r="769" customFormat="1" spans="1:31">
      <c r="A769" s="18"/>
      <c r="B769" s="19"/>
      <c r="C769" s="20">
        <v>240626000040</v>
      </c>
      <c r="D769" s="21">
        <v>45476</v>
      </c>
      <c r="E769" s="21" t="s">
        <v>48</v>
      </c>
      <c r="F769" s="19" t="s">
        <v>49</v>
      </c>
      <c r="G769" s="19" t="s">
        <v>524</v>
      </c>
      <c r="H769" s="19">
        <v>26.5</v>
      </c>
      <c r="I769" s="38">
        <v>1722.5</v>
      </c>
      <c r="J769" s="39"/>
      <c r="K769" s="40"/>
      <c r="L769" s="19"/>
      <c r="M769" s="40"/>
      <c r="N769" s="96"/>
      <c r="O769" s="42">
        <f t="shared" si="453"/>
        <v>1722.5</v>
      </c>
      <c r="P769" s="49"/>
      <c r="Q769" s="49"/>
      <c r="R769" s="68">
        <f t="shared" si="442"/>
        <v>1249.12131474104</v>
      </c>
      <c r="S769" s="68"/>
      <c r="T769" s="69">
        <f t="shared" si="443"/>
        <v>1.80990324416619</v>
      </c>
      <c r="U769" s="68"/>
      <c r="V769" s="68"/>
      <c r="W769" s="68">
        <f t="shared" si="454"/>
        <v>1250.9312179852</v>
      </c>
      <c r="X769" s="70">
        <f t="shared" si="444"/>
        <v>20.3148064883324</v>
      </c>
      <c r="Y769" s="70"/>
      <c r="Z769" s="70"/>
      <c r="AA769" s="70">
        <f t="shared" ref="AA769:AA786" si="455">SUM(X769:Z769)</f>
        <v>20.3148064883324</v>
      </c>
      <c r="AB769" s="80">
        <v>7.24</v>
      </c>
      <c r="AC769" s="68">
        <f t="shared" ref="AC769:AC786" si="456">SUM(AA769*AB769)</f>
        <v>147.079198975526</v>
      </c>
      <c r="AD769" s="68">
        <f t="shared" si="435"/>
        <v>1398.01041696073</v>
      </c>
      <c r="AE769" s="68">
        <f t="shared" ref="AE769:AE786" si="457">SUM(O769-AD769)</f>
        <v>324.489583039272</v>
      </c>
    </row>
    <row r="770" customFormat="1" spans="1:31">
      <c r="A770" s="18" t="s">
        <v>525</v>
      </c>
      <c r="B770" s="19" t="s">
        <v>526</v>
      </c>
      <c r="C770" s="20">
        <v>240623000009</v>
      </c>
      <c r="D770" s="21">
        <v>45472</v>
      </c>
      <c r="E770" s="21" t="s">
        <v>37</v>
      </c>
      <c r="F770" s="19" t="s">
        <v>37</v>
      </c>
      <c r="G770" s="19" t="s">
        <v>527</v>
      </c>
      <c r="H770" s="19">
        <v>8</v>
      </c>
      <c r="I770" s="38">
        <v>920</v>
      </c>
      <c r="J770" s="39"/>
      <c r="K770" s="40"/>
      <c r="L770" s="19"/>
      <c r="M770" s="40"/>
      <c r="N770" s="41"/>
      <c r="O770" s="42">
        <f t="shared" si="453"/>
        <v>920</v>
      </c>
      <c r="P770" s="43">
        <f>SUM(O770:O786)</f>
        <v>24818.1076</v>
      </c>
      <c r="Q770" s="43" t="s">
        <v>40</v>
      </c>
      <c r="R770" s="68">
        <f>SUM(14000/196)*H770</f>
        <v>571.428571428571</v>
      </c>
      <c r="S770" s="68"/>
      <c r="T770" s="69">
        <f>SUM(54.77/196)*H770</f>
        <v>2.23551020408163</v>
      </c>
      <c r="U770" s="68"/>
      <c r="V770" s="68"/>
      <c r="W770" s="68">
        <f t="shared" si="454"/>
        <v>573.664081632653</v>
      </c>
      <c r="X770" s="70">
        <f>SUM(386.7/196)*H770</f>
        <v>15.7836734693878</v>
      </c>
      <c r="Y770" s="70"/>
      <c r="Z770" s="70"/>
      <c r="AA770" s="70">
        <f t="shared" si="455"/>
        <v>15.7836734693878</v>
      </c>
      <c r="AB770" s="80">
        <v>7.24</v>
      </c>
      <c r="AC770" s="68">
        <f t="shared" si="456"/>
        <v>114.273795918367</v>
      </c>
      <c r="AD770" s="68">
        <f t="shared" ref="AD770:AD786" si="458">SUM(W770+AC770)</f>
        <v>687.93787755102</v>
      </c>
      <c r="AE770" s="68">
        <f t="shared" si="457"/>
        <v>232.06212244898</v>
      </c>
    </row>
    <row r="771" customFormat="1" spans="1:31">
      <c r="A771" s="18"/>
      <c r="B771" s="19"/>
      <c r="C771" s="20">
        <v>240624000010</v>
      </c>
      <c r="D771" s="21">
        <v>45472</v>
      </c>
      <c r="E771" s="21" t="s">
        <v>51</v>
      </c>
      <c r="F771" s="19" t="s">
        <v>52</v>
      </c>
      <c r="G771" s="19" t="s">
        <v>54</v>
      </c>
      <c r="H771" s="19">
        <v>7.5</v>
      </c>
      <c r="I771" s="38">
        <v>862.5</v>
      </c>
      <c r="J771" s="39"/>
      <c r="K771" s="40"/>
      <c r="L771" s="19"/>
      <c r="M771" s="40"/>
      <c r="N771" s="41"/>
      <c r="O771" s="42">
        <f t="shared" si="453"/>
        <v>862.5</v>
      </c>
      <c r="P771" s="44"/>
      <c r="Q771" s="44"/>
      <c r="R771" s="68">
        <f t="shared" ref="R771:R786" si="459">SUM(14000/196)*H771</f>
        <v>535.714285714286</v>
      </c>
      <c r="S771" s="68"/>
      <c r="T771" s="69">
        <f t="shared" ref="T771:T786" si="460">SUM(54.77/196)*H771</f>
        <v>2.09579081632653</v>
      </c>
      <c r="U771" s="68"/>
      <c r="V771" s="68"/>
      <c r="W771" s="68">
        <f t="shared" si="454"/>
        <v>537.810076530612</v>
      </c>
      <c r="X771" s="70">
        <f t="shared" ref="X771:X786" si="461">SUM(386.7/196)*H771</f>
        <v>14.797193877551</v>
      </c>
      <c r="Y771" s="70"/>
      <c r="Z771" s="70"/>
      <c r="AA771" s="70">
        <f t="shared" si="455"/>
        <v>14.797193877551</v>
      </c>
      <c r="AB771" s="80">
        <v>7.24</v>
      </c>
      <c r="AC771" s="68">
        <f t="shared" si="456"/>
        <v>107.131683673469</v>
      </c>
      <c r="AD771" s="68">
        <f t="shared" si="458"/>
        <v>644.941760204081</v>
      </c>
      <c r="AE771" s="68">
        <f t="shared" si="457"/>
        <v>217.558239795919</v>
      </c>
    </row>
    <row r="772" customFormat="1" spans="1:31">
      <c r="A772" s="18"/>
      <c r="B772" s="19"/>
      <c r="C772" s="20">
        <v>240624000035</v>
      </c>
      <c r="D772" s="21">
        <v>45472</v>
      </c>
      <c r="E772" s="21" t="s">
        <v>85</v>
      </c>
      <c r="F772" s="19" t="s">
        <v>86</v>
      </c>
      <c r="G772" s="19" t="s">
        <v>322</v>
      </c>
      <c r="H772" s="19">
        <v>4</v>
      </c>
      <c r="I772" s="38">
        <v>460</v>
      </c>
      <c r="J772" s="39"/>
      <c r="K772" s="40"/>
      <c r="L772" s="19"/>
      <c r="M772" s="40"/>
      <c r="N772" s="41"/>
      <c r="O772" s="42">
        <f t="shared" si="453"/>
        <v>460</v>
      </c>
      <c r="P772" s="44"/>
      <c r="Q772" s="44"/>
      <c r="R772" s="68">
        <f t="shared" si="459"/>
        <v>285.714285714286</v>
      </c>
      <c r="S772" s="68"/>
      <c r="T772" s="69">
        <f t="shared" si="460"/>
        <v>1.11775510204082</v>
      </c>
      <c r="U772" s="68"/>
      <c r="V772" s="68"/>
      <c r="W772" s="68">
        <f t="shared" si="454"/>
        <v>286.832040816327</v>
      </c>
      <c r="X772" s="70">
        <f t="shared" si="461"/>
        <v>7.89183673469388</v>
      </c>
      <c r="Y772" s="70"/>
      <c r="Z772" s="70"/>
      <c r="AA772" s="70">
        <f t="shared" si="455"/>
        <v>7.89183673469388</v>
      </c>
      <c r="AB772" s="80">
        <v>7.24</v>
      </c>
      <c r="AC772" s="68">
        <f t="shared" si="456"/>
        <v>57.1368979591837</v>
      </c>
      <c r="AD772" s="68">
        <f t="shared" si="458"/>
        <v>343.968938775511</v>
      </c>
      <c r="AE772" s="68">
        <f t="shared" si="457"/>
        <v>116.031061224489</v>
      </c>
    </row>
    <row r="773" customFormat="1" spans="1:31">
      <c r="A773" s="18"/>
      <c r="B773" s="19"/>
      <c r="C773" s="20">
        <v>240625000003</v>
      </c>
      <c r="D773" s="21">
        <v>45472</v>
      </c>
      <c r="E773" s="21" t="s">
        <v>48</v>
      </c>
      <c r="F773" s="19" t="s">
        <v>49</v>
      </c>
      <c r="G773" s="19" t="s">
        <v>91</v>
      </c>
      <c r="H773" s="19">
        <v>3</v>
      </c>
      <c r="I773" s="38">
        <v>800</v>
      </c>
      <c r="J773" s="39"/>
      <c r="K773" s="40"/>
      <c r="L773" s="19"/>
      <c r="M773" s="40"/>
      <c r="N773" s="41"/>
      <c r="O773" s="42">
        <f t="shared" si="453"/>
        <v>800</v>
      </c>
      <c r="P773" s="44"/>
      <c r="Q773" s="44"/>
      <c r="R773" s="68">
        <f t="shared" si="459"/>
        <v>214.285714285714</v>
      </c>
      <c r="S773" s="68"/>
      <c r="T773" s="69">
        <f t="shared" si="460"/>
        <v>0.838316326530612</v>
      </c>
      <c r="U773" s="68"/>
      <c r="V773" s="68"/>
      <c r="W773" s="68">
        <f t="shared" si="454"/>
        <v>215.124030612245</v>
      </c>
      <c r="X773" s="70">
        <f t="shared" si="461"/>
        <v>5.91887755102041</v>
      </c>
      <c r="Y773" s="70"/>
      <c r="Z773" s="70"/>
      <c r="AA773" s="70">
        <f t="shared" si="455"/>
        <v>5.91887755102041</v>
      </c>
      <c r="AB773" s="80">
        <v>7.24</v>
      </c>
      <c r="AC773" s="68">
        <f t="shared" si="456"/>
        <v>42.8526734693878</v>
      </c>
      <c r="AD773" s="68">
        <f t="shared" si="458"/>
        <v>257.976704081632</v>
      </c>
      <c r="AE773" s="68">
        <f t="shared" si="457"/>
        <v>542.023295918368</v>
      </c>
    </row>
    <row r="774" customFormat="1" spans="1:31">
      <c r="A774" s="18"/>
      <c r="B774" s="19"/>
      <c r="C774" s="20">
        <v>240625000011</v>
      </c>
      <c r="D774" s="21">
        <v>45472</v>
      </c>
      <c r="E774" s="21" t="s">
        <v>44</v>
      </c>
      <c r="F774" s="19" t="s">
        <v>45</v>
      </c>
      <c r="G774" s="19" t="s">
        <v>528</v>
      </c>
      <c r="H774" s="19">
        <v>9</v>
      </c>
      <c r="I774" s="38">
        <v>1035</v>
      </c>
      <c r="J774" s="39"/>
      <c r="K774" s="40"/>
      <c r="L774" s="19"/>
      <c r="M774" s="40"/>
      <c r="N774" s="41"/>
      <c r="O774" s="42">
        <f t="shared" si="453"/>
        <v>1035</v>
      </c>
      <c r="P774" s="44"/>
      <c r="Q774" s="44"/>
      <c r="R774" s="68">
        <f t="shared" si="459"/>
        <v>642.857142857143</v>
      </c>
      <c r="S774" s="68"/>
      <c r="T774" s="69">
        <f t="shared" si="460"/>
        <v>2.51494897959184</v>
      </c>
      <c r="U774" s="68"/>
      <c r="V774" s="68"/>
      <c r="W774" s="68">
        <f t="shared" si="454"/>
        <v>645.372091836735</v>
      </c>
      <c r="X774" s="70">
        <f t="shared" si="461"/>
        <v>17.7566326530612</v>
      </c>
      <c r="Y774" s="70"/>
      <c r="Z774" s="70"/>
      <c r="AA774" s="70">
        <f t="shared" si="455"/>
        <v>17.7566326530612</v>
      </c>
      <c r="AB774" s="80">
        <v>7.24</v>
      </c>
      <c r="AC774" s="68">
        <f t="shared" si="456"/>
        <v>128.558020408163</v>
      </c>
      <c r="AD774" s="68">
        <f t="shared" si="458"/>
        <v>773.930112244898</v>
      </c>
      <c r="AE774" s="68">
        <f t="shared" si="457"/>
        <v>261.069887755102</v>
      </c>
    </row>
    <row r="775" customFormat="1" spans="1:31">
      <c r="A775" s="18"/>
      <c r="B775" s="19"/>
      <c r="C775" s="20">
        <v>240625000020</v>
      </c>
      <c r="D775" s="21">
        <v>45472</v>
      </c>
      <c r="E775" s="21" t="s">
        <v>48</v>
      </c>
      <c r="F775" s="19" t="s">
        <v>49</v>
      </c>
      <c r="G775" s="19" t="s">
        <v>65</v>
      </c>
      <c r="H775" s="19">
        <v>31</v>
      </c>
      <c r="I775" s="38">
        <v>4867</v>
      </c>
      <c r="J775" s="39"/>
      <c r="K775" s="40"/>
      <c r="L775" s="19"/>
      <c r="M775" s="40"/>
      <c r="N775" s="41"/>
      <c r="O775" s="42">
        <f t="shared" si="453"/>
        <v>4867</v>
      </c>
      <c r="P775" s="44"/>
      <c r="Q775" s="44"/>
      <c r="R775" s="68">
        <f t="shared" si="459"/>
        <v>2214.28571428571</v>
      </c>
      <c r="S775" s="68"/>
      <c r="T775" s="69">
        <f t="shared" si="460"/>
        <v>8.66260204081633</v>
      </c>
      <c r="U775" s="68"/>
      <c r="V775" s="68">
        <v>840</v>
      </c>
      <c r="W775" s="68">
        <f t="shared" si="454"/>
        <v>3062.94831632653</v>
      </c>
      <c r="X775" s="70">
        <f t="shared" si="461"/>
        <v>61.1617346938775</v>
      </c>
      <c r="Y775" s="70"/>
      <c r="Z775" s="70"/>
      <c r="AA775" s="70">
        <f t="shared" si="455"/>
        <v>61.1617346938775</v>
      </c>
      <c r="AB775" s="80">
        <v>7.24</v>
      </c>
      <c r="AC775" s="68">
        <f t="shared" si="456"/>
        <v>442.810959183673</v>
      </c>
      <c r="AD775" s="68">
        <f t="shared" si="458"/>
        <v>3505.7592755102</v>
      </c>
      <c r="AE775" s="68">
        <f t="shared" si="457"/>
        <v>1361.2407244898</v>
      </c>
    </row>
    <row r="776" customFormat="1" spans="1:31">
      <c r="A776" s="18"/>
      <c r="B776" s="19"/>
      <c r="C776" s="20">
        <v>240625000021</v>
      </c>
      <c r="D776" s="21">
        <v>45472</v>
      </c>
      <c r="E776" s="21" t="s">
        <v>48</v>
      </c>
      <c r="F776" s="19" t="s">
        <v>49</v>
      </c>
      <c r="G776" s="19" t="s">
        <v>60</v>
      </c>
      <c r="H776" s="19">
        <v>3.5</v>
      </c>
      <c r="I776" s="45"/>
      <c r="J776" s="46">
        <v>84525</v>
      </c>
      <c r="K776" s="40"/>
      <c r="L776" s="47">
        <f t="shared" ref="L776:L780" si="462">SUM(J776/M776)</f>
        <v>1520.507285483</v>
      </c>
      <c r="M776" s="48">
        <v>55.59</v>
      </c>
      <c r="N776" s="41">
        <v>7.24</v>
      </c>
      <c r="O776" s="42">
        <f t="shared" ref="O776:O780" si="463">SUM(M776*N776)</f>
        <v>402.4716</v>
      </c>
      <c r="P776" s="44"/>
      <c r="Q776" s="44"/>
      <c r="R776" s="68">
        <f t="shared" si="459"/>
        <v>250</v>
      </c>
      <c r="S776" s="68"/>
      <c r="T776" s="69">
        <f t="shared" si="460"/>
        <v>0.978035714285714</v>
      </c>
      <c r="U776" s="68"/>
      <c r="V776" s="68"/>
      <c r="W776" s="68">
        <f t="shared" si="454"/>
        <v>250.978035714286</v>
      </c>
      <c r="X776" s="70">
        <f t="shared" si="461"/>
        <v>6.90535714285714</v>
      </c>
      <c r="Y776" s="70"/>
      <c r="Z776" s="70"/>
      <c r="AA776" s="70">
        <f t="shared" si="455"/>
        <v>6.90535714285714</v>
      </c>
      <c r="AB776" s="80">
        <v>7.24</v>
      </c>
      <c r="AC776" s="68">
        <f t="shared" si="456"/>
        <v>49.9947857142857</v>
      </c>
      <c r="AD776" s="68">
        <f t="shared" si="458"/>
        <v>300.972821428571</v>
      </c>
      <c r="AE776" s="68">
        <f t="shared" si="457"/>
        <v>101.498778571429</v>
      </c>
    </row>
    <row r="777" customFormat="1" spans="1:31">
      <c r="A777" s="18"/>
      <c r="B777" s="19"/>
      <c r="C777" s="20">
        <v>240625000027</v>
      </c>
      <c r="D777" s="21">
        <v>45472</v>
      </c>
      <c r="E777" s="21" t="s">
        <v>51</v>
      </c>
      <c r="F777" s="19" t="s">
        <v>52</v>
      </c>
      <c r="G777" s="19" t="s">
        <v>54</v>
      </c>
      <c r="H777" s="19">
        <v>2</v>
      </c>
      <c r="I777" s="38">
        <v>230</v>
      </c>
      <c r="J777" s="39"/>
      <c r="K777" s="40"/>
      <c r="L777" s="19"/>
      <c r="M777" s="40"/>
      <c r="N777" s="41"/>
      <c r="O777" s="42">
        <f t="shared" ref="O777:O786" si="464">SUM(I777)</f>
        <v>230</v>
      </c>
      <c r="P777" s="44"/>
      <c r="Q777" s="44"/>
      <c r="R777" s="68">
        <f t="shared" si="459"/>
        <v>142.857142857143</v>
      </c>
      <c r="S777" s="68"/>
      <c r="T777" s="69">
        <f t="shared" si="460"/>
        <v>0.558877551020408</v>
      </c>
      <c r="U777" s="68"/>
      <c r="V777" s="68"/>
      <c r="W777" s="68">
        <f t="shared" si="454"/>
        <v>143.416020408163</v>
      </c>
      <c r="X777" s="70">
        <f t="shared" si="461"/>
        <v>3.94591836734694</v>
      </c>
      <c r="Y777" s="70"/>
      <c r="Z777" s="70"/>
      <c r="AA777" s="70">
        <f t="shared" si="455"/>
        <v>3.94591836734694</v>
      </c>
      <c r="AB777" s="80">
        <v>7.24</v>
      </c>
      <c r="AC777" s="68">
        <f t="shared" si="456"/>
        <v>28.5684489795918</v>
      </c>
      <c r="AD777" s="68">
        <f t="shared" si="458"/>
        <v>171.984469387755</v>
      </c>
      <c r="AE777" s="68">
        <f t="shared" si="457"/>
        <v>58.0155306122448</v>
      </c>
    </row>
    <row r="778" customFormat="1" spans="1:31">
      <c r="A778" s="18"/>
      <c r="B778" s="19"/>
      <c r="C778" s="20">
        <v>240626000015</v>
      </c>
      <c r="D778" s="21">
        <v>45472</v>
      </c>
      <c r="E778" s="21" t="s">
        <v>66</v>
      </c>
      <c r="F778" s="19" t="s">
        <v>256</v>
      </c>
      <c r="G778" s="19" t="s">
        <v>118</v>
      </c>
      <c r="H778" s="19">
        <v>0.14</v>
      </c>
      <c r="I778" s="42"/>
      <c r="J778" s="46">
        <v>25106</v>
      </c>
      <c r="K778" s="40"/>
      <c r="L778" s="47">
        <f t="shared" si="462"/>
        <v>1506.05878824235</v>
      </c>
      <c r="M778" s="48">
        <v>16.67</v>
      </c>
      <c r="N778" s="41">
        <v>7.24</v>
      </c>
      <c r="O778" s="42">
        <f t="shared" si="463"/>
        <v>120.6908</v>
      </c>
      <c r="P778" s="44"/>
      <c r="Q778" s="44"/>
      <c r="R778" s="68">
        <f t="shared" si="459"/>
        <v>10</v>
      </c>
      <c r="S778" s="68"/>
      <c r="T778" s="69">
        <f t="shared" si="460"/>
        <v>0.0391214285714286</v>
      </c>
      <c r="U778" s="68"/>
      <c r="V778" s="68"/>
      <c r="W778" s="68">
        <f t="shared" si="454"/>
        <v>10.0391214285714</v>
      </c>
      <c r="X778" s="70">
        <f t="shared" si="461"/>
        <v>0.276214285714286</v>
      </c>
      <c r="Y778" s="70"/>
      <c r="Z778" s="70"/>
      <c r="AA778" s="70">
        <f t="shared" si="455"/>
        <v>0.276214285714286</v>
      </c>
      <c r="AB778" s="80">
        <v>7.24</v>
      </c>
      <c r="AC778" s="68">
        <f t="shared" si="456"/>
        <v>1.99979142857143</v>
      </c>
      <c r="AD778" s="68">
        <f t="shared" si="458"/>
        <v>12.0389128571429</v>
      </c>
      <c r="AE778" s="68">
        <f t="shared" si="457"/>
        <v>108.651887142857</v>
      </c>
    </row>
    <row r="779" customFormat="1" spans="1:31">
      <c r="A779" s="18"/>
      <c r="B779" s="19"/>
      <c r="C779" s="20">
        <v>240626000017</v>
      </c>
      <c r="D779" s="21">
        <v>45472</v>
      </c>
      <c r="E779" s="21" t="s">
        <v>51</v>
      </c>
      <c r="F779" s="19" t="s">
        <v>52</v>
      </c>
      <c r="G779" s="19" t="s">
        <v>375</v>
      </c>
      <c r="H779" s="19">
        <v>1.5</v>
      </c>
      <c r="I779" s="38">
        <v>180</v>
      </c>
      <c r="J779" s="39"/>
      <c r="K779" s="40"/>
      <c r="L779" s="19"/>
      <c r="M779" s="40"/>
      <c r="N779" s="41"/>
      <c r="O779" s="42">
        <f t="shared" si="464"/>
        <v>180</v>
      </c>
      <c r="P779" s="44"/>
      <c r="Q779" s="44"/>
      <c r="R779" s="68">
        <f t="shared" si="459"/>
        <v>107.142857142857</v>
      </c>
      <c r="S779" s="68"/>
      <c r="T779" s="69">
        <f t="shared" si="460"/>
        <v>0.419158163265306</v>
      </c>
      <c r="U779" s="68"/>
      <c r="V779" s="68"/>
      <c r="W779" s="68">
        <f t="shared" si="454"/>
        <v>107.562015306122</v>
      </c>
      <c r="X779" s="70">
        <f t="shared" si="461"/>
        <v>2.9594387755102</v>
      </c>
      <c r="Y779" s="70"/>
      <c r="Z779" s="70"/>
      <c r="AA779" s="70">
        <f t="shared" si="455"/>
        <v>2.9594387755102</v>
      </c>
      <c r="AB779" s="80">
        <v>7.24</v>
      </c>
      <c r="AC779" s="68">
        <f t="shared" si="456"/>
        <v>21.4263367346939</v>
      </c>
      <c r="AD779" s="68">
        <f t="shared" si="458"/>
        <v>128.988352040816</v>
      </c>
      <c r="AE779" s="68">
        <f t="shared" si="457"/>
        <v>51.0116479591838</v>
      </c>
    </row>
    <row r="780" customFormat="1" spans="1:31">
      <c r="A780" s="18"/>
      <c r="B780" s="19"/>
      <c r="C780" s="20">
        <v>240626000018</v>
      </c>
      <c r="D780" s="21">
        <v>45472</v>
      </c>
      <c r="E780" s="21" t="s">
        <v>51</v>
      </c>
      <c r="F780" s="19" t="s">
        <v>52</v>
      </c>
      <c r="G780" s="19" t="s">
        <v>248</v>
      </c>
      <c r="H780" s="19">
        <v>9.5</v>
      </c>
      <c r="I780" s="45"/>
      <c r="J780" s="46">
        <v>288586.25</v>
      </c>
      <c r="K780" s="40"/>
      <c r="L780" s="47">
        <f t="shared" si="462"/>
        <v>1521.03647288252</v>
      </c>
      <c r="M780" s="48">
        <v>189.73</v>
      </c>
      <c r="N780" s="41">
        <v>7.24</v>
      </c>
      <c r="O780" s="42">
        <f t="shared" si="463"/>
        <v>1373.6452</v>
      </c>
      <c r="P780" s="44"/>
      <c r="Q780" s="44"/>
      <c r="R780" s="68">
        <f t="shared" si="459"/>
        <v>678.571428571429</v>
      </c>
      <c r="S780" s="68"/>
      <c r="T780" s="69">
        <f t="shared" si="460"/>
        <v>2.65466836734694</v>
      </c>
      <c r="U780" s="68"/>
      <c r="V780" s="68"/>
      <c r="W780" s="68">
        <f t="shared" si="454"/>
        <v>681.226096938776</v>
      </c>
      <c r="X780" s="70">
        <f t="shared" si="461"/>
        <v>18.743112244898</v>
      </c>
      <c r="Y780" s="70"/>
      <c r="Z780" s="70"/>
      <c r="AA780" s="70">
        <f t="shared" si="455"/>
        <v>18.743112244898</v>
      </c>
      <c r="AB780" s="80">
        <v>7.24</v>
      </c>
      <c r="AC780" s="68">
        <f t="shared" si="456"/>
        <v>135.700132653061</v>
      </c>
      <c r="AD780" s="68">
        <f t="shared" si="458"/>
        <v>816.926229591837</v>
      </c>
      <c r="AE780" s="68">
        <f t="shared" si="457"/>
        <v>556.718970408163</v>
      </c>
    </row>
    <row r="781" customFormat="1" spans="1:31">
      <c r="A781" s="18"/>
      <c r="B781" s="19"/>
      <c r="C781" s="20">
        <v>240626000033</v>
      </c>
      <c r="D781" s="21">
        <v>45472</v>
      </c>
      <c r="E781" s="21" t="s">
        <v>44</v>
      </c>
      <c r="F781" s="19" t="s">
        <v>45</v>
      </c>
      <c r="G781" s="19" t="s">
        <v>523</v>
      </c>
      <c r="H781" s="19">
        <v>5</v>
      </c>
      <c r="I781" s="38">
        <v>600</v>
      </c>
      <c r="J781" s="39"/>
      <c r="K781" s="40"/>
      <c r="L781" s="19"/>
      <c r="M781" s="40"/>
      <c r="N781" s="41"/>
      <c r="O781" s="42">
        <f t="shared" si="464"/>
        <v>600</v>
      </c>
      <c r="P781" s="44"/>
      <c r="Q781" s="44"/>
      <c r="R781" s="68">
        <f t="shared" si="459"/>
        <v>357.142857142857</v>
      </c>
      <c r="S781" s="68"/>
      <c r="T781" s="69">
        <f t="shared" si="460"/>
        <v>1.39719387755102</v>
      </c>
      <c r="U781" s="68"/>
      <c r="V781" s="68"/>
      <c r="W781" s="68">
        <f t="shared" si="454"/>
        <v>358.540051020408</v>
      </c>
      <c r="X781" s="70">
        <f t="shared" si="461"/>
        <v>9.86479591836735</v>
      </c>
      <c r="Y781" s="70"/>
      <c r="Z781" s="70"/>
      <c r="AA781" s="70">
        <f t="shared" si="455"/>
        <v>9.86479591836735</v>
      </c>
      <c r="AB781" s="80">
        <v>7.24</v>
      </c>
      <c r="AC781" s="68">
        <f t="shared" si="456"/>
        <v>71.4211224489796</v>
      </c>
      <c r="AD781" s="68">
        <f t="shared" si="458"/>
        <v>429.961173469388</v>
      </c>
      <c r="AE781" s="68">
        <f t="shared" si="457"/>
        <v>170.038826530612</v>
      </c>
    </row>
    <row r="782" customFormat="1" spans="1:31">
      <c r="A782" s="18"/>
      <c r="B782" s="19"/>
      <c r="C782" s="20">
        <v>240626000041</v>
      </c>
      <c r="D782" s="21">
        <v>45472</v>
      </c>
      <c r="E782" s="21" t="s">
        <v>37</v>
      </c>
      <c r="F782" s="19" t="s">
        <v>38</v>
      </c>
      <c r="G782" s="19" t="s">
        <v>39</v>
      </c>
      <c r="H782" s="19">
        <v>1.5</v>
      </c>
      <c r="I782" s="38">
        <v>180</v>
      </c>
      <c r="J782" s="39"/>
      <c r="K782" s="40"/>
      <c r="L782" s="19"/>
      <c r="M782" s="40"/>
      <c r="N782" s="41"/>
      <c r="O782" s="42">
        <f t="shared" si="464"/>
        <v>180</v>
      </c>
      <c r="P782" s="44"/>
      <c r="Q782" s="44"/>
      <c r="R782" s="68">
        <f t="shared" si="459"/>
        <v>107.142857142857</v>
      </c>
      <c r="S782" s="68"/>
      <c r="T782" s="69">
        <f t="shared" si="460"/>
        <v>0.419158163265306</v>
      </c>
      <c r="U782" s="68"/>
      <c r="V782" s="68"/>
      <c r="W782" s="68">
        <f t="shared" si="454"/>
        <v>107.562015306122</v>
      </c>
      <c r="X782" s="70">
        <f t="shared" si="461"/>
        <v>2.9594387755102</v>
      </c>
      <c r="Y782" s="70"/>
      <c r="Z782" s="70"/>
      <c r="AA782" s="70">
        <f t="shared" si="455"/>
        <v>2.9594387755102</v>
      </c>
      <c r="AB782" s="80">
        <v>7.24</v>
      </c>
      <c r="AC782" s="68">
        <f t="shared" si="456"/>
        <v>21.4263367346939</v>
      </c>
      <c r="AD782" s="68">
        <f t="shared" si="458"/>
        <v>128.988352040816</v>
      </c>
      <c r="AE782" s="68">
        <f t="shared" si="457"/>
        <v>51.0116479591838</v>
      </c>
    </row>
    <row r="783" customFormat="1" spans="1:31">
      <c r="A783" s="18"/>
      <c r="B783" s="19"/>
      <c r="C783" s="20">
        <v>240627000002</v>
      </c>
      <c r="D783" s="21">
        <v>45472</v>
      </c>
      <c r="E783" s="21" t="s">
        <v>85</v>
      </c>
      <c r="F783" s="19" t="s">
        <v>86</v>
      </c>
      <c r="G783" s="19" t="s">
        <v>529</v>
      </c>
      <c r="H783" s="19">
        <v>0.82</v>
      </c>
      <c r="I783" s="38">
        <v>69.3</v>
      </c>
      <c r="J783" s="39"/>
      <c r="K783" s="40"/>
      <c r="L783" s="19"/>
      <c r="M783" s="40"/>
      <c r="N783" s="41"/>
      <c r="O783" s="42">
        <f t="shared" si="464"/>
        <v>69.3</v>
      </c>
      <c r="P783" s="44"/>
      <c r="Q783" s="44"/>
      <c r="R783" s="68">
        <f t="shared" si="459"/>
        <v>58.5714285714286</v>
      </c>
      <c r="S783" s="68"/>
      <c r="T783" s="69">
        <f t="shared" si="460"/>
        <v>0.229139795918367</v>
      </c>
      <c r="U783" s="68"/>
      <c r="V783" s="68"/>
      <c r="W783" s="68">
        <f t="shared" si="454"/>
        <v>58.800568367347</v>
      </c>
      <c r="X783" s="70">
        <f t="shared" si="461"/>
        <v>1.61782653061224</v>
      </c>
      <c r="Y783" s="70"/>
      <c r="Z783" s="70"/>
      <c r="AA783" s="70">
        <f t="shared" si="455"/>
        <v>1.61782653061224</v>
      </c>
      <c r="AB783" s="80">
        <v>7.24</v>
      </c>
      <c r="AC783" s="68">
        <f t="shared" si="456"/>
        <v>11.7130640816327</v>
      </c>
      <c r="AD783" s="68">
        <f t="shared" si="458"/>
        <v>70.5136324489797</v>
      </c>
      <c r="AE783" s="68">
        <f t="shared" si="457"/>
        <v>-1.21363244897967</v>
      </c>
    </row>
    <row r="784" customFormat="1" spans="1:31">
      <c r="A784" s="18"/>
      <c r="B784" s="19"/>
      <c r="C784" s="20">
        <v>240627000026</v>
      </c>
      <c r="D784" s="21">
        <v>45472</v>
      </c>
      <c r="E784" s="21" t="s">
        <v>37</v>
      </c>
      <c r="F784" s="19" t="s">
        <v>37</v>
      </c>
      <c r="G784" s="19" t="s">
        <v>311</v>
      </c>
      <c r="H784" s="19">
        <v>108.5</v>
      </c>
      <c r="I784" s="38">
        <v>12477.5</v>
      </c>
      <c r="J784" s="39"/>
      <c r="K784" s="40"/>
      <c r="L784" s="19"/>
      <c r="M784" s="40"/>
      <c r="N784" s="41"/>
      <c r="O784" s="42">
        <f t="shared" si="464"/>
        <v>12477.5</v>
      </c>
      <c r="P784" s="44"/>
      <c r="Q784" s="44"/>
      <c r="R784" s="68">
        <f t="shared" si="459"/>
        <v>7750</v>
      </c>
      <c r="S784" s="68"/>
      <c r="T784" s="69">
        <f t="shared" si="460"/>
        <v>30.3191071428571</v>
      </c>
      <c r="U784" s="68"/>
      <c r="V784" s="68"/>
      <c r="W784" s="68">
        <f t="shared" si="454"/>
        <v>7780.31910714286</v>
      </c>
      <c r="X784" s="70">
        <f t="shared" si="461"/>
        <v>214.066071428571</v>
      </c>
      <c r="Y784" s="70"/>
      <c r="Z784" s="70"/>
      <c r="AA784" s="70">
        <f t="shared" si="455"/>
        <v>214.066071428571</v>
      </c>
      <c r="AB784" s="80">
        <v>7.24</v>
      </c>
      <c r="AC784" s="68">
        <f t="shared" si="456"/>
        <v>1549.83835714286</v>
      </c>
      <c r="AD784" s="68">
        <f t="shared" si="458"/>
        <v>9330.15746428572</v>
      </c>
      <c r="AE784" s="68">
        <f t="shared" si="457"/>
        <v>3147.34253571428</v>
      </c>
    </row>
    <row r="785" customFormat="1" spans="1:31">
      <c r="A785" s="18"/>
      <c r="B785" s="19"/>
      <c r="C785" s="20">
        <v>240628000006</v>
      </c>
      <c r="D785" s="21">
        <v>45472</v>
      </c>
      <c r="E785" s="21" t="s">
        <v>41</v>
      </c>
      <c r="F785" s="19" t="s">
        <v>42</v>
      </c>
      <c r="G785" s="19" t="s">
        <v>530</v>
      </c>
      <c r="H785" s="19">
        <v>0.82</v>
      </c>
      <c r="I785" s="38">
        <v>120</v>
      </c>
      <c r="J785" s="39"/>
      <c r="K785" s="40"/>
      <c r="L785" s="19"/>
      <c r="M785" s="40"/>
      <c r="N785" s="41"/>
      <c r="O785" s="42">
        <f t="shared" si="464"/>
        <v>120</v>
      </c>
      <c r="P785" s="44"/>
      <c r="Q785" s="44"/>
      <c r="R785" s="68">
        <f t="shared" si="459"/>
        <v>58.5714285714286</v>
      </c>
      <c r="S785" s="68"/>
      <c r="T785" s="69">
        <f t="shared" si="460"/>
        <v>0.229139795918367</v>
      </c>
      <c r="U785" s="68"/>
      <c r="V785" s="68"/>
      <c r="W785" s="68">
        <f t="shared" si="454"/>
        <v>58.800568367347</v>
      </c>
      <c r="X785" s="70">
        <f t="shared" si="461"/>
        <v>1.61782653061224</v>
      </c>
      <c r="Y785" s="70"/>
      <c r="Z785" s="70"/>
      <c r="AA785" s="70">
        <f t="shared" si="455"/>
        <v>1.61782653061224</v>
      </c>
      <c r="AB785" s="80">
        <v>7.24</v>
      </c>
      <c r="AC785" s="68">
        <f t="shared" si="456"/>
        <v>11.7130640816327</v>
      </c>
      <c r="AD785" s="68">
        <f t="shared" si="458"/>
        <v>70.5136324489797</v>
      </c>
      <c r="AE785" s="68">
        <f t="shared" si="457"/>
        <v>49.4863675510203</v>
      </c>
    </row>
    <row r="786" customFormat="1" spans="1:31">
      <c r="A786" s="18"/>
      <c r="B786" s="19"/>
      <c r="C786" s="20">
        <v>240628000007</v>
      </c>
      <c r="D786" s="21">
        <v>45472</v>
      </c>
      <c r="E786" s="21" t="s">
        <v>41</v>
      </c>
      <c r="F786" s="19" t="s">
        <v>42</v>
      </c>
      <c r="G786" s="19" t="s">
        <v>162</v>
      </c>
      <c r="H786" s="19">
        <v>0.3</v>
      </c>
      <c r="I786" s="38">
        <v>120</v>
      </c>
      <c r="J786" s="39"/>
      <c r="K786" s="40"/>
      <c r="L786" s="19"/>
      <c r="M786" s="40"/>
      <c r="N786" s="96"/>
      <c r="O786" s="42">
        <f t="shared" si="464"/>
        <v>120</v>
      </c>
      <c r="P786" s="49"/>
      <c r="Q786" s="49"/>
      <c r="R786" s="68">
        <f t="shared" si="459"/>
        <v>21.4285714285714</v>
      </c>
      <c r="S786" s="68"/>
      <c r="T786" s="69">
        <f t="shared" si="460"/>
        <v>0.0838316326530612</v>
      </c>
      <c r="U786" s="68"/>
      <c r="V786" s="68"/>
      <c r="W786" s="68">
        <f t="shared" si="454"/>
        <v>21.5124030612245</v>
      </c>
      <c r="X786" s="70">
        <f t="shared" si="461"/>
        <v>0.591887755102041</v>
      </c>
      <c r="Y786" s="70"/>
      <c r="Z786" s="70"/>
      <c r="AA786" s="70">
        <f t="shared" si="455"/>
        <v>0.591887755102041</v>
      </c>
      <c r="AB786" s="80">
        <v>7.24</v>
      </c>
      <c r="AC786" s="68">
        <f t="shared" si="456"/>
        <v>4.28526734693877</v>
      </c>
      <c r="AD786" s="68">
        <f t="shared" si="458"/>
        <v>25.7976704081632</v>
      </c>
      <c r="AE786" s="68">
        <f t="shared" si="457"/>
        <v>94.2023295918368</v>
      </c>
    </row>
    <row r="787" spans="1:32">
      <c r="A787" s="122" t="s">
        <v>531</v>
      </c>
      <c r="B787" s="123"/>
      <c r="C787" s="123"/>
      <c r="D787" s="123"/>
      <c r="E787" s="123"/>
      <c r="F787" s="123"/>
      <c r="G787" s="123"/>
      <c r="H787" s="123"/>
      <c r="I787" s="123">
        <f>SUM(I2:I786)</f>
        <v>2016472.36</v>
      </c>
      <c r="J787" s="124"/>
      <c r="K787" s="125"/>
      <c r="L787" s="124"/>
      <c r="M787" s="124">
        <f>SUM(M3:M786)</f>
        <v>89630.3088705001</v>
      </c>
      <c r="N787" s="123"/>
      <c r="O787" s="123">
        <f>SUM(O2:O786)</f>
        <v>2665395.79622242</v>
      </c>
      <c r="P787" s="123">
        <f>SUM(P2:P786)</f>
        <v>2665395.79622242</v>
      </c>
      <c r="Q787" s="123"/>
      <c r="R787" s="123">
        <f>SUM(R3:R786)</f>
        <v>1678482.27641805</v>
      </c>
      <c r="S787" s="123"/>
      <c r="T787" s="123"/>
      <c r="U787" s="123"/>
      <c r="V787" s="123"/>
      <c r="W787" s="126">
        <f>SUM(W3:W3)</f>
        <v>0</v>
      </c>
      <c r="X787" s="125"/>
      <c r="Y787" s="125"/>
      <c r="Z787" s="125"/>
      <c r="AA787" s="125"/>
      <c r="AB787" s="124"/>
      <c r="AC787" s="123">
        <f>SUM(AC3:AC3)</f>
        <v>0</v>
      </c>
      <c r="AD787" s="123"/>
      <c r="AE787" s="122">
        <f>SUM(AE4:AE786)</f>
        <v>470967.56112505</v>
      </c>
      <c r="AF787" s="122">
        <v>525357.1517889</v>
      </c>
    </row>
    <row r="791" customFormat="1" spans="4:28">
      <c r="D791" s="2"/>
      <c r="E791" s="2"/>
      <c r="J791" s="3"/>
      <c r="K791" s="4"/>
      <c r="L791" s="3"/>
      <c r="W791" s="6"/>
      <c r="X791" s="4"/>
      <c r="Y791" s="4"/>
      <c r="Z791" s="4"/>
      <c r="AA791" s="4"/>
      <c r="AB791" s="3"/>
    </row>
    <row r="792" customFormat="1" spans="4:28">
      <c r="D792" s="2"/>
      <c r="E792" s="2"/>
      <c r="J792" s="3">
        <v>83878.5786705001</v>
      </c>
      <c r="K792" s="41">
        <v>7.24</v>
      </c>
      <c r="L792" s="3">
        <f>SUM(J792*K792)</f>
        <v>607280.909574421</v>
      </c>
      <c r="W792" s="6"/>
      <c r="X792" s="4"/>
      <c r="Y792" s="4"/>
      <c r="Z792" s="4"/>
      <c r="AA792" s="4"/>
      <c r="AB792" s="3"/>
    </row>
    <row r="793" customFormat="1" spans="4:28">
      <c r="D793" s="2"/>
      <c r="E793" s="2"/>
      <c r="J793" s="3"/>
      <c r="K793" s="4"/>
      <c r="L793" s="3">
        <v>2075914.73</v>
      </c>
      <c r="W793" s="6"/>
      <c r="X793" s="4"/>
      <c r="Y793" s="4"/>
      <c r="Z793" s="4"/>
      <c r="AA793" s="4"/>
      <c r="AB793" s="3"/>
    </row>
    <row r="794" customFormat="1" spans="4:28">
      <c r="D794" s="2"/>
      <c r="E794" s="2"/>
      <c r="J794" s="3"/>
      <c r="K794" s="4"/>
      <c r="L794" s="3">
        <f>SUM(L792:L793)</f>
        <v>2683195.63957442</v>
      </c>
      <c r="M794">
        <v>2683318.63957442</v>
      </c>
      <c r="N794">
        <f>SUM(M794-L794)</f>
        <v>122.999999997206</v>
      </c>
      <c r="O794">
        <v>7.14</v>
      </c>
      <c r="P794">
        <f>SUM(N794/O794)</f>
        <v>17.2268907559112</v>
      </c>
      <c r="W794" s="6"/>
      <c r="X794" s="4"/>
      <c r="Y794" s="4"/>
      <c r="Z794" s="4"/>
      <c r="AA794" s="4"/>
      <c r="AB794" s="3"/>
    </row>
    <row r="795" customFormat="1" spans="4:28">
      <c r="D795" s="2"/>
      <c r="E795" s="2"/>
      <c r="J795" s="3"/>
      <c r="K795" s="4"/>
      <c r="L795" s="3"/>
      <c r="W795" s="6"/>
      <c r="X795" s="4"/>
      <c r="Y795" s="4"/>
      <c r="Z795" s="4"/>
      <c r="AA795" s="4"/>
      <c r="AB795" s="3"/>
    </row>
    <row r="796" customFormat="1" spans="4:28">
      <c r="D796" s="2"/>
      <c r="E796" s="2"/>
      <c r="J796" s="3"/>
      <c r="K796" s="4"/>
      <c r="L796" s="3"/>
      <c r="W796" s="6"/>
      <c r="X796" s="4"/>
      <c r="Y796" s="4"/>
      <c r="Z796" s="4"/>
      <c r="AA796" s="4"/>
      <c r="AB796" s="3"/>
    </row>
    <row r="797" customFormat="1" spans="4:28">
      <c r="D797" s="2"/>
      <c r="E797" s="2"/>
      <c r="J797" s="3"/>
      <c r="K797" s="4"/>
      <c r="L797" s="3"/>
      <c r="W797" s="6"/>
      <c r="X797" s="4"/>
      <c r="Y797" s="4"/>
      <c r="Z797" s="4"/>
      <c r="AA797" s="4"/>
      <c r="AB797" s="3"/>
    </row>
    <row r="798" customFormat="1" spans="4:28">
      <c r="D798" s="2"/>
      <c r="E798" s="2"/>
      <c r="J798" s="3"/>
      <c r="K798" s="4"/>
      <c r="L798" s="3"/>
      <c r="W798" s="6"/>
      <c r="X798" s="4"/>
      <c r="Y798" s="4"/>
      <c r="Z798" s="4"/>
      <c r="AA798" s="4"/>
      <c r="AB798" s="3"/>
    </row>
    <row r="799" customFormat="1" spans="4:28">
      <c r="D799" s="2"/>
      <c r="E799" s="2"/>
      <c r="J799" s="3"/>
      <c r="K799" s="4"/>
      <c r="L799" s="3"/>
      <c r="W799" s="6"/>
      <c r="X799" s="4"/>
      <c r="Y799" s="4"/>
      <c r="Z799" s="4"/>
      <c r="AA799" s="4"/>
      <c r="AB799" s="3"/>
    </row>
    <row r="800" customFormat="1" spans="4:28">
      <c r="D800" s="2"/>
      <c r="E800" s="2"/>
      <c r="J800" s="3"/>
      <c r="K800" s="4"/>
      <c r="L800" s="3"/>
      <c r="W800" s="6"/>
      <c r="X800" s="4"/>
      <c r="Y800" s="4"/>
      <c r="Z800" s="4"/>
      <c r="AA800" s="4"/>
      <c r="AB800" s="3"/>
    </row>
    <row r="801" customFormat="1" spans="4:28">
      <c r="D801" s="2"/>
      <c r="E801" s="2"/>
      <c r="J801" s="3"/>
      <c r="K801" s="4"/>
      <c r="L801" s="3"/>
      <c r="W801" s="6"/>
      <c r="X801" s="4"/>
      <c r="Y801" s="4"/>
      <c r="Z801" s="4"/>
      <c r="AA801" s="4"/>
      <c r="AB801" s="3"/>
    </row>
    <row r="802" customFormat="1" spans="4:28">
      <c r="D802" s="2"/>
      <c r="E802" s="2"/>
      <c r="J802" s="3"/>
      <c r="K802" s="4"/>
      <c r="L802" s="3"/>
      <c r="W802" s="6"/>
      <c r="X802" s="4"/>
      <c r="Y802" s="4"/>
      <c r="Z802" s="4"/>
      <c r="AA802" s="4"/>
      <c r="AB802" s="3"/>
    </row>
    <row r="803" customFormat="1" spans="4:28">
      <c r="D803" s="2"/>
      <c r="E803" s="2"/>
      <c r="J803" s="3"/>
      <c r="K803" s="4"/>
      <c r="L803" s="3"/>
      <c r="W803" s="6"/>
      <c r="X803" s="4"/>
      <c r="Y803" s="4"/>
      <c r="Z803" s="4"/>
      <c r="AA803" s="4"/>
      <c r="AB803" s="3"/>
    </row>
    <row r="804" customFormat="1" spans="4:28">
      <c r="D804" s="2"/>
      <c r="E804" s="2"/>
      <c r="J804" s="3"/>
      <c r="K804" s="4"/>
      <c r="L804" s="3"/>
      <c r="W804" s="6"/>
      <c r="X804" s="4"/>
      <c r="Y804" s="4"/>
      <c r="Z804" s="4"/>
      <c r="AA804" s="4"/>
      <c r="AB804" s="3"/>
    </row>
    <row r="805" customFormat="1" spans="4:28">
      <c r="D805" s="2"/>
      <c r="E805" s="2"/>
      <c r="J805" s="3"/>
      <c r="K805" s="4"/>
      <c r="L805" s="3"/>
      <c r="W805" s="6"/>
      <c r="X805" s="4"/>
      <c r="Y805" s="4"/>
      <c r="Z805" s="4"/>
      <c r="AA805" s="4"/>
      <c r="AB805" s="3"/>
    </row>
    <row r="806" customFormat="1" spans="4:28">
      <c r="D806" s="2"/>
      <c r="E806" s="2"/>
      <c r="J806" s="3"/>
      <c r="K806" s="4"/>
      <c r="L806" s="3"/>
      <c r="W806" s="6"/>
      <c r="X806" s="4"/>
      <c r="Y806" s="4"/>
      <c r="Z806" s="4"/>
      <c r="AA806" s="4"/>
      <c r="AB806" s="3"/>
    </row>
    <row r="807" customFormat="1" spans="4:28">
      <c r="D807" s="2"/>
      <c r="E807" s="2"/>
      <c r="J807" s="3"/>
      <c r="K807" s="4"/>
      <c r="L807" s="3"/>
      <c r="W807" s="6"/>
      <c r="X807" s="4"/>
      <c r="Y807" s="4"/>
      <c r="Z807" s="4"/>
      <c r="AA807" s="4"/>
      <c r="AB807" s="3"/>
    </row>
    <row r="808" customFormat="1" spans="4:28">
      <c r="D808" s="2"/>
      <c r="E808" s="2"/>
      <c r="J808" s="3"/>
      <c r="K808" s="4"/>
      <c r="L808" s="3"/>
      <c r="W808" s="6"/>
      <c r="X808" s="4"/>
      <c r="Y808" s="4"/>
      <c r="Z808" s="4"/>
      <c r="AA808" s="4"/>
      <c r="AB808" s="3"/>
    </row>
    <row r="809" customFormat="1" spans="4:28">
      <c r="D809" s="2"/>
      <c r="E809" s="2"/>
      <c r="J809" s="3"/>
      <c r="K809" s="4"/>
      <c r="L809" s="3"/>
      <c r="W809" s="6"/>
      <c r="X809" s="4"/>
      <c r="Y809" s="4"/>
      <c r="Z809" s="4"/>
      <c r="AA809" s="4"/>
      <c r="AB809" s="3"/>
    </row>
    <row r="810" customFormat="1" spans="4:28">
      <c r="D810" s="2"/>
      <c r="E810" s="2"/>
      <c r="J810" s="3"/>
      <c r="K810" s="4"/>
      <c r="L810" s="3"/>
      <c r="W810" s="6"/>
      <c r="X810" s="4"/>
      <c r="Y810" s="4"/>
      <c r="Z810" s="4"/>
      <c r="AA810" s="4"/>
      <c r="AB810" s="3"/>
    </row>
    <row r="811" customFormat="1" spans="4:28">
      <c r="D811" s="2"/>
      <c r="E811" s="2"/>
      <c r="J811" s="3"/>
      <c r="K811" s="4"/>
      <c r="L811" s="3"/>
      <c r="W811" s="6"/>
      <c r="X811" s="4"/>
      <c r="Y811" s="4"/>
      <c r="Z811" s="4"/>
      <c r="AA811" s="4"/>
      <c r="AB811" s="3"/>
    </row>
    <row r="812" customFormat="1" spans="4:28">
      <c r="D812" s="2"/>
      <c r="E812" s="2"/>
      <c r="J812" s="3"/>
      <c r="K812" s="4"/>
      <c r="L812" s="3"/>
      <c r="W812" s="6"/>
      <c r="X812" s="4"/>
      <c r="Y812" s="4"/>
      <c r="Z812" s="4"/>
      <c r="AA812" s="4"/>
      <c r="AB812" s="3"/>
    </row>
    <row r="813" customFormat="1" spans="4:28">
      <c r="D813" s="2"/>
      <c r="E813" s="2"/>
      <c r="J813" s="3"/>
      <c r="K813" s="4"/>
      <c r="L813" s="3"/>
      <c r="W813" s="6"/>
      <c r="X813" s="4"/>
      <c r="Y813" s="4"/>
      <c r="Z813" s="4"/>
      <c r="AA813" s="4"/>
      <c r="AB813" s="3"/>
    </row>
    <row r="814" customFormat="1" spans="4:28">
      <c r="D814" s="2"/>
      <c r="E814" s="2"/>
      <c r="J814" s="3"/>
      <c r="K814" s="4"/>
      <c r="L814" s="3"/>
      <c r="W814" s="6"/>
      <c r="X814" s="4"/>
      <c r="Y814" s="4"/>
      <c r="Z814" s="4"/>
      <c r="AA814" s="4"/>
      <c r="AB814" s="3"/>
    </row>
    <row r="815" customFormat="1" spans="4:28">
      <c r="D815" s="2"/>
      <c r="E815" s="2"/>
      <c r="J815" s="3"/>
      <c r="K815" s="4"/>
      <c r="L815" s="3"/>
      <c r="W815" s="6"/>
      <c r="X815" s="4"/>
      <c r="Y815" s="4"/>
      <c r="Z815" s="4"/>
      <c r="AA815" s="4"/>
      <c r="AB815" s="3"/>
    </row>
    <row r="816" customFormat="1" spans="4:28">
      <c r="D816" s="2"/>
      <c r="E816" s="2"/>
      <c r="J816" s="3"/>
      <c r="K816" s="4"/>
      <c r="L816" s="3"/>
      <c r="W816" s="6"/>
      <c r="X816" s="4"/>
      <c r="Y816" s="4"/>
      <c r="Z816" s="4"/>
      <c r="AA816" s="4"/>
      <c r="AB816" s="3"/>
    </row>
    <row r="817" customFormat="1" spans="4:28">
      <c r="D817" s="2"/>
      <c r="E817" s="2"/>
      <c r="J817" s="3"/>
      <c r="K817" s="4"/>
      <c r="L817" s="3"/>
      <c r="W817" s="6"/>
      <c r="X817" s="4"/>
      <c r="Y817" s="4"/>
      <c r="Z817" s="4"/>
      <c r="AA817" s="4"/>
      <c r="AB817" s="3"/>
    </row>
    <row r="818" customFormat="1" spans="4:28">
      <c r="D818" s="2"/>
      <c r="E818" s="2"/>
      <c r="J818" s="3"/>
      <c r="K818" s="4"/>
      <c r="L818" s="3"/>
      <c r="W818" s="6"/>
      <c r="X818" s="4"/>
      <c r="Y818" s="4"/>
      <c r="Z818" s="4"/>
      <c r="AA818" s="4"/>
      <c r="AB818" s="3"/>
    </row>
    <row r="819" customFormat="1" spans="4:28">
      <c r="D819" s="2"/>
      <c r="E819" s="2"/>
      <c r="J819" s="3"/>
      <c r="K819" s="4"/>
      <c r="L819" s="3"/>
      <c r="W819" s="6"/>
      <c r="X819" s="4"/>
      <c r="Y819" s="4"/>
      <c r="Z819" s="4"/>
      <c r="AA819" s="4"/>
      <c r="AB819" s="3"/>
    </row>
    <row r="820" customFormat="1" spans="4:28">
      <c r="D820" s="2"/>
      <c r="E820" s="2"/>
      <c r="J820" s="3"/>
      <c r="K820" s="4"/>
      <c r="L820" s="3"/>
      <c r="W820" s="6"/>
      <c r="X820" s="4"/>
      <c r="Y820" s="4"/>
      <c r="Z820" s="4"/>
      <c r="AA820" s="4"/>
      <c r="AB820" s="3"/>
    </row>
    <row r="821" customFormat="1" spans="4:28">
      <c r="D821" s="2"/>
      <c r="E821" s="2"/>
      <c r="J821" s="3"/>
      <c r="K821" s="4"/>
      <c r="L821" s="3"/>
      <c r="W821" s="6"/>
      <c r="X821" s="4"/>
      <c r="Y821" s="4"/>
      <c r="Z821" s="4"/>
      <c r="AA821" s="4"/>
      <c r="AB821" s="3"/>
    </row>
    <row r="822" customFormat="1" spans="4:28">
      <c r="D822" s="2"/>
      <c r="E822" s="2"/>
      <c r="J822" s="3"/>
      <c r="K822" s="4"/>
      <c r="L822" s="3"/>
      <c r="W822" s="6"/>
      <c r="X822" s="4"/>
      <c r="Y822" s="4"/>
      <c r="Z822" s="4"/>
      <c r="AA822" s="4"/>
      <c r="AB822" s="3"/>
    </row>
    <row r="823" customFormat="1" spans="4:28">
      <c r="D823" s="2"/>
      <c r="E823" s="2"/>
      <c r="J823" s="3"/>
      <c r="K823" s="4"/>
      <c r="L823" s="3"/>
      <c r="W823" s="6"/>
      <c r="X823" s="4"/>
      <c r="Y823" s="4"/>
      <c r="Z823" s="4"/>
      <c r="AA823" s="4"/>
      <c r="AB823" s="3"/>
    </row>
    <row r="824" customFormat="1" spans="4:28">
      <c r="D824" s="2"/>
      <c r="E824" s="2"/>
      <c r="J824" s="3"/>
      <c r="K824" s="4"/>
      <c r="L824" s="3"/>
      <c r="W824" s="6"/>
      <c r="X824" s="4"/>
      <c r="Y824" s="4"/>
      <c r="Z824" s="4"/>
      <c r="AA824" s="4"/>
      <c r="AB824" s="3"/>
    </row>
    <row r="825" customFormat="1" spans="4:28">
      <c r="D825" s="2"/>
      <c r="E825" s="2"/>
      <c r="J825" s="3"/>
      <c r="K825" s="4"/>
      <c r="L825" s="3"/>
      <c r="W825" s="6"/>
      <c r="X825" s="4"/>
      <c r="Y825" s="4"/>
      <c r="Z825" s="4"/>
      <c r="AA825" s="4"/>
      <c r="AB825" s="3"/>
    </row>
    <row r="826" customFormat="1" spans="4:28">
      <c r="D826" s="2"/>
      <c r="E826" s="2"/>
      <c r="J826" s="3"/>
      <c r="K826" s="4"/>
      <c r="L826" s="3"/>
      <c r="W826" s="6"/>
      <c r="X826" s="4"/>
      <c r="Y826" s="4"/>
      <c r="Z826" s="4"/>
      <c r="AA826" s="4"/>
      <c r="AB826" s="3"/>
    </row>
    <row r="827" customFormat="1" spans="4:28">
      <c r="D827" s="2"/>
      <c r="E827" s="2"/>
      <c r="J827" s="3"/>
      <c r="K827" s="4"/>
      <c r="L827" s="3"/>
      <c r="W827" s="6"/>
      <c r="X827" s="4"/>
      <c r="Y827" s="4"/>
      <c r="Z827" s="4"/>
      <c r="AA827" s="4"/>
      <c r="AB827" s="3"/>
    </row>
    <row r="828" customFormat="1" spans="4:28">
      <c r="D828" s="2"/>
      <c r="E828" s="2"/>
      <c r="J828" s="3"/>
      <c r="K828" s="4"/>
      <c r="L828" s="3"/>
      <c r="W828" s="6"/>
      <c r="X828" s="4"/>
      <c r="Y828" s="4"/>
      <c r="Z828" s="4"/>
      <c r="AA828" s="4"/>
      <c r="AB828" s="3"/>
    </row>
    <row r="829" customFormat="1" spans="4:28">
      <c r="D829" s="2"/>
      <c r="E829" s="2"/>
      <c r="J829" s="3"/>
      <c r="K829" s="4"/>
      <c r="L829" s="3"/>
      <c r="W829" s="6"/>
      <c r="X829" s="4"/>
      <c r="Y829" s="4"/>
      <c r="Z829" s="4"/>
      <c r="AA829" s="4"/>
      <c r="AB829" s="3"/>
    </row>
    <row r="830" customFormat="1" spans="4:28">
      <c r="D830" s="2"/>
      <c r="E830" s="2"/>
      <c r="J830" s="3"/>
      <c r="K830" s="4"/>
      <c r="L830" s="3"/>
      <c r="W830" s="6"/>
      <c r="X830" s="4"/>
      <c r="Y830" s="4"/>
      <c r="Z830" s="4"/>
      <c r="AA830" s="4"/>
      <c r="AB830" s="3"/>
    </row>
    <row r="831" customFormat="1" spans="4:28">
      <c r="D831" s="2"/>
      <c r="E831" s="2"/>
      <c r="J831" s="3"/>
      <c r="K831" s="4"/>
      <c r="L831" s="3"/>
      <c r="W831" s="6"/>
      <c r="X831" s="4"/>
      <c r="Y831" s="4"/>
      <c r="Z831" s="4"/>
      <c r="AA831" s="4"/>
      <c r="AB831" s="3"/>
    </row>
    <row r="832" customFormat="1" spans="4:28">
      <c r="D832" s="2"/>
      <c r="E832" s="2"/>
      <c r="J832" s="3"/>
      <c r="K832" s="4"/>
      <c r="L832" s="3"/>
      <c r="W832" s="6"/>
      <c r="X832" s="4"/>
      <c r="Y832" s="4"/>
      <c r="Z832" s="4"/>
      <c r="AA832" s="4"/>
      <c r="AB832" s="3"/>
    </row>
    <row r="833" customFormat="1" spans="4:28">
      <c r="D833" s="2"/>
      <c r="E833" s="2"/>
      <c r="J833" s="3"/>
      <c r="K833" s="4"/>
      <c r="L833" s="3"/>
      <c r="W833" s="6"/>
      <c r="X833" s="4"/>
      <c r="Y833" s="4"/>
      <c r="Z833" s="4"/>
      <c r="AA833" s="4"/>
      <c r="AB833" s="3"/>
    </row>
  </sheetData>
  <autoFilter xmlns:etc="http://www.wps.cn/officeDocument/2017/etCustomData" ref="A2:AE787" etc:filterBottomFollowUsedRange="0">
    <extLst/>
  </autoFilter>
  <mergeCells count="128">
    <mergeCell ref="A1:AE1"/>
    <mergeCell ref="I2:O2"/>
    <mergeCell ref="Q2:U2"/>
    <mergeCell ref="X2:AC2"/>
    <mergeCell ref="A2:A3"/>
    <mergeCell ref="A4:A11"/>
    <mergeCell ref="A12:A27"/>
    <mergeCell ref="A28:A38"/>
    <mergeCell ref="A39:A44"/>
    <mergeCell ref="A45:A52"/>
    <mergeCell ref="A53:A55"/>
    <mergeCell ref="A56:A134"/>
    <mergeCell ref="A135:A140"/>
    <mergeCell ref="A141:A206"/>
    <mergeCell ref="A207:A209"/>
    <mergeCell ref="A213:A260"/>
    <mergeCell ref="A261:A315"/>
    <mergeCell ref="A316:A329"/>
    <mergeCell ref="A330:A337"/>
    <mergeCell ref="A339:A350"/>
    <mergeCell ref="A351:A408"/>
    <mergeCell ref="A409:A421"/>
    <mergeCell ref="A423:A426"/>
    <mergeCell ref="A427:A430"/>
    <mergeCell ref="A431:A432"/>
    <mergeCell ref="A433:A434"/>
    <mergeCell ref="A435:A440"/>
    <mergeCell ref="A442:A507"/>
    <mergeCell ref="A509:A561"/>
    <mergeCell ref="A562:A577"/>
    <mergeCell ref="A580:A589"/>
    <mergeCell ref="A590:A661"/>
    <mergeCell ref="A662:A731"/>
    <mergeCell ref="A732:A769"/>
    <mergeCell ref="A770:A786"/>
    <mergeCell ref="B2:B3"/>
    <mergeCell ref="B4:B11"/>
    <mergeCell ref="B12:B27"/>
    <mergeCell ref="B28:B38"/>
    <mergeCell ref="B39:B44"/>
    <mergeCell ref="B45:B52"/>
    <mergeCell ref="B53:B55"/>
    <mergeCell ref="B56:B134"/>
    <mergeCell ref="B135:B140"/>
    <mergeCell ref="B141:B206"/>
    <mergeCell ref="B207:B209"/>
    <mergeCell ref="B213:B260"/>
    <mergeCell ref="B261:B315"/>
    <mergeCell ref="B316:B329"/>
    <mergeCell ref="B330:B337"/>
    <mergeCell ref="B339:B350"/>
    <mergeCell ref="B351:B408"/>
    <mergeCell ref="B409:B421"/>
    <mergeCell ref="B423:B426"/>
    <mergeCell ref="B427:B430"/>
    <mergeCell ref="B431:B432"/>
    <mergeCell ref="B433:B434"/>
    <mergeCell ref="B435:B440"/>
    <mergeCell ref="B442:B507"/>
    <mergeCell ref="B509:B561"/>
    <mergeCell ref="B562:B577"/>
    <mergeCell ref="B580:B589"/>
    <mergeCell ref="B590:B661"/>
    <mergeCell ref="B662:B731"/>
    <mergeCell ref="B732:B769"/>
    <mergeCell ref="B770:B786"/>
    <mergeCell ref="C2:C3"/>
    <mergeCell ref="D2:D3"/>
    <mergeCell ref="E2:E3"/>
    <mergeCell ref="F2:F3"/>
    <mergeCell ref="G2:G3"/>
    <mergeCell ref="H2:H3"/>
    <mergeCell ref="P2:P3"/>
    <mergeCell ref="P4:P11"/>
    <mergeCell ref="P12:P27"/>
    <mergeCell ref="P28:P38"/>
    <mergeCell ref="P39:P44"/>
    <mergeCell ref="P45:P52"/>
    <mergeCell ref="P53:P55"/>
    <mergeCell ref="P56:P134"/>
    <mergeCell ref="P135:P140"/>
    <mergeCell ref="P141:P206"/>
    <mergeCell ref="P207:P209"/>
    <mergeCell ref="P213:P260"/>
    <mergeCell ref="P261:P315"/>
    <mergeCell ref="P316:P329"/>
    <mergeCell ref="P330:P337"/>
    <mergeCell ref="P339:P350"/>
    <mergeCell ref="P351:P408"/>
    <mergeCell ref="P409:P421"/>
    <mergeCell ref="P435:P440"/>
    <mergeCell ref="P442:P507"/>
    <mergeCell ref="P509:P561"/>
    <mergeCell ref="P562:P577"/>
    <mergeCell ref="P580:P589"/>
    <mergeCell ref="P590:P661"/>
    <mergeCell ref="P662:P731"/>
    <mergeCell ref="P732:P769"/>
    <mergeCell ref="P770:P786"/>
    <mergeCell ref="Q4:Q11"/>
    <mergeCell ref="Q12:Q27"/>
    <mergeCell ref="Q28:Q38"/>
    <mergeCell ref="Q39:Q44"/>
    <mergeCell ref="Q45:Q52"/>
    <mergeCell ref="Q53:Q55"/>
    <mergeCell ref="Q56:Q134"/>
    <mergeCell ref="Q135:Q140"/>
    <mergeCell ref="Q141:Q206"/>
    <mergeCell ref="Q207:Q209"/>
    <mergeCell ref="Q213:Q260"/>
    <mergeCell ref="Q261:Q315"/>
    <mergeCell ref="Q316:Q329"/>
    <mergeCell ref="Q330:Q337"/>
    <mergeCell ref="Q339:Q350"/>
    <mergeCell ref="Q351:Q408"/>
    <mergeCell ref="Q409:Q421"/>
    <mergeCell ref="Q435:Q440"/>
    <mergeCell ref="Q442:Q507"/>
    <mergeCell ref="Q509:Q561"/>
    <mergeCell ref="Q562:Q577"/>
    <mergeCell ref="Q580:Q589"/>
    <mergeCell ref="Q590:Q661"/>
    <mergeCell ref="Q662:Q731"/>
    <mergeCell ref="Q732:Q769"/>
    <mergeCell ref="Q770:Q786"/>
    <mergeCell ref="V2:V3"/>
    <mergeCell ref="W2:W3"/>
    <mergeCell ref="AE2:AE3"/>
  </mergeCells>
  <pageMargins left="0.75" right="0.75" top="1" bottom="1" header="0.5" footer="0.5"/>
  <pageSetup paperSize="9" orientation="portrait"/>
  <headerFooter/>
  <ignoredErrors>
    <ignoredError sqref="O218 O518 O761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2020-12-16T06:30:00Z</dcterms:created>
  <dcterms:modified xsi:type="dcterms:W3CDTF">2025-07-21T08:56:33Z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