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Sheet1" sheetId="1" r:id="rId1"/>
  </sheets>
  <definedNames>
    <definedName name="_xlnm._FilterDatabase" localSheetId="0" hidden="1">Sheet1!$A$3:$Y$9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<sst xmlns="http://schemas.openxmlformats.org/spreadsheetml/2006/main" count="55" uniqueCount="46">
  <si>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2024年06月份ACC毛利表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</si>
  <si>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</si>
  <si>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</si>
  <si>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</si>
  <si>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</si>
  <si>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</si>
  <si>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</si>
  <si>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</si>
  <si>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</si>
  <si>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</si>
  <si>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</si>
  <si>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</si>
  <si>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</si>
  <si>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</si>
  <si>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</si>
  <si>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</si>
  <si>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</si>
  <si>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</si>
  <si>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</si>
  <si>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</si>
  <si>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</si>
  <si>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</si>
  <si>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</si>
  <si>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</si>
  <si>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</si>
  <si>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</si>
  <si>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</si>
  <si>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</si>
  <si>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</si>
  <si>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JOB060331</t>
  </si>
  <si>
    <t>COLL003980</t>
  </si>
  <si>
    <t>Sam.Pao</t>
  </si>
  <si>
    <t>WANGCHONG</t>
  </si>
  <si>
    <t>顶派=9420
驿马=169</t>
  </si>
  <si>
    <t>JOB060338</t>
  </si>
  <si>
    <t>COLL003991</t>
  </si>
  <si>
    <t>顶派</t>
  </si>
  <si>
    <t>JOB060345</t>
  </si>
  <si>
    <t>COLL003997</t>
  </si>
  <si>
    <t>黄颖</t>
  </si>
  <si>
    <t>ying</t>
  </si>
  <si>
    <t>EMMANUEL BAISIE-NKRUMAH</t>
  </si>
  <si>
    <t>JOB060381</t>
  </si>
  <si>
    <t>COLL004037</t>
  </si>
  <si>
    <t>Emma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</si>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</sst>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.00_ 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3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10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9" fontId="3" fillId="2" borderId="1" xfId="1" applyNumberFormat="1" applyFont="1" applyFill="1" applyBorder="1" applyAlignment="1">
      <alignment horizontal="center" vertical="center"/>
    </xf>
    <xf numFmtId="180" fontId="4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181" fontId="5" fillId="2" borderId="1" xfId="0" applyNumberFormat="1" applyFont="1" applyFill="1" applyBorder="1">
      <alignment vertical="center"/>
    </xf>
    <xf numFmtId="58" fontId="6" fillId="0" borderId="1" xfId="0" applyNumberFormat="1" applyFon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2" fontId="8" fillId="3" borderId="2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182" fontId="8" fillId="3" borderId="4" xfId="0" applyNumberFormat="1" applyFont="1" applyFill="1" applyBorder="1" applyAlignment="1">
      <alignment horizontal="right" vertical="center"/>
    </xf>
    <xf numFmtId="182" fontId="8" fillId="4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2" fontId="2" fillId="5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right" vertical="center"/>
    </xf>
    <xf numFmtId="182" fontId="8" fillId="4" borderId="6" xfId="0" applyNumberFormat="1" applyFont="1" applyFill="1" applyBorder="1" applyAlignment="1">
      <alignment horizontal="center" vertical="center"/>
    </xf>
    <xf numFmtId="183" fontId="10" fillId="5" borderId="1" xfId="4" applyNumberFormat="1" applyFont="1" applyFill="1" applyBorder="1" applyAlignment="1">
      <alignment horizontal="center" vertical="center"/>
    </xf>
    <xf numFmtId="182" fontId="10" fillId="5" borderId="1" xfId="4" applyNumberFormat="1" applyFont="1" applyFill="1" applyBorder="1" applyAlignment="1">
      <alignment horizontal="center" vertical="center"/>
    </xf>
    <xf numFmtId="182" fontId="11" fillId="0" borderId="1" xfId="0" applyNumberFormat="1" applyFont="1" applyFill="1" applyBorder="1">
      <alignment vertical="center"/>
    </xf>
    <xf numFmtId="182" fontId="5" fillId="2" borderId="1" xfId="0" applyNumberFormat="1" applyFont="1" applyFill="1" applyBorder="1">
      <alignment vertical="center"/>
    </xf>
    <xf numFmtId="182" fontId="7" fillId="0" borderId="1" xfId="0" applyNumberFormat="1" applyFont="1" applyBorder="1" applyAlignment="1">
      <alignment horizontal="center" vertical="center" wrapText="1"/>
    </xf>
    <xf numFmtId="182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>
      <alignment vertical="center"/>
    </xf>
    <xf numFmtId="182" fontId="7" fillId="0" borderId="1" xfId="0" applyNumberFormat="1" applyFont="1" applyBorder="1" applyAlignment="1">
      <alignment horizontal="right" vertical="center"/>
    </xf>
    <xf numFmtId="182" fontId="11" fillId="2" borderId="1" xfId="0" applyNumberFormat="1" applyFont="1" applyFill="1" applyBorder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2" fontId="12" fillId="5" borderId="7" xfId="0" applyNumberFormat="1" applyFont="1" applyFill="1" applyBorder="1" applyAlignment="1">
      <alignment horizontal="center" vertical="center"/>
    </xf>
    <xf numFmtId="182" fontId="12" fillId="3" borderId="5" xfId="0" applyNumberFormat="1" applyFont="1" applyFill="1" applyBorder="1" applyAlignment="1">
      <alignment horizontal="center" vertical="center" wrapText="1"/>
    </xf>
    <xf numFmtId="176" fontId="9" fillId="3" borderId="7" xfId="0" applyNumberFormat="1" applyFont="1" applyFill="1" applyBorder="1" applyAlignment="1">
      <alignment horizontal="center" vertical="center"/>
    </xf>
    <xf numFmtId="177" fontId="9" fillId="3" borderId="8" xfId="0" applyNumberFormat="1" applyFont="1" applyFill="1" applyBorder="1" applyAlignment="1">
      <alignment horizontal="center" vertical="center"/>
    </xf>
    <xf numFmtId="182" fontId="9" fillId="3" borderId="9" xfId="0" applyNumberFormat="1" applyFont="1" applyFill="1" applyBorder="1" applyAlignment="1">
      <alignment horizontal="center" vertical="center"/>
    </xf>
    <xf numFmtId="182" fontId="9" fillId="4" borderId="5" xfId="0" applyNumberFormat="1" applyFont="1" applyFill="1" applyBorder="1" applyAlignment="1">
      <alignment horizontal="center" vertical="center"/>
    </xf>
    <xf numFmtId="182" fontId="13" fillId="5" borderId="10" xfId="0" applyNumberFormat="1" applyFont="1" applyFill="1" applyBorder="1" applyAlignment="1">
      <alignment horizontal="center" vertical="center"/>
    </xf>
    <xf numFmtId="182" fontId="12" fillId="3" borderId="6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center" vertical="center"/>
    </xf>
    <xf numFmtId="182" fontId="9" fillId="4" borderId="1" xfId="0" applyNumberFormat="1" applyFont="1" applyFill="1" applyBorder="1" applyAlignment="1">
      <alignment horizontal="center" vertical="center"/>
    </xf>
    <xf numFmtId="182" fontId="7" fillId="3" borderId="1" xfId="0" applyNumberFormat="1" applyFont="1" applyFill="1" applyBorder="1" applyAlignment="1">
      <alignment horizontal="center" vertical="center"/>
    </xf>
    <xf numFmtId="182" fontId="7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82" fontId="8" fillId="6" borderId="5" xfId="0" applyNumberFormat="1" applyFont="1" applyFill="1" applyBorder="1" applyAlignment="1">
      <alignment horizontal="center" vertical="center"/>
    </xf>
    <xf numFmtId="182" fontId="8" fillId="6" borderId="11" xfId="0" applyNumberFormat="1" applyFont="1" applyFill="1" applyBorder="1" applyAlignment="1">
      <alignment horizontal="center" vertical="center"/>
    </xf>
    <xf numFmtId="182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9"/>
  <sheetViews>
    <sheetView tabSelected="1" topLeftCell="G1" workbookViewId="0">
      <selection activeCell="T18" sqref="T18"/>
    </sheetView>
  </sheetViews>
  <sheetFormatPr defaultColWidth="9" defaultRowHeight="13.5"/>
  <cols>
    <col min="3" max="3" width="14.125"/>
    <col min="8" max="8" width="11.5"/>
    <col min="9" max="9" width="13.5" customWidth="1"/>
    <col min="10" max="10" width="11.5"/>
    <col min="12" max="12" width="12.875"/>
    <col min="13" max="13" width="13.625" customWidth="1"/>
    <col min="14" max="14" width="16.75" customWidth="1"/>
    <col min="15" max="15" width="13.625" customWidth="1"/>
    <col min="16" max="17" width="10.125"/>
    <col min="18" max="18" width="9.125"/>
    <col min="20" max="20" width="15.75" customWidth="1"/>
    <col min="21" max="21" width="11.875" style="2" customWidth="1"/>
    <col min="22" max="22" width="9" style="3" customWidth="1"/>
    <col min="23" max="23" width="12.625"/>
    <col min="24" max="24" width="12.625" customWidth="1"/>
    <col min="25" max="25" width="14.375" customWidth="1"/>
  </cols>
  <sheetData>
    <row r="1" ht="31" customHeight="1" spans="1:3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6"/>
      <c r="V1" s="37"/>
      <c r="W1" s="4"/>
      <c r="X1" s="4"/>
      <c r="Y1" s="4"/>
      <c r="Z1" s="4"/>
      <c r="AA1" s="4"/>
      <c r="AB1" s="4"/>
      <c r="AC1" s="4"/>
      <c r="AD1" s="4"/>
    </row>
    <row r="3" s="1" customFormat="1" ht="20" customHeight="1" spans="1:25">
      <c r="A3" s="5" t="s">
        <v>1</v>
      </c>
      <c r="B3" s="6" t="s">
        <v>2</v>
      </c>
      <c r="C3" s="7" t="s">
        <v>3</v>
      </c>
      <c r="D3" s="8" t="s">
        <v>4</v>
      </c>
      <c r="E3" s="8" t="s">
        <v>5</v>
      </c>
      <c r="F3" s="6" t="s">
        <v>6</v>
      </c>
      <c r="G3" s="6" t="s">
        <v>7</v>
      </c>
      <c r="H3" s="6" t="s">
        <v>8</v>
      </c>
      <c r="I3" s="15" t="s">
        <v>9</v>
      </c>
      <c r="J3" s="16"/>
      <c r="K3" s="17"/>
      <c r="L3" s="18"/>
      <c r="M3" s="19" t="s">
        <v>10</v>
      </c>
      <c r="N3" s="20" t="s">
        <v>11</v>
      </c>
      <c r="O3" s="21"/>
      <c r="P3" s="21"/>
      <c r="Q3" s="21"/>
      <c r="R3" s="21"/>
      <c r="S3" s="38" t="s">
        <v>12</v>
      </c>
      <c r="T3" s="39" t="s">
        <v>13</v>
      </c>
      <c r="U3" s="40" t="s">
        <v>14</v>
      </c>
      <c r="V3" s="41"/>
      <c r="W3" s="42"/>
      <c r="X3" s="43" t="s">
        <v>15</v>
      </c>
      <c r="Y3" s="54" t="s">
        <v>16</v>
      </c>
    </row>
    <row r="4" s="1" customFormat="1" ht="20" customHeight="1" spans="1:25">
      <c r="A4" s="5"/>
      <c r="B4" s="6"/>
      <c r="C4" s="7"/>
      <c r="D4" s="8"/>
      <c r="E4" s="8"/>
      <c r="F4" s="6"/>
      <c r="G4" s="6"/>
      <c r="H4" s="6"/>
      <c r="I4" s="22" t="s">
        <v>17</v>
      </c>
      <c r="J4" s="23" t="s">
        <v>18</v>
      </c>
      <c r="K4" s="24" t="s">
        <v>19</v>
      </c>
      <c r="L4" s="25" t="s">
        <v>20</v>
      </c>
      <c r="M4" s="26"/>
      <c r="N4" s="27" t="s">
        <v>21</v>
      </c>
      <c r="O4" s="28" t="s">
        <v>22</v>
      </c>
      <c r="P4" s="28" t="s">
        <v>23</v>
      </c>
      <c r="Q4" s="28" t="s">
        <v>24</v>
      </c>
      <c r="R4" s="28" t="s">
        <v>25</v>
      </c>
      <c r="S4" s="44"/>
      <c r="T4" s="45"/>
      <c r="U4" s="46" t="s">
        <v>26</v>
      </c>
      <c r="V4" s="47" t="s">
        <v>27</v>
      </c>
      <c r="W4" s="48" t="s">
        <v>20</v>
      </c>
      <c r="X4" s="49" t="s">
        <v>28</v>
      </c>
      <c r="Y4" s="55"/>
    </row>
    <row r="5" customFormat="1" ht="27" spans="1:25">
      <c r="A5" s="9" t="s">
        <v>29</v>
      </c>
      <c r="B5" s="10" t="s">
        <v>30</v>
      </c>
      <c r="C5" s="11">
        <v>240604000019</v>
      </c>
      <c r="D5" s="12">
        <v>45448</v>
      </c>
      <c r="E5" s="12" t="s">
        <v>31</v>
      </c>
      <c r="F5" s="10" t="s">
        <v>31</v>
      </c>
      <c r="G5" s="10" t="s">
        <v>32</v>
      </c>
      <c r="H5" s="10">
        <v>169.5</v>
      </c>
      <c r="I5" s="29">
        <v>16340</v>
      </c>
      <c r="J5" s="30"/>
      <c r="K5" s="30"/>
      <c r="L5" s="30">
        <f t="shared" ref="L5:L8" si="0">SUM(I5)</f>
        <v>16340</v>
      </c>
      <c r="M5" s="30">
        <f t="shared" ref="M5:M8" si="1">SUM(L5)</f>
        <v>16340</v>
      </c>
      <c r="N5" s="31" t="s">
        <v>33</v>
      </c>
      <c r="O5" s="32">
        <v>9589</v>
      </c>
      <c r="P5" s="32"/>
      <c r="Q5" s="50">
        <v>58</v>
      </c>
      <c r="R5" s="32"/>
      <c r="S5" s="32"/>
      <c r="T5" s="51">
        <f t="shared" ref="T5:T8" si="2">SUM(O5:S5)</f>
        <v>9647</v>
      </c>
      <c r="U5" s="32"/>
      <c r="V5" s="32"/>
      <c r="W5" s="51">
        <f>SUM(3870+172)</f>
        <v>4042</v>
      </c>
      <c r="X5" s="32">
        <f t="shared" ref="X5:X8" si="3">SUM(T5+W5)</f>
        <v>13689</v>
      </c>
      <c r="Y5" s="32">
        <f t="shared" ref="Y5:Y8" si="4">SUM(M5-X5)</f>
        <v>2651</v>
      </c>
    </row>
    <row r="6" customFormat="1" spans="1:25">
      <c r="A6" s="9" t="s">
        <v>34</v>
      </c>
      <c r="B6" s="10" t="s">
        <v>35</v>
      </c>
      <c r="C6" s="11">
        <v>240606000025</v>
      </c>
      <c r="D6" s="13">
        <v>45456</v>
      </c>
      <c r="E6" s="13" t="s">
        <v>31</v>
      </c>
      <c r="F6" s="10" t="s">
        <v>31</v>
      </c>
      <c r="G6" s="10" t="s">
        <v>32</v>
      </c>
      <c r="H6" s="10">
        <v>90.5</v>
      </c>
      <c r="I6" s="29">
        <v>7964</v>
      </c>
      <c r="J6" s="30"/>
      <c r="K6" s="30"/>
      <c r="L6" s="30">
        <f t="shared" si="0"/>
        <v>7964</v>
      </c>
      <c r="M6" s="30">
        <f t="shared" si="1"/>
        <v>7964</v>
      </c>
      <c r="N6" s="31" t="s">
        <v>36</v>
      </c>
      <c r="O6" s="33">
        <v>4373</v>
      </c>
      <c r="P6" s="33"/>
      <c r="Q6" s="33">
        <v>0</v>
      </c>
      <c r="R6" s="33"/>
      <c r="S6" s="33"/>
      <c r="T6" s="33">
        <f t="shared" si="2"/>
        <v>4373</v>
      </c>
      <c r="U6" s="33"/>
      <c r="V6" s="33"/>
      <c r="W6" s="32">
        <f>SUM(1710+172)</f>
        <v>1882</v>
      </c>
      <c r="X6" s="32">
        <f t="shared" si="3"/>
        <v>6255</v>
      </c>
      <c r="Y6" s="32">
        <f t="shared" si="4"/>
        <v>1709</v>
      </c>
    </row>
    <row r="7" customFormat="1" spans="1:25">
      <c r="A7" s="9" t="s">
        <v>37</v>
      </c>
      <c r="B7" s="10" t="s">
        <v>38</v>
      </c>
      <c r="C7" s="11">
        <v>240607000002</v>
      </c>
      <c r="D7" s="13">
        <v>45458</v>
      </c>
      <c r="E7" s="13" t="s">
        <v>39</v>
      </c>
      <c r="F7" s="10" t="s">
        <v>40</v>
      </c>
      <c r="G7" s="10" t="s">
        <v>41</v>
      </c>
      <c r="H7" s="10">
        <v>1364</v>
      </c>
      <c r="I7" s="29">
        <v>84240</v>
      </c>
      <c r="J7" s="30"/>
      <c r="K7" s="30"/>
      <c r="L7" s="34">
        <f t="shared" si="0"/>
        <v>84240</v>
      </c>
      <c r="M7" s="30">
        <f t="shared" si="1"/>
        <v>84240</v>
      </c>
      <c r="N7" s="31" t="s">
        <v>36</v>
      </c>
      <c r="O7" s="32">
        <v>54238</v>
      </c>
      <c r="P7" s="32"/>
      <c r="Q7" s="32"/>
      <c r="R7" s="32"/>
      <c r="S7" s="32"/>
      <c r="T7" s="51">
        <f t="shared" si="2"/>
        <v>54238</v>
      </c>
      <c r="U7" s="32"/>
      <c r="V7" s="32"/>
      <c r="W7" s="51">
        <v>20165</v>
      </c>
      <c r="X7" s="32">
        <f t="shared" si="3"/>
        <v>74403</v>
      </c>
      <c r="Y7" s="32">
        <f t="shared" si="4"/>
        <v>9837</v>
      </c>
    </row>
    <row r="8" customFormat="1" spans="1:25">
      <c r="A8" s="9" t="s">
        <v>42</v>
      </c>
      <c r="B8" s="10" t="s">
        <v>43</v>
      </c>
      <c r="C8" s="11">
        <v>240626000010</v>
      </c>
      <c r="D8" s="12">
        <v>45472</v>
      </c>
      <c r="E8" s="13" t="s">
        <v>39</v>
      </c>
      <c r="F8" s="10" t="s">
        <v>40</v>
      </c>
      <c r="G8" s="10" t="s">
        <v>44</v>
      </c>
      <c r="H8" s="10">
        <v>213</v>
      </c>
      <c r="I8" s="35">
        <v>18455</v>
      </c>
      <c r="J8" s="30"/>
      <c r="K8" s="30"/>
      <c r="L8" s="30">
        <f t="shared" si="0"/>
        <v>18455</v>
      </c>
      <c r="M8" s="30">
        <f t="shared" si="1"/>
        <v>18455</v>
      </c>
      <c r="N8" s="31" t="s">
        <v>36</v>
      </c>
      <c r="O8" s="32">
        <v>10986</v>
      </c>
      <c r="P8" s="32"/>
      <c r="Q8" s="32">
        <v>350</v>
      </c>
      <c r="R8" s="32"/>
      <c r="S8" s="32"/>
      <c r="T8" s="51">
        <f t="shared" si="2"/>
        <v>11336</v>
      </c>
      <c r="U8" s="32"/>
      <c r="V8" s="32"/>
      <c r="W8" s="51">
        <v>3888</v>
      </c>
      <c r="X8" s="32">
        <f t="shared" si="3"/>
        <v>15224</v>
      </c>
      <c r="Y8" s="32">
        <f t="shared" si="4"/>
        <v>3231</v>
      </c>
    </row>
    <row r="9" spans="1:25">
      <c r="A9" s="14" t="s">
        <v>45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52"/>
      <c r="V9" s="53"/>
      <c r="W9" s="53"/>
      <c r="X9" s="14"/>
      <c r="Y9" s="56">
        <f>SUM(Y5:Y8)</f>
        <v>17428</v>
      </c>
    </row>
  </sheetData>
  <autoFilter xmlns:etc="http://www.wps.cn/officeDocument/2017/etCustomData" ref="A3:Y9" etc:filterBottomFollowUsedRange="0">
    <extLst/>
  </autoFilter>
  <mergeCells count="15">
    <mergeCell ref="A1:Z1"/>
    <mergeCell ref="I3:L3"/>
    <mergeCell ref="U3:W3"/>
    <mergeCell ref="A3:A4"/>
    <mergeCell ref="B3:B4"/>
    <mergeCell ref="C3:C4"/>
    <mergeCell ref="D3:D4"/>
    <mergeCell ref="E3:E4"/>
    <mergeCell ref="F3:F4"/>
    <mergeCell ref="G3:G4"/>
    <mergeCell ref="H3:H4"/>
    <mergeCell ref="M3:M4"/>
    <mergeCell ref="S3:S4"/>
    <mergeCell ref="T3:T4"/>
    <mergeCell ref="Y3:Y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2020-12-22T03:25:00Z</dcterms:created>
  <dcterms:modified xsi:type="dcterms:W3CDTF">2024-09-05T03:23:39Z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56FC7B15CC344A57B35700787C6E07A0</vt:lpwstr>
  </property>
</Properties>
</file>