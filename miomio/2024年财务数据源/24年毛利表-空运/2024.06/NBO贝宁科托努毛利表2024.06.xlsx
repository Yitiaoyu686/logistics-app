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<sst xmlns="http://schemas.openxmlformats.org/spreadsheetml/2006/main" count="36" uniqueCount="35">
  <si>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ＮＢＯ贝宁科托努毛利表（6月）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</si>
  <si>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</si>
  <si>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</si>
  <si>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</si>
  <si>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</si>
  <si>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</si>
  <si>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</si>
  <si>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</si>
  <si>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</si>
  <si>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</si>
  <si>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</si>
  <si>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</si>
  <si>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</si>
  <si>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</si>
  <si>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</si>
  <si>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</si>
  <si>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</si>
  <si>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</si>
  <si>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</si>
  <si>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</si>
  <si>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</si>
  <si>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</si>
  <si>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</si>
  <si>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</si>
  <si>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</si>
  <si>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</si>
  <si>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</si>
  <si>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</si>
  <si>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</si>
  <si>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JOB060377</t>
  </si>
  <si>
    <t>COLL004028</t>
  </si>
  <si>
    <t>ying</t>
  </si>
  <si>
    <t>Kim.</t>
  </si>
  <si>
    <t>冠粤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</si>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</sst>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8" fontId="7" fillId="2" borderId="1" xfId="0" applyNumberFormat="1" applyFont="1" applyFill="1" applyBorder="1">
      <alignment vertical="center"/>
    </xf>
    <xf numFmtId="178" fontId="8" fillId="2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9" fontId="10" fillId="0" borderId="1" xfId="0" applyNumberFormat="1" applyFont="1" applyFill="1" applyBorder="1">
      <alignment vertical="center"/>
    </xf>
    <xf numFmtId="178" fontId="11" fillId="0" borderId="1" xfId="0" applyNumberFormat="1" applyFont="1" applyFill="1" applyBorder="1">
      <alignment vertical="center"/>
    </xf>
    <xf numFmtId="58" fontId="1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179" fontId="12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3" fillId="4" borderId="1" xfId="4" applyNumberFormat="1" applyFont="1" applyFill="1" applyBorder="1" applyAlignment="1">
      <alignment horizontal="center" vertical="center"/>
    </xf>
    <xf numFmtId="179" fontId="13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9" fillId="0" borderId="1" xfId="0" applyNumberFormat="1" applyFont="1" applyBorder="1" applyAlignment="1">
      <alignment horizontal="center" vertical="center"/>
    </xf>
    <xf numFmtId="179" fontId="9" fillId="3" borderId="1" xfId="0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14" fillId="2" borderId="1" xfId="0" applyNumberFormat="1" applyFont="1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5" fillId="4" borderId="7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2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79" fontId="12" fillId="0" borderId="9" xfId="0" applyNumberFormat="1" applyFont="1" applyFill="1" applyBorder="1" applyAlignment="1">
      <alignment horizontal="center" vertical="center"/>
    </xf>
    <xf numFmtId="179" fontId="12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6" fillId="4" borderId="10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2" fillId="3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1"/>
  <sheetViews>
    <sheetView tabSelected="1" workbookViewId="0">
      <pane ySplit="4" topLeftCell="A5" activePane="bottomLeft" state="frozen"/>
      <selection/>
      <selection pane="bottomLeft" activeCell="B5" sqref="$A5:$XFD5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4"/>
      <c r="L2" s="24"/>
      <c r="M2" s="24"/>
      <c r="N2" s="24"/>
      <c r="O2" s="24"/>
      <c r="Q2" s="24"/>
      <c r="R2" s="24" t="s">
        <v>1</v>
      </c>
      <c r="S2" s="24"/>
      <c r="T2" s="24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5"/>
      <c r="J3" s="26"/>
      <c r="K3" s="27"/>
      <c r="L3" s="28" t="s">
        <v>10</v>
      </c>
      <c r="M3" s="29" t="s">
        <v>11</v>
      </c>
      <c r="N3" s="30"/>
      <c r="O3" s="30"/>
      <c r="P3" s="30"/>
      <c r="Q3" s="43"/>
      <c r="R3" s="44" t="s">
        <v>12</v>
      </c>
      <c r="S3" s="45" t="s">
        <v>13</v>
      </c>
      <c r="T3" s="46" t="s">
        <v>14</v>
      </c>
      <c r="U3" s="47"/>
      <c r="V3" s="48"/>
      <c r="W3" s="49" t="s">
        <v>15</v>
      </c>
      <c r="X3" s="50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31" t="s">
        <v>19</v>
      </c>
      <c r="K4" s="32" t="s">
        <v>20</v>
      </c>
      <c r="L4" s="33"/>
      <c r="M4" s="34" t="s">
        <v>21</v>
      </c>
      <c r="N4" s="35" t="s">
        <v>22</v>
      </c>
      <c r="O4" s="35" t="s">
        <v>23</v>
      </c>
      <c r="P4" s="35" t="s">
        <v>24</v>
      </c>
      <c r="Q4" s="35" t="s">
        <v>25</v>
      </c>
      <c r="R4" s="51"/>
      <c r="S4" s="52"/>
      <c r="T4" s="53" t="s">
        <v>26</v>
      </c>
      <c r="U4" s="11" t="s">
        <v>27</v>
      </c>
      <c r="V4" s="54" t="s">
        <v>20</v>
      </c>
      <c r="W4" s="55" t="s">
        <v>28</v>
      </c>
      <c r="X4" s="56"/>
    </row>
    <row r="5" s="1" customFormat="1" customHeight="1" spans="1:24">
      <c r="A5" s="12" t="s">
        <v>29</v>
      </c>
      <c r="B5" s="13" t="s">
        <v>30</v>
      </c>
      <c r="C5" s="14">
        <v>240608000008</v>
      </c>
      <c r="D5" s="15">
        <v>45468</v>
      </c>
      <c r="E5" s="16" t="s">
        <v>31</v>
      </c>
      <c r="F5" s="16" t="s">
        <v>32</v>
      </c>
      <c r="G5" s="16">
        <v>471</v>
      </c>
      <c r="H5" s="17">
        <v>34137.5</v>
      </c>
      <c r="I5" s="36"/>
      <c r="J5" s="36"/>
      <c r="K5" s="36">
        <f>SUM(H5)</f>
        <v>34137.5</v>
      </c>
      <c r="L5" s="36">
        <f>SUM(K5)</f>
        <v>34137.5</v>
      </c>
      <c r="M5" s="37" t="s">
        <v>33</v>
      </c>
      <c r="N5" s="37">
        <v>29326</v>
      </c>
      <c r="O5" s="37"/>
      <c r="P5" s="38">
        <v>68</v>
      </c>
      <c r="Q5" s="37"/>
      <c r="R5" s="37"/>
      <c r="S5" s="37">
        <f>SUM(N5:R5)</f>
        <v>29394</v>
      </c>
      <c r="T5" s="37"/>
      <c r="U5" s="37"/>
      <c r="V5" s="37">
        <v>0</v>
      </c>
      <c r="W5" s="37">
        <f>SUM(S5+V5)</f>
        <v>29394</v>
      </c>
      <c r="X5" s="37">
        <f>SUM(L5-W5)</f>
        <v>4743.5</v>
      </c>
    </row>
    <row r="6" s="1" customFormat="1" customHeight="1" spans="1:24">
      <c r="A6" s="12"/>
      <c r="B6" s="16"/>
      <c r="C6" s="18"/>
      <c r="D6" s="19"/>
      <c r="E6" s="19"/>
      <c r="F6" s="16"/>
      <c r="G6" s="16"/>
      <c r="H6" s="17"/>
      <c r="I6" s="36"/>
      <c r="J6" s="36"/>
      <c r="K6" s="36"/>
      <c r="L6" s="39"/>
      <c r="M6" s="40"/>
      <c r="N6" s="39"/>
      <c r="O6" s="39"/>
      <c r="P6" s="41"/>
      <c r="Q6" s="39"/>
      <c r="R6" s="39"/>
      <c r="S6" s="39"/>
      <c r="T6" s="39"/>
      <c r="U6" s="39"/>
      <c r="V6" s="39"/>
      <c r="W6" s="39"/>
      <c r="X6" s="39"/>
    </row>
    <row r="7" s="2" customFormat="1" ht="20" customHeight="1" spans="1:24">
      <c r="A7" s="20" t="s">
        <v>34</v>
      </c>
      <c r="B7" s="20"/>
      <c r="C7" s="21"/>
      <c r="D7" s="22"/>
      <c r="E7" s="22"/>
      <c r="F7" s="21"/>
      <c r="G7" s="21"/>
      <c r="H7" s="23">
        <f>SUM(H6:H6)</f>
        <v>0</v>
      </c>
      <c r="I7" s="23"/>
      <c r="J7" s="23"/>
      <c r="K7" s="23">
        <f t="shared" ref="I7:X7" si="0">SUM(K6:K6)</f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si="0"/>
        <v>0</v>
      </c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 t="shared" si="0"/>
        <v>0</v>
      </c>
      <c r="X7" s="23">
        <f>SUM(X6:X6)</f>
        <v>0</v>
      </c>
    </row>
    <row r="8" ht="14" customHeight="1"/>
    <row r="9" ht="14" customHeight="1" spans="11:17">
      <c r="K9" s="42"/>
      <c r="L9" s="42"/>
      <c r="M9" s="42"/>
      <c r="N9" s="42"/>
      <c r="O9" s="42"/>
      <c r="P9" s="42"/>
      <c r="Q9" s="42"/>
    </row>
    <row r="10" ht="14" customHeight="1"/>
    <row r="11" ht="14" customHeight="1"/>
  </sheetData>
  <autoFilter xmlns:etc="http://www.wps.cn/officeDocument/2017/etCustomData" ref="B3:T7" etc:filterBottomFollowUsedRange="0">
    <extLst/>
  </autoFilter>
  <mergeCells count="16">
    <mergeCell ref="B1:T1"/>
    <mergeCell ref="H3:K3"/>
    <mergeCell ref="M3:Q3"/>
    <mergeCell ref="T3:V3"/>
    <mergeCell ref="A7:B7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2024-08-28T03:36:44Z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