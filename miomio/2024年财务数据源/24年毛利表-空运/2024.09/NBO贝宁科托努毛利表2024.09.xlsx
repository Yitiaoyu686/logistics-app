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毛利表2023!$B$3:$T$11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<sst xmlns="http://schemas.openxmlformats.org/spreadsheetml/2006/main" count="50" uniqueCount="40">
  <si>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ＮＢＯ贝宁科托努毛利表（9月）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</si>
  <si>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</si>
  <si>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</si>
  <si>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</si>
  <si>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</si>
  <si>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</si>
  <si>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</si>
  <si>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</si>
  <si>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</si>
  <si>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</si>
  <si>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</si>
  <si>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</si>
  <si>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</si>
  <si>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</si>
  <si>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</si>
  <si>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</si>
  <si>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</si>
  <si>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</si>
  <si>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</si>
  <si>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</si>
  <si>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</si>
  <si>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</si>
  <si>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</si>
  <si>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</si>
  <si>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</si>
  <si>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</si>
  <si>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</si>
  <si>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</si>
  <si>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</si>
  <si>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JOB090352</t>
  </si>
  <si>
    <t>COLL004144</t>
  </si>
  <si>
    <t>ying</t>
  </si>
  <si>
    <t>Kim.</t>
  </si>
  <si>
    <t>冠粤</t>
  </si>
  <si>
    <t>JOB090382</t>
  </si>
  <si>
    <t>COLL004174</t>
  </si>
  <si>
    <t>JOB090390</t>
  </si>
  <si>
    <t>COLL004184</t>
  </si>
  <si>
    <t>Simon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</si>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</sst>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Microsoft JhengHei"/>
      <charset val="134"/>
    </font>
    <font>
      <sz val="10"/>
      <color rgb="FFFF0000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theme="1"/>
      <name val="Microsoft JhengHei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Fill="1" applyBorder="1">
      <alignment vertical="center"/>
    </xf>
    <xf numFmtId="58" fontId="1" fillId="0" borderId="1" xfId="0" applyNumberFormat="1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2" fillId="4" borderId="1" xfId="4" applyNumberFormat="1" applyFont="1" applyFill="1" applyBorder="1" applyAlignment="1">
      <alignment horizontal="center" vertical="center"/>
    </xf>
    <xf numFmtId="179" fontId="12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13" fillId="0" borderId="1" xfId="0" applyNumberFormat="1" applyFont="1" applyBorder="1" applyAlignment="1">
      <alignment horizontal="center" vertical="center"/>
    </xf>
    <xf numFmtId="179" fontId="13" fillId="3" borderId="1" xfId="0" applyNumberFormat="1" applyFont="1" applyFill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179" fontId="7" fillId="3" borderId="5" xfId="0" applyNumberFormat="1" applyFont="1" applyFill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center" vertical="center"/>
    </xf>
    <xf numFmtId="179" fontId="7" fillId="3" borderId="7" xfId="0" applyNumberFormat="1" applyFont="1" applyFill="1" applyBorder="1" applyAlignment="1">
      <alignment horizontal="center" vertical="center"/>
    </xf>
    <xf numFmtId="179" fontId="7" fillId="3" borderId="1" xfId="0" applyNumberFormat="1" applyFont="1" applyFill="1" applyBorder="1" applyAlignment="1">
      <alignment vertical="center"/>
    </xf>
    <xf numFmtId="179" fontId="0" fillId="0" borderId="1" xfId="0" applyNumberFormat="1" applyBorder="1" applyAlignment="1">
      <alignment horizontal="center" vertical="center"/>
    </xf>
    <xf numFmtId="179" fontId="14" fillId="2" borderId="1" xfId="0" applyNumberFormat="1" applyFon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5" fillId="4" borderId="8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1" fillId="3" borderId="8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79" fontId="11" fillId="0" borderId="10" xfId="0" applyNumberFormat="1" applyFont="1" applyFill="1" applyBorder="1" applyAlignment="1">
      <alignment horizontal="center" vertical="center"/>
    </xf>
    <xf numFmtId="179" fontId="11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6" fillId="4" borderId="11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1" fillId="3" borderId="1" xfId="0" applyNumberFormat="1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79" fontId="11" fillId="5" borderId="1" xfId="0" applyNumberFormat="1" applyFont="1" applyFill="1" applyBorder="1" applyAlignment="1">
      <alignment horizontal="center" vertical="center"/>
    </xf>
    <xf numFmtId="8" fontId="3" fillId="6" borderId="7" xfId="0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5"/>
  <sheetViews>
    <sheetView tabSelected="1" workbookViewId="0">
      <pane ySplit="4" topLeftCell="A5" activePane="bottomLeft" state="frozen"/>
      <selection/>
      <selection pane="bottomLeft" activeCell="X11" sqref="X11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4"/>
      <c r="L2" s="24"/>
      <c r="M2" s="24"/>
      <c r="N2" s="24"/>
      <c r="O2" s="24"/>
      <c r="Q2" s="24"/>
      <c r="R2" s="24" t="s">
        <v>1</v>
      </c>
      <c r="S2" s="24"/>
      <c r="T2" s="24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5"/>
      <c r="J3" s="26"/>
      <c r="K3" s="27"/>
      <c r="L3" s="28" t="s">
        <v>10</v>
      </c>
      <c r="M3" s="29" t="s">
        <v>11</v>
      </c>
      <c r="N3" s="30"/>
      <c r="O3" s="30"/>
      <c r="P3" s="30"/>
      <c r="Q3" s="48"/>
      <c r="R3" s="49" t="s">
        <v>12</v>
      </c>
      <c r="S3" s="50" t="s">
        <v>13</v>
      </c>
      <c r="T3" s="51" t="s">
        <v>14</v>
      </c>
      <c r="U3" s="52"/>
      <c r="V3" s="53"/>
      <c r="W3" s="54" t="s">
        <v>15</v>
      </c>
      <c r="X3" s="55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31" t="s">
        <v>19</v>
      </c>
      <c r="K4" s="32" t="s">
        <v>20</v>
      </c>
      <c r="L4" s="33"/>
      <c r="M4" s="34" t="s">
        <v>21</v>
      </c>
      <c r="N4" s="35" t="s">
        <v>22</v>
      </c>
      <c r="O4" s="35" t="s">
        <v>23</v>
      </c>
      <c r="P4" s="35" t="s">
        <v>24</v>
      </c>
      <c r="Q4" s="35" t="s">
        <v>25</v>
      </c>
      <c r="R4" s="56"/>
      <c r="S4" s="57"/>
      <c r="T4" s="58" t="s">
        <v>26</v>
      </c>
      <c r="U4" s="11" t="s">
        <v>27</v>
      </c>
      <c r="V4" s="59" t="s">
        <v>20</v>
      </c>
      <c r="W4" s="60" t="s">
        <v>28</v>
      </c>
      <c r="X4" s="61"/>
    </row>
    <row r="5" s="1" customFormat="1" customHeight="1" spans="1:24">
      <c r="A5" s="12" t="s">
        <v>29</v>
      </c>
      <c r="B5" s="13" t="s">
        <v>30</v>
      </c>
      <c r="C5" s="14">
        <v>240823000004</v>
      </c>
      <c r="D5" s="15">
        <v>45539</v>
      </c>
      <c r="E5" s="13" t="s">
        <v>31</v>
      </c>
      <c r="F5" s="13" t="s">
        <v>32</v>
      </c>
      <c r="G5" s="13">
        <v>19.5</v>
      </c>
      <c r="H5" s="16">
        <v>2242.5</v>
      </c>
      <c r="I5" s="36"/>
      <c r="J5" s="36"/>
      <c r="K5" s="36">
        <f t="shared" ref="K5:K9" si="0">SUM(H5)</f>
        <v>2242.5</v>
      </c>
      <c r="L5" s="37">
        <f>SUM(K5)</f>
        <v>2242.5</v>
      </c>
      <c r="M5" s="37" t="s">
        <v>33</v>
      </c>
      <c r="N5" s="37">
        <v>1746</v>
      </c>
      <c r="O5" s="37"/>
      <c r="P5" s="38">
        <v>36</v>
      </c>
      <c r="Q5" s="37"/>
      <c r="R5" s="37"/>
      <c r="S5" s="37">
        <f>SUM(N5:R5)</f>
        <v>1782</v>
      </c>
      <c r="T5" s="37"/>
      <c r="U5" s="37"/>
      <c r="V5" s="37">
        <v>0</v>
      </c>
      <c r="W5" s="37">
        <f t="shared" ref="W5:W8" si="1">SUM(S5+V5)</f>
        <v>1782</v>
      </c>
      <c r="X5" s="37">
        <f t="shared" ref="X5:X8" si="2">SUM(L5-W5)</f>
        <v>460.5</v>
      </c>
    </row>
    <row r="6" s="1" customFormat="1" customHeight="1" spans="1:24">
      <c r="A6" s="12" t="s">
        <v>34</v>
      </c>
      <c r="B6" s="13" t="s">
        <v>35</v>
      </c>
      <c r="C6" s="14">
        <v>240828000055</v>
      </c>
      <c r="D6" s="17">
        <v>45559</v>
      </c>
      <c r="E6" s="13" t="s">
        <v>31</v>
      </c>
      <c r="F6" s="13" t="s">
        <v>32</v>
      </c>
      <c r="G6" s="13">
        <v>28</v>
      </c>
      <c r="H6" s="16">
        <v>3080</v>
      </c>
      <c r="I6" s="36"/>
      <c r="J6" s="36"/>
      <c r="K6" s="36">
        <f t="shared" si="0"/>
        <v>3080</v>
      </c>
      <c r="L6" s="39">
        <f>SUM(K6:K7)</f>
        <v>4345</v>
      </c>
      <c r="M6" s="39" t="s">
        <v>33</v>
      </c>
      <c r="N6" s="39">
        <v>2424.2</v>
      </c>
      <c r="O6" s="39"/>
      <c r="P6" s="40">
        <f>SUM(31+34)</f>
        <v>65</v>
      </c>
      <c r="Q6" s="39"/>
      <c r="R6" s="39"/>
      <c r="S6" s="39">
        <f>SUM(N6:R7)</f>
        <v>2489.2</v>
      </c>
      <c r="T6" s="39"/>
      <c r="U6" s="39"/>
      <c r="V6" s="39">
        <v>0</v>
      </c>
      <c r="W6" s="39">
        <f t="shared" si="1"/>
        <v>2489.2</v>
      </c>
      <c r="X6" s="39">
        <f t="shared" si="2"/>
        <v>1855.8</v>
      </c>
    </row>
    <row r="7" s="1" customFormat="1" customHeight="1" spans="1:24">
      <c r="A7" s="12"/>
      <c r="B7" s="13"/>
      <c r="C7" s="14">
        <v>240905000016</v>
      </c>
      <c r="D7" s="17">
        <v>45559</v>
      </c>
      <c r="E7" s="13" t="s">
        <v>31</v>
      </c>
      <c r="F7" s="13" t="s">
        <v>32</v>
      </c>
      <c r="G7" s="13">
        <v>11.5</v>
      </c>
      <c r="H7" s="16">
        <v>1265</v>
      </c>
      <c r="I7" s="36"/>
      <c r="J7" s="36"/>
      <c r="K7" s="36">
        <f t="shared" si="0"/>
        <v>1265</v>
      </c>
      <c r="L7" s="41"/>
      <c r="M7" s="41"/>
      <c r="N7" s="41"/>
      <c r="O7" s="41"/>
      <c r="P7" s="42"/>
      <c r="Q7" s="41"/>
      <c r="R7" s="41"/>
      <c r="S7" s="41"/>
      <c r="T7" s="41"/>
      <c r="U7" s="41"/>
      <c r="V7" s="41"/>
      <c r="W7" s="41"/>
      <c r="X7" s="41"/>
    </row>
    <row r="8" s="1" customFormat="1" customHeight="1" spans="1:24">
      <c r="A8" s="12" t="s">
        <v>36</v>
      </c>
      <c r="B8" s="13" t="s">
        <v>37</v>
      </c>
      <c r="C8" s="14">
        <v>240827000009</v>
      </c>
      <c r="D8" s="18">
        <v>45564</v>
      </c>
      <c r="E8" s="13" t="s">
        <v>31</v>
      </c>
      <c r="F8" s="13" t="s">
        <v>32</v>
      </c>
      <c r="G8" s="13">
        <v>182</v>
      </c>
      <c r="H8" s="16">
        <v>14000</v>
      </c>
      <c r="I8" s="36"/>
      <c r="J8" s="36"/>
      <c r="K8" s="36">
        <f t="shared" si="0"/>
        <v>14000</v>
      </c>
      <c r="L8" s="39">
        <f>SUM(K8:K9)</f>
        <v>16042</v>
      </c>
      <c r="M8" s="39" t="s">
        <v>33</v>
      </c>
      <c r="N8" s="39">
        <v>12902.2</v>
      </c>
      <c r="O8" s="39"/>
      <c r="P8" s="43">
        <v>26</v>
      </c>
      <c r="Q8" s="62">
        <f>SUM(60+400)</f>
        <v>460</v>
      </c>
      <c r="R8" s="39"/>
      <c r="S8" s="39">
        <f>SUM(N8:R9)</f>
        <v>13419.2</v>
      </c>
      <c r="T8" s="39"/>
      <c r="U8" s="39"/>
      <c r="V8" s="39">
        <v>0</v>
      </c>
      <c r="W8" s="39">
        <f t="shared" si="1"/>
        <v>13419.2</v>
      </c>
      <c r="X8" s="39">
        <f t="shared" si="2"/>
        <v>2622.8</v>
      </c>
    </row>
    <row r="9" s="1" customFormat="1" customHeight="1" spans="1:24">
      <c r="A9" s="12"/>
      <c r="B9" s="13"/>
      <c r="C9" s="14">
        <v>240829000026</v>
      </c>
      <c r="D9" s="18">
        <v>45564</v>
      </c>
      <c r="E9" s="13" t="s">
        <v>31</v>
      </c>
      <c r="F9" s="13" t="s">
        <v>38</v>
      </c>
      <c r="G9" s="13">
        <v>26</v>
      </c>
      <c r="H9" s="16">
        <v>2042</v>
      </c>
      <c r="I9" s="36"/>
      <c r="J9" s="36"/>
      <c r="K9" s="36">
        <f t="shared" si="0"/>
        <v>2042</v>
      </c>
      <c r="L9" s="41"/>
      <c r="M9" s="41"/>
      <c r="N9" s="41"/>
      <c r="O9" s="41"/>
      <c r="P9" s="43">
        <v>31</v>
      </c>
      <c r="Q9" s="62"/>
      <c r="R9" s="41"/>
      <c r="S9" s="41"/>
      <c r="T9" s="41"/>
      <c r="U9" s="41"/>
      <c r="V9" s="41"/>
      <c r="W9" s="41"/>
      <c r="X9" s="41"/>
    </row>
    <row r="10" s="1" customFormat="1" customHeight="1" spans="1:24">
      <c r="A10" s="12"/>
      <c r="B10" s="13"/>
      <c r="C10" s="19"/>
      <c r="D10" s="18"/>
      <c r="E10" s="18"/>
      <c r="F10" s="13"/>
      <c r="G10" s="13"/>
      <c r="H10" s="16"/>
      <c r="I10" s="36"/>
      <c r="J10" s="36"/>
      <c r="K10" s="36"/>
      <c r="L10" s="44"/>
      <c r="M10" s="45"/>
      <c r="N10" s="44"/>
      <c r="O10" s="44"/>
      <c r="P10" s="46"/>
      <c r="Q10" s="44"/>
      <c r="R10" s="44"/>
      <c r="S10" s="44"/>
      <c r="T10" s="44"/>
      <c r="U10" s="44"/>
      <c r="V10" s="44"/>
      <c r="W10" s="44"/>
      <c r="X10" s="44"/>
    </row>
    <row r="11" s="2" customFormat="1" ht="20" customHeight="1" spans="1:24">
      <c r="A11" s="20" t="s">
        <v>39</v>
      </c>
      <c r="B11" s="20"/>
      <c r="C11" s="21"/>
      <c r="D11" s="22"/>
      <c r="E11" s="22"/>
      <c r="F11" s="21"/>
      <c r="G11" s="21"/>
      <c r="H11" s="23">
        <f>SUM(H10:H10)</f>
        <v>0</v>
      </c>
      <c r="I11" s="23"/>
      <c r="J11" s="23"/>
      <c r="K11" s="23">
        <f t="shared" ref="I11:X11" si="3">SUM(K10:K10)</f>
        <v>0</v>
      </c>
      <c r="L11" s="23">
        <f t="shared" si="3"/>
        <v>0</v>
      </c>
      <c r="M11" s="23">
        <f t="shared" si="3"/>
        <v>0</v>
      </c>
      <c r="N11" s="23">
        <f t="shared" si="3"/>
        <v>0</v>
      </c>
      <c r="O11" s="23">
        <f t="shared" si="3"/>
        <v>0</v>
      </c>
      <c r="P11" s="23">
        <f t="shared" si="3"/>
        <v>0</v>
      </c>
      <c r="Q11" s="23">
        <f t="shared" si="3"/>
        <v>0</v>
      </c>
      <c r="R11" s="23">
        <f t="shared" si="3"/>
        <v>0</v>
      </c>
      <c r="S11" s="23">
        <f t="shared" si="3"/>
        <v>0</v>
      </c>
      <c r="T11" s="23">
        <f t="shared" si="3"/>
        <v>0</v>
      </c>
      <c r="U11" s="23">
        <f t="shared" si="3"/>
        <v>0</v>
      </c>
      <c r="V11" s="23">
        <f t="shared" si="3"/>
        <v>0</v>
      </c>
      <c r="W11" s="23">
        <f t="shared" si="3"/>
        <v>0</v>
      </c>
      <c r="X11" s="23">
        <f>SUM(X5:X10)</f>
        <v>4939.1</v>
      </c>
    </row>
    <row r="12" ht="14" customHeight="1"/>
    <row r="13" ht="14" customHeight="1" spans="11:17">
      <c r="K13" s="47"/>
      <c r="L13" s="47"/>
      <c r="M13" s="47"/>
      <c r="N13" s="47"/>
      <c r="O13" s="47"/>
      <c r="P13" s="47"/>
      <c r="Q13" s="47"/>
    </row>
    <row r="14" ht="14" customHeight="1"/>
    <row r="15" ht="14" customHeight="1"/>
  </sheetData>
  <autoFilter xmlns:etc="http://www.wps.cn/officeDocument/2017/etCustomData" ref="B3:T11" etc:filterBottomFollowUsedRange="0">
    <extLst/>
  </autoFilter>
  <mergeCells count="44">
    <mergeCell ref="B1:T1"/>
    <mergeCell ref="H3:K3"/>
    <mergeCell ref="M3:Q3"/>
    <mergeCell ref="T3:V3"/>
    <mergeCell ref="A11:B11"/>
    <mergeCell ref="A3:A4"/>
    <mergeCell ref="A6:A7"/>
    <mergeCell ref="A8:A9"/>
    <mergeCell ref="B3:B4"/>
    <mergeCell ref="B6:B7"/>
    <mergeCell ref="B8:B9"/>
    <mergeCell ref="C3:C4"/>
    <mergeCell ref="D3:D4"/>
    <mergeCell ref="E3:E4"/>
    <mergeCell ref="F3:F4"/>
    <mergeCell ref="G3:G4"/>
    <mergeCell ref="L3:L4"/>
    <mergeCell ref="L6:L7"/>
    <mergeCell ref="L8:L9"/>
    <mergeCell ref="M6:M7"/>
    <mergeCell ref="M8:M9"/>
    <mergeCell ref="N6:N7"/>
    <mergeCell ref="N8:N9"/>
    <mergeCell ref="O6:O7"/>
    <mergeCell ref="O8:O9"/>
    <mergeCell ref="P6:P7"/>
    <mergeCell ref="Q6:Q7"/>
    <mergeCell ref="R3:R4"/>
    <mergeCell ref="R6:R7"/>
    <mergeCell ref="R8:R9"/>
    <mergeCell ref="S3:S4"/>
    <mergeCell ref="S6:S7"/>
    <mergeCell ref="S8:S9"/>
    <mergeCell ref="T6:T7"/>
    <mergeCell ref="T8:T9"/>
    <mergeCell ref="U6:U7"/>
    <mergeCell ref="U8:U9"/>
    <mergeCell ref="V6:V7"/>
    <mergeCell ref="V8:V9"/>
    <mergeCell ref="W6:W7"/>
    <mergeCell ref="W8:W9"/>
    <mergeCell ref="X3:X4"/>
    <mergeCell ref="X6:X7"/>
    <mergeCell ref="X8:X9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2025-01-07T09:48:13Z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