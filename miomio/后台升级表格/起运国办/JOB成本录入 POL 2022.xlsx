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成本列表" sheetId="1" r:id="rId1"/>
    <sheet name="录入 收起" sheetId="2" r:id="rId2"/>
    <sheet name="录入 展开" sheetId="3" r:id="rId3"/>
    <sheet name="查看" sheetId="4" r:id="rId4"/>
  </sheets>
  <calcPr calcId="144525"/>
</workbook>
</file>

<file path=xl/sharedStrings.xml><?xml version="1.0" encoding="utf-8"?>
<sst xmlns="http://schemas.openxmlformats.org/spreadsheetml/2006/main" count="682" uniqueCount="176">
  <si>
    <t>全部</t>
  </si>
  <si>
    <t>尼日利亚</t>
  </si>
  <si>
    <t>加纳</t>
  </si>
  <si>
    <t>几内亚</t>
  </si>
  <si>
    <t>中国</t>
  </si>
  <si>
    <t>广州</t>
  </si>
  <si>
    <t>深圳</t>
  </si>
  <si>
    <t>上海</t>
  </si>
  <si>
    <t>香港</t>
  </si>
  <si>
    <t>白云区站点</t>
  </si>
  <si>
    <t>海珠区站点</t>
  </si>
  <si>
    <t>广园西站点</t>
  </si>
  <si>
    <t>南方大厦站点</t>
  </si>
  <si>
    <t>2019年</t>
  </si>
  <si>
    <t>2020年</t>
  </si>
  <si>
    <t>2021年</t>
  </si>
  <si>
    <t>2022年</t>
  </si>
  <si>
    <t>2023年</t>
  </si>
  <si>
    <t>2024年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</si>
  <si>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</si>
  <si>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</si>
  <si>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</si>
  <si>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</si>
  <si>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</si>
  <si>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</si>
  <si>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</si>
  <si>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</si>
  <si>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</si>
  <si>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</si>
  <si>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</si>
  <si>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</si>
  <si>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</si>
  <si>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</si>
  <si>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11月</t>
  </si>
  <si>
    <t>12月</t>
  </si>
  <si>
    <t>输入订单号/JOB/提单号/可查询</t>
  </si>
  <si>
    <t>序号</t>
  </si>
  <si>
    <t>站点</t>
  </si>
  <si>
    <t>线路</t>
  </si>
  <si>
    <t>类型</t>
  </si>
  <si>
    <t>承运人</t>
  </si>
  <si>
    <t>提单号</t>
  </si>
  <si>
    <t>起运港</t>
  </si>
  <si>
    <t>目的港</t>
  </si>
  <si>
    <t>重量kg</t>
  </si>
  <si>
    <t>件数</t>
  </si>
  <si>
    <t>应付CNY</t>
  </si>
  <si>
    <t>支付状态</t>
  </si>
  <si>
    <t>审核状态</t>
  </si>
  <si>
    <t>操作</t>
  </si>
  <si>
    <t>更新日期</t>
  </si>
  <si>
    <t>海珠区站点        JOB100156</t>
  </si>
  <si>
    <t>CAN.CHN→LOS.NGN</t>
  </si>
  <si>
    <t>普快</t>
  </si>
  <si>
    <t>ET</t>
  </si>
  <si>
    <t>071-35618004</t>
  </si>
  <si>
    <t>CAN</t>
  </si>
  <si>
    <t>ACC</t>
  </si>
  <si>
    <t>部份支付</t>
  </si>
  <si>
    <t>已审核   CANSAMAO             2019/10/25 23:51:17</t>
  </si>
  <si>
    <t>录入</t>
  </si>
  <si>
    <t>海珠区站点           JOB100157</t>
  </si>
  <si>
    <t>福田区站点JOB100158</t>
  </si>
  <si>
    <t>特快</t>
  </si>
  <si>
    <t>071-35539265</t>
  </si>
  <si>
    <t>已付</t>
  </si>
  <si>
    <t>海珠区站点    JOB100145</t>
  </si>
  <si>
    <t>未付</t>
  </si>
  <si>
    <t>已驳回   CANSAMAO             2019/10/25 23:51:17</t>
  </si>
  <si>
    <t>海珠区站点    JOB100137</t>
  </si>
  <si>
    <t>071-35545580</t>
  </si>
  <si>
    <t>审核中                                  2019/10/25 23:51:17</t>
  </si>
  <si>
    <t>HKG</t>
  </si>
  <si>
    <t>待审核</t>
  </si>
  <si>
    <t>海珠区站点    JOB100159</t>
  </si>
  <si>
    <t>福田区站点     JOB100146</t>
  </si>
  <si>
    <t>LOS</t>
  </si>
  <si>
    <t>海珠区站点    JOB100148</t>
  </si>
  <si>
    <t>福田区站点   JOB100154</t>
  </si>
  <si>
    <t>海珠区站点     JOB100153</t>
  </si>
  <si>
    <t>福田区站点    JOB100156</t>
  </si>
  <si>
    <t>海珠区站点    JOB100136</t>
  </si>
  <si>
    <t>福田区站点    JOB100145</t>
  </si>
  <si>
    <t>福田区站点    JOB100115</t>
  </si>
  <si>
    <t>海珠区站点    JOB100116</t>
  </si>
  <si>
    <t>福田区站点JOB100117</t>
  </si>
  <si>
    <t>海珠区站点JOB100118</t>
  </si>
  <si>
    <t>福田区站点JOB100119</t>
  </si>
  <si>
    <t>海珠区站点JOB100120</t>
  </si>
  <si>
    <t>工单详情</t>
  </si>
  <si>
    <r>
      <rPr>
        <b/>
        <sz val="11"/>
        <color theme="1"/>
        <rFont val="宋体"/>
        <charset val="134"/>
      </rPr>
      <t>服务类型：普快</t>
    </r>
  </si>
  <si>
    <r>
      <rPr>
        <b/>
        <sz val="11"/>
        <color theme="1"/>
        <rFont val="宋体"/>
        <charset val="134"/>
      </rPr>
      <t>提单号：</t>
    </r>
    <r>
      <rPr>
        <b/>
        <sz val="11"/>
        <color theme="1"/>
        <rFont val="Arial"/>
        <charset val="134"/>
      </rPr>
      <t>071-35618004</t>
    </r>
  </si>
  <si>
    <r>
      <rPr>
        <b/>
        <sz val="11"/>
        <color theme="1"/>
        <rFont val="宋体"/>
        <charset val="134"/>
      </rPr>
      <t>承运人：</t>
    </r>
    <r>
      <rPr>
        <b/>
        <sz val="11"/>
        <color theme="1"/>
        <rFont val="Arial"/>
        <charset val="134"/>
      </rPr>
      <t>ET</t>
    </r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</si>
  <si>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</si>
  <si>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提单重量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25,00.00</t>
    </r>
  </si>
  <si>
    <r>
      <rPr>
        <b/>
        <sz val="11"/>
        <color theme="1"/>
        <rFont val="宋体"/>
        <charset val="134"/>
      </rPr>
      <t>订单重量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25,00.00</t>
    </r>
  </si>
  <si>
    <r>
      <rPr>
        <b/>
        <sz val="11"/>
        <color theme="1"/>
        <rFont val="宋体"/>
        <charset val="134"/>
      </rPr>
      <t>起运港：</t>
    </r>
    <r>
      <rPr>
        <b/>
        <sz val="11"/>
        <color theme="1"/>
        <rFont val="Arial"/>
        <charset val="134"/>
      </rPr>
      <t>CAN</t>
    </r>
  </si>
  <si>
    <r>
      <rPr>
        <b/>
        <sz val="11"/>
        <color theme="1"/>
        <rFont val="宋体"/>
        <charset val="134"/>
      </rPr>
      <t>目的港：</t>
    </r>
    <r>
      <rPr>
        <b/>
        <sz val="11"/>
        <color theme="1"/>
        <rFont val="Arial"/>
        <charset val="134"/>
      </rPr>
      <t>LOS</t>
    </r>
  </si>
  <si>
    <r>
      <rPr>
        <sz val="9"/>
        <color theme="1"/>
        <rFont val="宋体"/>
        <charset val="134"/>
      </rPr>
      <t>离库日期：</t>
    </r>
    <r>
      <rPr>
        <sz val="9"/>
        <color theme="1"/>
        <rFont val="Arial"/>
        <charset val="134"/>
      </rPr>
      <t>2019/8/28 15:01:22</t>
    </r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</si>
  <si>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</si>
  <si>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到港日期：</t>
    </r>
    <r>
      <rPr>
        <sz val="9"/>
        <color theme="1"/>
        <rFont val="Arial"/>
        <charset val="134"/>
      </rPr>
      <t>2019/8/28 15:01:22</t>
    </r>
  </si>
  <si>
    <t>JOB</t>
  </si>
  <si>
    <t>订单数量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</si>
  <si>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</si>
  <si>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</si>
  <si>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</si>
  <si>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</si>
  <si>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</si>
  <si>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</si>
  <si>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</si>
  <si>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</si>
  <si>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</si>
  <si>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</si>
  <si>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</si>
  <si>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r>
      <rPr>
        <b/>
        <sz val="11"/>
        <color theme="1"/>
        <rFont val="宋体"/>
        <charset val="134"/>
      </rPr>
      <t xml:space="preserve">预付订单应收 </t>
    </r>
    <r>
      <rPr>
        <b/>
        <sz val="11"/>
        <color rgb="FF0070C0"/>
        <rFont val="宋体"/>
        <charset val="134"/>
      </rPr>
      <t>收起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</si>
  <si>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CNY892,422.00</t>
    </r>
  </si>
  <si>
    <r>
      <rPr>
        <b/>
        <sz val="11"/>
        <color theme="1"/>
        <rFont val="宋体"/>
        <charset val="134"/>
      </rPr>
      <t xml:space="preserve">到付订单应收 </t>
    </r>
    <r>
      <rPr>
        <b/>
        <sz val="11"/>
        <color rgb="FF0070C0"/>
        <rFont val="宋体"/>
        <charset val="134"/>
      </rPr>
      <t xml:space="preserve"> 收起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</si>
  <si>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USD892,422.00</t>
    </r>
  </si>
  <si>
    <t>应付明细</t>
  </si>
  <si>
    <r>
      <rPr>
        <b/>
        <sz val="9"/>
        <color theme="1"/>
        <rFont val="宋体"/>
        <charset val="134"/>
      </rPr>
      <t>序号</t>
    </r>
  </si>
  <si>
    <r>
      <rPr>
        <b/>
        <sz val="9"/>
        <color theme="1"/>
        <rFont val="宋体"/>
        <charset val="134"/>
      </rPr>
      <t xml:space="preserve">供应商 </t>
    </r>
    <r>
      <rPr>
        <b/>
        <sz val="14"/>
        <color rgb="FF0070C0"/>
        <rFont val="宋体"/>
        <charset val="134"/>
      </rPr>
      <t>+</t>
    </r>
    <r>
      <rPr>
        <b/>
        <sz val="9"/>
        <color rgb="FF0070C0"/>
        <rFont val="宋体"/>
        <charset val="134"/>
      </rPr>
      <t>添加</t>
    </r>
  </si>
  <si>
    <t>订单号</t>
  </si>
  <si>
    <t>项目</t>
  </si>
  <si>
    <t>单价CNY</t>
  </si>
  <si>
    <t>数量</t>
  </si>
  <si>
    <t>小计CNY</t>
  </si>
  <si>
    <t>支付途径/日期</t>
  </si>
  <si>
    <t>审核状态/日期</t>
  </si>
  <si>
    <r>
      <rPr>
        <sz val="9"/>
        <color theme="1"/>
        <rFont val="宋体"/>
        <charset val="134"/>
      </rPr>
      <t>中国广东省广州喵喵国际货运代理有限公司深圳分公司</t>
    </r>
    <r>
      <rPr>
        <b/>
        <sz val="9"/>
        <color rgb="FFFF0000"/>
        <rFont val="Arial"/>
        <charset val="134"/>
      </rPr>
      <t xml:space="preserve"> X</t>
    </r>
  </si>
  <si>
    <t>选择</t>
  </si>
  <si>
    <t>无</t>
  </si>
  <si>
    <r>
      <rPr>
        <sz val="9"/>
        <color rgb="FF393939"/>
        <rFont val="宋体"/>
        <charset val="134"/>
      </rPr>
      <t>未付</t>
    </r>
  </si>
  <si>
    <r>
      <rPr>
        <sz val="9"/>
        <color theme="1"/>
        <rFont val="宋体"/>
        <charset val="134"/>
      </rPr>
      <t>中国广东省广州喵喵国际货运代理有限公司深圳分公司</t>
    </r>
    <r>
      <rPr>
        <b/>
        <sz val="9"/>
        <color theme="1"/>
        <rFont val="Arial"/>
        <charset val="134"/>
      </rPr>
      <t xml:space="preserve">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</si>
  <si>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>选择</t>
    </r>
    <r>
      <rPr>
        <b/>
        <sz val="9"/>
        <color rgb="FFFF0000"/>
        <rFont val="Arial"/>
        <charset val="134"/>
      </rPr>
      <t xml:space="preserve"> X</t>
    </r>
  </si>
  <si>
    <r>
      <rPr>
        <sz val="9"/>
        <color theme="1"/>
        <rFont val="宋体"/>
        <charset val="134"/>
      </rPr>
      <t>选择</t>
    </r>
    <r>
      <rPr>
        <sz val="9"/>
        <color theme="1"/>
        <rFont val="Arial"/>
        <charset val="134"/>
      </rPr>
      <t xml:space="preserve"> </t>
    </r>
    <r>
      <rPr>
        <b/>
        <sz val="9"/>
        <color rgb="FFFF0000"/>
        <rFont val="Arial"/>
        <charset val="134"/>
      </rPr>
      <t>X</t>
    </r>
  </si>
  <si>
    <r>
      <rPr>
        <b/>
        <sz val="11"/>
        <color rgb="FFFF0000"/>
        <rFont val="宋体"/>
        <charset val="134"/>
      </rPr>
      <t>应付合计</t>
    </r>
    <r>
      <rPr>
        <b/>
        <sz val="11"/>
        <color rgb="FFFF0000"/>
        <rFont val="Arial"/>
        <charset val="134"/>
      </rPr>
      <t>CNY</t>
    </r>
  </si>
  <si>
    <t>返回 保存 提交财务</t>
  </si>
  <si>
    <t>离库日期2019/8/28 15:01:22</t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</si>
  <si>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</si>
  <si>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</si>
  <si>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</si>
  <si>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</si>
  <si>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</si>
  <si>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</si>
  <si>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</si>
  <si>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t>站点/JOB</t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</si>
  <si>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USD</t>
    </r>
  </si>
  <si>
    <t>Guangzho meow meow International Freight Forwarding Co., Ltd. Shenzhen Branch</t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</si>
  <si>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</si>
  <si>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空运费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</si>
  <si>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15:01:22</t>
    </r>
  </si>
  <si>
    <t>中国广东省广州喵喵国际货运代理有限公司深圳分公司</t>
  </si>
  <si>
    <r>
      <rPr>
        <sz val="9"/>
        <color theme="1"/>
        <rFont val="Microsoft JhengHei"/>
        <charset val="134"/>
      </rPr>
      <t>报关费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</si>
  <si>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15:01:22</t>
    </r>
  </si>
  <si>
    <r>
      <rPr>
        <sz val="9"/>
        <color theme="1"/>
        <rFont val="宋体"/>
        <charset val="134"/>
      </rPr>
      <t>广州喵喵国际货运代理有限公司深圳分公司</t>
    </r>
  </si>
  <si>
    <r>
      <rPr>
        <sz val="9"/>
        <color theme="1"/>
        <rFont val="Microsoft JhengHei"/>
        <charset val="134"/>
      </rPr>
      <t>提货费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</si>
  <si>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15:01:23</t>
    </r>
  </si>
  <si>
    <r>
      <rPr>
        <sz val="9"/>
        <color theme="1"/>
        <rFont val="Microsoft JhengHei"/>
        <charset val="134"/>
      </rPr>
      <t>送货费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</si>
  <si>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15:01:23</t>
    </r>
  </si>
  <si>
    <r>
      <rPr>
        <sz val="9"/>
        <color theme="1"/>
        <rFont val="Microsoft JhengHei"/>
        <charset val="134"/>
      </rPr>
      <t>包装费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</si>
  <si>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15:01:24</t>
    </r>
  </si>
  <si>
    <r>
      <rPr>
        <sz val="9"/>
        <color theme="1"/>
        <rFont val="Microsoft JhengHei"/>
        <charset val="134"/>
      </rPr>
      <t>代垫运费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</si>
  <si>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15:01:24</t>
    </r>
  </si>
  <si>
    <r>
      <rPr>
        <sz val="9"/>
        <color theme="1"/>
        <rFont val="Microsoft JhengHei"/>
        <charset val="134"/>
      </rPr>
      <t>商检费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</si>
  <si>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15:01:25</t>
    </r>
  </si>
  <si>
    <r>
      <rPr>
        <sz val="9"/>
        <color theme="1"/>
        <rFont val="Microsoft JhengHei"/>
        <charset val="134"/>
      </rPr>
      <t>检测费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</si>
  <si>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15:01:25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</si>
  <si>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15:01:26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</si>
  <si>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15:01:26</t>
    </r>
  </si>
  <si>
    <r>
      <rPr>
        <sz val="9"/>
        <color rgb="FF393939"/>
        <rFont val="宋体"/>
        <charset val="134"/>
      </rPr>
      <t>已付</t>
    </r>
  </si>
  <si>
    <r>
      <rPr>
        <sz val="8"/>
        <color rgb="FF393939"/>
        <rFont val="Arial"/>
        <charset val="134"/>
      </rPr>
      <t xml:space="preserve">COMPANY ACC 02765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</si>
  <si>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15:01:27</t>
    </r>
  </si>
  <si>
    <r>
      <rPr>
        <sz val="8"/>
        <color rgb="FF393939"/>
        <rFont val="Arial"/>
        <charset val="134"/>
      </rPr>
      <t xml:space="preserve">WECHAT PAY 02765   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</si>
  <si>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15:01:27</t>
    </r>
  </si>
  <si>
    <t>供应商</t>
  </si>
  <si>
    <r>
      <rPr>
        <b/>
        <sz val="12"/>
        <color theme="0"/>
        <rFont val="宋体"/>
        <charset val="134"/>
      </rPr>
      <t>返回</t>
    </r>
    <r>
      <rPr>
        <b/>
        <sz val="12"/>
        <color theme="0"/>
        <rFont val="Arial"/>
        <charset val="134"/>
      </rPr>
      <t xml:space="preserve"> </t>
    </r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</si>
</sst>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176" formatCode="#,##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7" formatCode="#,##0.00_ "/>
    <numFmt numFmtId="178" formatCode="0_ "/>
    <numFmt numFmtId="7" formatCode="&quot;￥&quot;#,##0.00;&quot;￥&quot;\-#,##0.00"/>
    <numFmt numFmtId="179" formatCode="\$#,##0.00;\-\$#,##0.00"/>
    <numFmt numFmtId="180" formatCode="0.0%"/>
    <numFmt numFmtId="181" formatCode="yyyy/m/d\ h:mm;@"/>
    <numFmt numFmtId="182" formatCode="0.00_ "/>
  </numFmts>
  <fonts count="61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FF0000"/>
      <name val="Arial"/>
      <charset val="134"/>
    </font>
    <font>
      <b/>
      <sz val="11"/>
      <color rgb="FF393939"/>
      <name val="Microsoft JhengHei"/>
      <charset val="134"/>
    </font>
    <font>
      <b/>
      <sz val="11"/>
      <color rgb="FF393939"/>
      <name val="Arial"/>
      <charset val="134"/>
    </font>
    <font>
      <b/>
      <sz val="10"/>
      <color rgb="FFFF0000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b/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b/>
      <sz val="11"/>
      <color rgb="FFFF0000"/>
      <name val="宋体"/>
      <charset val="134"/>
    </font>
    <font>
      <sz val="9"/>
      <color rgb="FF0070C0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8"/>
      <color rgb="FF393939"/>
      <name val="Arial"/>
      <charset val="134"/>
    </font>
    <font>
      <b/>
      <sz val="9"/>
      <color theme="0"/>
      <name val="Arial"/>
      <charset val="134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rgb="FF393939"/>
      <name val="Microsoft JhengHei"/>
      <charset val="134"/>
    </font>
    <font>
      <sz val="9"/>
      <color theme="0"/>
      <name val="Microsoft JhengHei"/>
      <charset val="134"/>
    </font>
    <font>
      <sz val="10"/>
      <color rgb="FF393939"/>
      <name val="Microsoft JhengHei"/>
      <charset val="134"/>
    </font>
    <font>
      <sz val="8"/>
      <color theme="1"/>
      <name val="Microsoft JhengHei"/>
      <charset val="134"/>
    </font>
    <font>
      <sz val="8"/>
      <color theme="0"/>
      <name val="Microsoft JhengHei"/>
      <charset val="134"/>
    </font>
    <font>
      <b/>
      <sz val="18"/>
      <color theme="1"/>
      <name val="Microsoft JhengHei"/>
      <charset val="134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0070C0"/>
      <name val="宋体"/>
      <charset val="134"/>
    </font>
    <font>
      <sz val="8"/>
      <color rgb="FF0070C0"/>
      <name val="宋体"/>
      <charset val="134"/>
    </font>
    <font>
      <b/>
      <sz val="14"/>
      <color rgb="FF0070C0"/>
      <name val="宋体"/>
      <charset val="134"/>
    </font>
    <font>
      <b/>
      <sz val="9"/>
      <color rgb="FF0070C0"/>
      <name val="宋体"/>
      <charset val="134"/>
    </font>
    <font>
      <b/>
      <sz val="9"/>
      <color rgb="FFFF0000"/>
      <name val="Arial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4" fillId="21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27" borderId="11" applyNumberFormat="0" applyFont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1" fillId="0" borderId="12" applyNumberFormat="0" applyFill="0" applyAlignment="0" applyProtection="0">
      <alignment vertical="center"/>
    </xf>
    <xf numFmtId="0" fontId="50" fillId="0" borderId="12" applyNumberFormat="0" applyFill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53" fillId="36" borderId="15" applyNumberFormat="0" applyAlignment="0" applyProtection="0">
      <alignment vertical="center"/>
    </xf>
    <xf numFmtId="0" fontId="54" fillId="36" borderId="10" applyNumberFormat="0" applyAlignment="0" applyProtection="0">
      <alignment vertical="center"/>
    </xf>
    <xf numFmtId="0" fontId="55" fillId="38" borderId="16" applyNumberFormat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</cellStyleXfs>
  <cellXfs count="23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7" fontId="10" fillId="2" borderId="0" xfId="0" applyNumberFormat="1" applyFont="1" applyFill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78" fontId="10" fillId="5" borderId="3" xfId="0" applyNumberFormat="1" applyFont="1" applyFill="1" applyBorder="1" applyAlignment="1">
      <alignment horizontal="center" vertical="center"/>
    </xf>
    <xf numFmtId="178" fontId="10" fillId="5" borderId="0" xfId="0" applyNumberFormat="1" applyFont="1" applyFill="1" applyBorder="1" applyAlignment="1">
      <alignment horizontal="center" vertical="center"/>
    </xf>
    <xf numFmtId="178" fontId="10" fillId="5" borderId="0" xfId="0" applyNumberFormat="1" applyFont="1" applyFill="1" applyAlignment="1">
      <alignment horizontal="center" vertical="center"/>
    </xf>
    <xf numFmtId="178" fontId="11" fillId="5" borderId="3" xfId="0" applyNumberFormat="1" applyFont="1" applyFill="1" applyBorder="1" applyAlignment="1">
      <alignment horizontal="center" vertical="center" wrapText="1"/>
    </xf>
    <xf numFmtId="178" fontId="1" fillId="2" borderId="0" xfId="0" applyNumberFormat="1" applyFont="1" applyFill="1" applyBorder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7" fontId="6" fillId="2" borderId="0" xfId="0" applyNumberFormat="1" applyFont="1" applyFill="1" applyBorder="1" applyAlignment="1">
      <alignment horizontal="center" vertical="center"/>
    </xf>
    <xf numFmtId="178" fontId="10" fillId="5" borderId="3" xfId="0" applyNumberFormat="1" applyFont="1" applyFill="1" applyBorder="1" applyAlignment="1">
      <alignment horizontal="center" vertical="center" wrapText="1"/>
    </xf>
    <xf numFmtId="178" fontId="10" fillId="6" borderId="3" xfId="0" applyNumberFormat="1" applyFont="1" applyFill="1" applyBorder="1" applyAlignment="1">
      <alignment horizontal="center" vertical="center" wrapText="1"/>
    </xf>
    <xf numFmtId="178" fontId="1" fillId="6" borderId="0" xfId="0" applyNumberFormat="1" applyFont="1" applyFill="1" applyBorder="1" applyAlignment="1">
      <alignment horizontal="center" vertical="center"/>
    </xf>
    <xf numFmtId="178" fontId="1" fillId="6" borderId="0" xfId="0" applyNumberFormat="1" applyFont="1" applyFill="1" applyAlignment="1">
      <alignment horizontal="center" vertical="center"/>
    </xf>
    <xf numFmtId="177" fontId="6" fillId="6" borderId="0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7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horizontal="right" vertical="center" wrapText="1"/>
    </xf>
    <xf numFmtId="0" fontId="12" fillId="5" borderId="0" xfId="0" applyFont="1" applyFill="1" applyAlignment="1">
      <alignment horizontal="right" vertical="center" wrapText="1"/>
    </xf>
    <xf numFmtId="0" fontId="1" fillId="6" borderId="3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177" fontId="1" fillId="6" borderId="0" xfId="0" applyNumberFormat="1" applyFont="1" applyFill="1" applyAlignment="1">
      <alignment horizontal="center" vertical="center" wrapText="1"/>
    </xf>
    <xf numFmtId="178" fontId="11" fillId="5" borderId="3" xfId="0" applyNumberFormat="1" applyFont="1" applyFill="1" applyBorder="1" applyAlignment="1">
      <alignment horizontal="center" vertical="center"/>
    </xf>
    <xf numFmtId="178" fontId="11" fillId="5" borderId="0" xfId="0" applyNumberFormat="1" applyFont="1" applyFill="1" applyBorder="1" applyAlignment="1">
      <alignment horizontal="center" vertical="center"/>
    </xf>
    <xf numFmtId="178" fontId="11" fillId="5" borderId="0" xfId="0" applyNumberFormat="1" applyFont="1" applyFill="1" applyAlignment="1">
      <alignment horizontal="center" vertical="center"/>
    </xf>
    <xf numFmtId="179" fontId="10" fillId="5" borderId="0" xfId="0" applyNumberFormat="1" applyFont="1" applyFill="1" applyAlignment="1">
      <alignment horizontal="center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4" fillId="5" borderId="0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78" fontId="11" fillId="6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78" fontId="1" fillId="5" borderId="0" xfId="0" applyNumberFormat="1" applyFont="1" applyFill="1" applyAlignment="1">
      <alignment horizontal="center" vertical="center"/>
    </xf>
    <xf numFmtId="0" fontId="15" fillId="6" borderId="3" xfId="0" applyFont="1" applyFill="1" applyBorder="1" applyAlignment="1">
      <alignment vertical="center"/>
    </xf>
    <xf numFmtId="0" fontId="15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16" fillId="3" borderId="4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1" fillId="6" borderId="0" xfId="0" applyFont="1" applyFill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80" fontId="1" fillId="2" borderId="0" xfId="0" applyNumberFormat="1" applyFont="1" applyFill="1" applyAlignment="1">
      <alignment horizontal="center" vertical="center" wrapText="1"/>
    </xf>
    <xf numFmtId="177" fontId="11" fillId="6" borderId="0" xfId="0" applyNumberFormat="1" applyFont="1" applyFill="1" applyAlignment="1">
      <alignment horizontal="center" vertical="center"/>
    </xf>
    <xf numFmtId="177" fontId="11" fillId="6" borderId="0" xfId="0" applyNumberFormat="1" applyFont="1" applyFill="1" applyBorder="1" applyAlignment="1">
      <alignment horizontal="center" vertical="center"/>
    </xf>
    <xf numFmtId="177" fontId="18" fillId="6" borderId="0" xfId="0" applyNumberFormat="1" applyFont="1" applyFill="1" applyBorder="1" applyAlignment="1">
      <alignment horizontal="center" vertical="center" wrapText="1"/>
    </xf>
    <xf numFmtId="177" fontId="11" fillId="6" borderId="0" xfId="0" applyNumberFormat="1" applyFont="1" applyFill="1" applyBorder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Border="1" applyAlignment="1">
      <alignment horizontal="center" vertical="center"/>
    </xf>
    <xf numFmtId="177" fontId="19" fillId="2" borderId="0" xfId="0" applyNumberFormat="1" applyFont="1" applyFill="1" applyBorder="1" applyAlignment="1">
      <alignment horizontal="center" vertical="center" wrapText="1"/>
    </xf>
    <xf numFmtId="177" fontId="20" fillId="2" borderId="0" xfId="0" applyNumberFormat="1" applyFont="1" applyFill="1" applyAlignment="1">
      <alignment horizontal="center" vertical="center" wrapText="1"/>
    </xf>
    <xf numFmtId="177" fontId="1" fillId="5" borderId="0" xfId="0" applyNumberFormat="1" applyFont="1" applyFill="1" applyAlignment="1">
      <alignment horizontal="center" vertical="center"/>
    </xf>
    <xf numFmtId="177" fontId="1" fillId="5" borderId="0" xfId="0" applyNumberFormat="1" applyFont="1" applyFill="1" applyBorder="1" applyAlignment="1">
      <alignment horizontal="center" vertical="center"/>
    </xf>
    <xf numFmtId="177" fontId="19" fillId="5" borderId="0" xfId="0" applyNumberFormat="1" applyFont="1" applyFill="1" applyBorder="1" applyAlignment="1">
      <alignment horizontal="center" vertical="center" wrapText="1"/>
    </xf>
    <xf numFmtId="177" fontId="19" fillId="5" borderId="0" xfId="0" applyNumberFormat="1" applyFont="1" applyFill="1" applyAlignment="1">
      <alignment horizontal="center" vertical="center" wrapText="1"/>
    </xf>
    <xf numFmtId="177" fontId="19" fillId="2" borderId="0" xfId="0" applyNumberFormat="1" applyFont="1" applyFill="1" applyAlignment="1">
      <alignment horizontal="center" vertical="center" wrapText="1"/>
    </xf>
    <xf numFmtId="177" fontId="21" fillId="6" borderId="0" xfId="0" applyNumberFormat="1" applyFont="1" applyFill="1" applyAlignment="1">
      <alignment vertical="center" wrapText="1"/>
    </xf>
    <xf numFmtId="177" fontId="21" fillId="6" borderId="0" xfId="0" applyNumberFormat="1" applyFont="1" applyFill="1" applyAlignment="1">
      <alignment horizontal="right" vertical="center" wrapText="1"/>
    </xf>
    <xf numFmtId="177" fontId="12" fillId="6" borderId="0" xfId="0" applyNumberFormat="1" applyFont="1" applyFill="1" applyAlignment="1">
      <alignment horizontal="center" vertical="center" wrapText="1"/>
    </xf>
    <xf numFmtId="0" fontId="22" fillId="6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78" fontId="10" fillId="5" borderId="7" xfId="0" applyNumberFormat="1" applyFont="1" applyFill="1" applyBorder="1" applyAlignment="1">
      <alignment horizontal="center" vertical="center"/>
    </xf>
    <xf numFmtId="177" fontId="6" fillId="2" borderId="7" xfId="0" applyNumberFormat="1" applyFont="1" applyFill="1" applyBorder="1" applyAlignment="1">
      <alignment horizontal="center" vertical="center"/>
    </xf>
    <xf numFmtId="177" fontId="6" fillId="6" borderId="7" xfId="0" applyNumberFormat="1" applyFont="1" applyFill="1" applyBorder="1" applyAlignment="1">
      <alignment horizontal="center" vertical="center"/>
    </xf>
    <xf numFmtId="7" fontId="10" fillId="5" borderId="7" xfId="0" applyNumberFormat="1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right" vertical="center" wrapText="1"/>
    </xf>
    <xf numFmtId="0" fontId="1" fillId="6" borderId="7" xfId="0" applyFont="1" applyFill="1" applyBorder="1" applyAlignment="1">
      <alignment vertical="center"/>
    </xf>
    <xf numFmtId="178" fontId="11" fillId="5" borderId="7" xfId="0" applyNumberFormat="1" applyFont="1" applyFill="1" applyBorder="1" applyAlignment="1">
      <alignment horizontal="center" vertical="center"/>
    </xf>
    <xf numFmtId="179" fontId="10" fillId="5" borderId="7" xfId="0" applyNumberFormat="1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left" vertical="center" wrapText="1"/>
    </xf>
    <xf numFmtId="177" fontId="11" fillId="6" borderId="0" xfId="0" applyNumberFormat="1" applyFont="1" applyFill="1" applyAlignment="1">
      <alignment horizontal="center" vertical="center" wrapText="1"/>
    </xf>
    <xf numFmtId="177" fontId="11" fillId="6" borderId="7" xfId="0" applyNumberFormat="1" applyFont="1" applyFill="1" applyBorder="1" applyAlignment="1">
      <alignment horizontal="center" vertical="center" wrapText="1"/>
    </xf>
    <xf numFmtId="181" fontId="20" fillId="2" borderId="0" xfId="0" applyNumberFormat="1" applyFont="1" applyFill="1" applyAlignment="1">
      <alignment horizontal="center" vertical="center" wrapText="1"/>
    </xf>
    <xf numFmtId="181" fontId="19" fillId="2" borderId="0" xfId="0" applyNumberFormat="1" applyFont="1" applyFill="1" applyAlignment="1">
      <alignment horizontal="center" vertical="center" wrapText="1"/>
    </xf>
    <xf numFmtId="177" fontId="23" fillId="2" borderId="0" xfId="0" applyNumberFormat="1" applyFont="1" applyFill="1" applyAlignment="1">
      <alignment horizontal="center" vertical="center" wrapText="1"/>
    </xf>
    <xf numFmtId="177" fontId="24" fillId="2" borderId="7" xfId="0" applyNumberFormat="1" applyFont="1" applyFill="1" applyBorder="1" applyAlignment="1">
      <alignment horizontal="center" vertical="center" wrapText="1"/>
    </xf>
    <xf numFmtId="181" fontId="20" fillId="5" borderId="0" xfId="0" applyNumberFormat="1" applyFont="1" applyFill="1" applyAlignment="1">
      <alignment horizontal="center" vertical="center" wrapText="1"/>
    </xf>
    <xf numFmtId="181" fontId="19" fillId="5" borderId="0" xfId="0" applyNumberFormat="1" applyFont="1" applyFill="1" applyAlignment="1">
      <alignment horizontal="center" vertical="center" wrapText="1"/>
    </xf>
    <xf numFmtId="177" fontId="23" fillId="5" borderId="0" xfId="0" applyNumberFormat="1" applyFont="1" applyFill="1" applyAlignment="1">
      <alignment horizontal="center" vertical="center" wrapText="1"/>
    </xf>
    <xf numFmtId="177" fontId="24" fillId="5" borderId="7" xfId="0" applyNumberFormat="1" applyFont="1" applyFill="1" applyBorder="1" applyAlignment="1">
      <alignment horizontal="center" vertical="center" wrapText="1"/>
    </xf>
    <xf numFmtId="181" fontId="25" fillId="2" borderId="0" xfId="0" applyNumberFormat="1" applyFont="1" applyFill="1" applyAlignment="1">
      <alignment horizontal="center" vertical="center" wrapText="1"/>
    </xf>
    <xf numFmtId="181" fontId="25" fillId="5" borderId="0" xfId="0" applyNumberFormat="1" applyFont="1" applyFill="1" applyAlignment="1">
      <alignment horizontal="center" vertical="center" wrapText="1"/>
    </xf>
    <xf numFmtId="0" fontId="22" fillId="6" borderId="0" xfId="0" applyFont="1" applyFill="1" applyBorder="1" applyAlignment="1">
      <alignment vertical="center"/>
    </xf>
    <xf numFmtId="0" fontId="19" fillId="6" borderId="7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26" fillId="3" borderId="5" xfId="0" applyFont="1" applyFill="1" applyBorder="1" applyAlignment="1">
      <alignment horizontal="center" vertical="center" wrapText="1"/>
    </xf>
    <xf numFmtId="180" fontId="10" fillId="2" borderId="0" xfId="0" applyNumberFormat="1" applyFont="1" applyFill="1" applyAlignment="1">
      <alignment horizontal="center" vertical="center" wrapText="1"/>
    </xf>
    <xf numFmtId="0" fontId="26" fillId="3" borderId="8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" fillId="4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178" fontId="7" fillId="2" borderId="0" xfId="0" applyNumberFormat="1" applyFont="1" applyFill="1" applyAlignment="1">
      <alignment horizontal="center" vertical="center"/>
    </xf>
    <xf numFmtId="178" fontId="7" fillId="5" borderId="0" xfId="0" applyNumberFormat="1" applyFont="1" applyFill="1" applyAlignment="1">
      <alignment horizontal="center" vertical="center"/>
    </xf>
    <xf numFmtId="0" fontId="11" fillId="5" borderId="0" xfId="0" applyFont="1" applyFill="1" applyBorder="1" applyAlignment="1">
      <alignment horizontal="center" vertical="center" wrapText="1"/>
    </xf>
    <xf numFmtId="177" fontId="11" fillId="5" borderId="0" xfId="0" applyNumberFormat="1" applyFont="1" applyFill="1" applyAlignment="1">
      <alignment horizontal="center" vertical="center"/>
    </xf>
    <xf numFmtId="177" fontId="11" fillId="5" borderId="0" xfId="0" applyNumberFormat="1" applyFont="1" applyFill="1" applyBorder="1" applyAlignment="1">
      <alignment horizontal="center" vertical="center"/>
    </xf>
    <xf numFmtId="177" fontId="18" fillId="5" borderId="0" xfId="0" applyNumberFormat="1" applyFont="1" applyFill="1" applyBorder="1" applyAlignment="1">
      <alignment horizontal="center" vertical="center" wrapText="1"/>
    </xf>
    <xf numFmtId="177" fontId="11" fillId="5" borderId="0" xfId="0" applyNumberFormat="1" applyFont="1" applyFill="1" applyBorder="1" applyAlignment="1">
      <alignment horizontal="center" vertical="center" wrapText="1"/>
    </xf>
    <xf numFmtId="177" fontId="7" fillId="5" borderId="0" xfId="0" applyNumberFormat="1" applyFont="1" applyFill="1" applyBorder="1" applyAlignment="1">
      <alignment horizontal="center" vertical="center"/>
    </xf>
    <xf numFmtId="177" fontId="7" fillId="2" borderId="0" xfId="0" applyNumberFormat="1" applyFont="1" applyFill="1" applyBorder="1" applyAlignment="1">
      <alignment horizontal="center" vertical="center"/>
    </xf>
    <xf numFmtId="177" fontId="20" fillId="2" borderId="0" xfId="0" applyNumberFormat="1" applyFont="1" applyFill="1" applyBorder="1" applyAlignment="1">
      <alignment horizontal="center" vertical="center" wrapText="1"/>
    </xf>
    <xf numFmtId="177" fontId="20" fillId="5" borderId="0" xfId="0" applyNumberFormat="1" applyFont="1" applyFill="1" applyBorder="1" applyAlignment="1">
      <alignment horizontal="center" vertical="center" wrapText="1"/>
    </xf>
    <xf numFmtId="177" fontId="7" fillId="5" borderId="0" xfId="0" applyNumberFormat="1" applyFont="1" applyFill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10" fillId="2" borderId="0" xfId="0" applyFont="1" applyFill="1">
      <alignment vertical="center"/>
    </xf>
    <xf numFmtId="0" fontId="14" fillId="2" borderId="7" xfId="0" applyFont="1" applyFill="1" applyBorder="1" applyAlignment="1">
      <alignment horizontal="left" vertical="center" wrapText="1"/>
    </xf>
    <xf numFmtId="177" fontId="11" fillId="5" borderId="0" xfId="0" applyNumberFormat="1" applyFont="1" applyFill="1" applyAlignment="1">
      <alignment horizontal="center" vertical="center" wrapText="1"/>
    </xf>
    <xf numFmtId="177" fontId="11" fillId="5" borderId="7" xfId="0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6" fillId="0" borderId="0" xfId="0" applyFont="1">
      <alignment vertical="center"/>
    </xf>
    <xf numFmtId="0" fontId="27" fillId="0" borderId="0" xfId="0" applyFont="1" applyAlignment="1">
      <alignment vertical="center" wrapText="1"/>
    </xf>
    <xf numFmtId="177" fontId="27" fillId="0" borderId="0" xfId="0" applyNumberFormat="1" applyFont="1">
      <alignment vertical="center"/>
    </xf>
    <xf numFmtId="0" fontId="28" fillId="7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 wrapText="1"/>
    </xf>
    <xf numFmtId="0" fontId="28" fillId="8" borderId="0" xfId="0" applyFont="1" applyFill="1" applyBorder="1" applyAlignment="1">
      <alignment horizontal="center" vertical="center"/>
    </xf>
    <xf numFmtId="0" fontId="28" fillId="3" borderId="0" xfId="0" applyFont="1" applyFill="1" applyBorder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7" fillId="3" borderId="0" xfId="0" applyFont="1" applyFill="1" applyAlignment="1">
      <alignment horizontal="center" vertical="center"/>
    </xf>
    <xf numFmtId="0" fontId="27" fillId="10" borderId="0" xfId="0" applyFont="1" applyFill="1" applyAlignment="1">
      <alignment horizontal="center" vertical="center" wrapText="1"/>
    </xf>
    <xf numFmtId="0" fontId="27" fillId="10" borderId="0" xfId="0" applyFont="1" applyFill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3" borderId="1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/>
    </xf>
    <xf numFmtId="0" fontId="31" fillId="5" borderId="3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32" fillId="11" borderId="3" xfId="0" applyFont="1" applyFill="1" applyBorder="1" applyAlignment="1">
      <alignment horizontal="center" vertical="center"/>
    </xf>
    <xf numFmtId="0" fontId="32" fillId="11" borderId="0" xfId="0" applyFont="1" applyFill="1" applyBorder="1" applyAlignment="1">
      <alignment horizontal="center" vertical="center" wrapText="1"/>
    </xf>
    <xf numFmtId="0" fontId="32" fillId="11" borderId="0" xfId="0" applyFont="1" applyFill="1" applyBorder="1" applyAlignment="1">
      <alignment horizontal="center" vertical="center"/>
    </xf>
    <xf numFmtId="0" fontId="31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0" fontId="31" fillId="5" borderId="0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/>
    </xf>
    <xf numFmtId="0" fontId="33" fillId="3" borderId="5" xfId="0" applyFont="1" applyFill="1" applyBorder="1" applyAlignment="1">
      <alignment horizontal="center" vertical="center" wrapText="1"/>
    </xf>
    <xf numFmtId="0" fontId="33" fillId="3" borderId="5" xfId="0" applyFont="1" applyFill="1" applyBorder="1" applyAlignment="1">
      <alignment horizontal="center" vertical="center"/>
    </xf>
    <xf numFmtId="177" fontId="29" fillId="0" borderId="0" xfId="0" applyNumberFormat="1" applyFont="1" applyAlignment="1">
      <alignment horizontal="center" vertical="center"/>
    </xf>
    <xf numFmtId="177" fontId="27" fillId="0" borderId="0" xfId="0" applyNumberFormat="1" applyFont="1" applyAlignment="1">
      <alignment vertical="center"/>
    </xf>
    <xf numFmtId="177" fontId="30" fillId="3" borderId="2" xfId="0" applyNumberFormat="1" applyFont="1" applyFill="1" applyBorder="1" applyAlignment="1">
      <alignment horizontal="center" vertical="center"/>
    </xf>
    <xf numFmtId="0" fontId="30" fillId="3" borderId="6" xfId="0" applyFont="1" applyFill="1" applyBorder="1" applyAlignment="1">
      <alignment horizontal="center" vertical="center"/>
    </xf>
    <xf numFmtId="182" fontId="31" fillId="5" borderId="0" xfId="0" applyNumberFormat="1" applyFont="1" applyFill="1" applyAlignment="1">
      <alignment horizontal="center" vertical="center"/>
    </xf>
    <xf numFmtId="177" fontId="31" fillId="5" borderId="0" xfId="0" applyNumberFormat="1" applyFont="1" applyFill="1" applyAlignment="1">
      <alignment horizontal="center" vertical="center"/>
    </xf>
    <xf numFmtId="4" fontId="31" fillId="5" borderId="0" xfId="0" applyNumberFormat="1" applyFont="1" applyFill="1" applyAlignment="1">
      <alignment horizontal="center" vertical="center"/>
    </xf>
    <xf numFmtId="0" fontId="34" fillId="5" borderId="0" xfId="0" applyFont="1" applyFill="1" applyAlignment="1">
      <alignment horizontal="center" vertical="center" wrapText="1"/>
    </xf>
    <xf numFmtId="22" fontId="6" fillId="5" borderId="7" xfId="0" applyNumberFormat="1" applyFont="1" applyFill="1" applyBorder="1" applyAlignment="1">
      <alignment horizontal="center" vertical="center"/>
    </xf>
    <xf numFmtId="182" fontId="32" fillId="11" borderId="0" xfId="0" applyNumberFormat="1" applyFont="1" applyFill="1" applyBorder="1" applyAlignment="1">
      <alignment horizontal="center" vertical="center"/>
    </xf>
    <xf numFmtId="177" fontId="32" fillId="11" borderId="0" xfId="0" applyNumberFormat="1" applyFont="1" applyFill="1" applyBorder="1" applyAlignment="1">
      <alignment horizontal="center" vertical="center"/>
    </xf>
    <xf numFmtId="4" fontId="32" fillId="11" borderId="0" xfId="0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 vertical="center" wrapText="1"/>
    </xf>
    <xf numFmtId="22" fontId="32" fillId="11" borderId="7" xfId="0" applyNumberFormat="1" applyFont="1" applyFill="1" applyBorder="1" applyAlignment="1">
      <alignment horizontal="center" vertical="center"/>
    </xf>
    <xf numFmtId="182" fontId="31" fillId="5" borderId="0" xfId="0" applyNumberFormat="1" applyFont="1" applyFill="1" applyBorder="1" applyAlignment="1">
      <alignment horizontal="center" vertical="center"/>
    </xf>
    <xf numFmtId="177" fontId="31" fillId="5" borderId="0" xfId="0" applyNumberFormat="1" applyFont="1" applyFill="1" applyBorder="1" applyAlignment="1">
      <alignment horizontal="center" vertical="center"/>
    </xf>
    <xf numFmtId="0" fontId="34" fillId="5" borderId="0" xfId="0" applyFont="1" applyFill="1" applyBorder="1" applyAlignment="1">
      <alignment horizontal="center" vertical="center" wrapText="1"/>
    </xf>
    <xf numFmtId="182" fontId="31" fillId="2" borderId="0" xfId="0" applyNumberFormat="1" applyFont="1" applyFill="1" applyBorder="1" applyAlignment="1">
      <alignment horizontal="center" vertical="center"/>
    </xf>
    <xf numFmtId="177" fontId="31" fillId="2" borderId="0" xfId="0" applyNumberFormat="1" applyFont="1" applyFill="1" applyBorder="1" applyAlignment="1">
      <alignment horizontal="center" vertical="center"/>
    </xf>
    <xf numFmtId="4" fontId="31" fillId="2" borderId="0" xfId="0" applyNumberFormat="1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 wrapText="1"/>
    </xf>
    <xf numFmtId="22" fontId="6" fillId="2" borderId="7" xfId="0" applyNumberFormat="1" applyFont="1" applyFill="1" applyBorder="1" applyAlignment="1">
      <alignment horizontal="center" vertical="center"/>
    </xf>
    <xf numFmtId="177" fontId="33" fillId="3" borderId="5" xfId="0" applyNumberFormat="1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9525</xdr:rowOff>
    </xdr:to>
    <xdr:sp>
      <xdr:nvSpPr>
        <xdr:cNvPr id="25" name="Host Control  1"/>
        <xdr:cNvSpPr/>
      </xdr:nvSpPr>
      <xdr:spPr>
        <a:xfrm>
          <a:off x="19059525" y="13379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31"/>
  <sheetViews>
    <sheetView tabSelected="1" workbookViewId="0">
      <selection activeCell="F9" sqref="F9:F11"/>
    </sheetView>
  </sheetViews>
  <sheetFormatPr defaultColWidth="9" defaultRowHeight="13.5"/>
  <cols>
    <col min="1" max="1" width="7.375" style="165" customWidth="1"/>
    <col min="2" max="2" width="15.625" style="169" customWidth="1"/>
    <col min="3" max="3" width="20.625" style="165" customWidth="1"/>
    <col min="4" max="5" width="15.625" style="165" customWidth="1"/>
    <col min="6" max="6" width="20.625" style="165" customWidth="1"/>
    <col min="7" max="10" width="15.625" style="165" customWidth="1"/>
    <col min="11" max="11" width="15.625" style="170" customWidth="1"/>
    <col min="12" max="12" width="15.625" style="165" customWidth="1"/>
    <col min="13" max="13" width="20.625" style="165" customWidth="1"/>
    <col min="14" max="15" width="15.625" style="165" customWidth="1"/>
    <col min="16" max="16384" width="9" style="165"/>
  </cols>
  <sheetData>
    <row r="1" s="165" customFormat="1" ht="30" customHeight="1" spans="1:11">
      <c r="A1" s="171" t="s">
        <v>0</v>
      </c>
      <c r="B1" s="172" t="s">
        <v>1</v>
      </c>
      <c r="C1" s="173" t="s">
        <v>2</v>
      </c>
      <c r="D1" s="173" t="s">
        <v>3</v>
      </c>
      <c r="E1" s="174" t="s">
        <v>4</v>
      </c>
      <c r="K1" s="170"/>
    </row>
    <row r="2" s="165" customFormat="1" ht="30" customHeight="1" spans="1:16">
      <c r="A2" s="175" t="s">
        <v>0</v>
      </c>
      <c r="B2" s="176" t="s">
        <v>5</v>
      </c>
      <c r="C2" s="175" t="s">
        <v>6</v>
      </c>
      <c r="D2" s="175" t="s">
        <v>7</v>
      </c>
      <c r="E2" s="175" t="s">
        <v>8</v>
      </c>
      <c r="G2" s="177"/>
      <c r="H2" s="177"/>
      <c r="J2" s="177"/>
      <c r="K2" s="205"/>
      <c r="L2" s="177"/>
      <c r="M2" s="177"/>
      <c r="N2" s="177"/>
      <c r="O2" s="177"/>
      <c r="P2" s="177"/>
    </row>
    <row r="3" s="165" customFormat="1" ht="30" customHeight="1" spans="1:16">
      <c r="A3" s="178" t="s">
        <v>0</v>
      </c>
      <c r="B3" s="172" t="s">
        <v>9</v>
      </c>
      <c r="C3" s="175" t="s">
        <v>10</v>
      </c>
      <c r="D3" s="175" t="s">
        <v>11</v>
      </c>
      <c r="E3" s="175" t="s">
        <v>12</v>
      </c>
      <c r="G3" s="177"/>
      <c r="H3" s="177"/>
      <c r="J3" s="177"/>
      <c r="K3" s="205"/>
      <c r="L3" s="177"/>
      <c r="M3" s="177"/>
      <c r="N3" s="177"/>
      <c r="O3" s="177"/>
      <c r="P3" s="177"/>
    </row>
    <row r="4" s="165" customFormat="1" ht="30" customHeight="1" spans="1:16">
      <c r="A4" s="177"/>
      <c r="B4" s="179"/>
      <c r="C4" s="177"/>
      <c r="D4" s="177"/>
      <c r="E4" s="177"/>
      <c r="F4" s="177"/>
      <c r="G4" s="177"/>
      <c r="H4" s="177"/>
      <c r="J4" s="177"/>
      <c r="K4" s="205"/>
      <c r="L4" s="177"/>
      <c r="M4" s="177"/>
      <c r="N4" s="177"/>
      <c r="O4" s="167"/>
      <c r="P4" s="167"/>
    </row>
    <row r="5" s="166" customFormat="1" ht="30" customHeight="1" spans="1:16380">
      <c r="A5" s="180" t="s">
        <v>13</v>
      </c>
      <c r="B5" s="181" t="s">
        <v>14</v>
      </c>
      <c r="C5" s="182" t="s">
        <v>15</v>
      </c>
      <c r="D5" s="182" t="s">
        <v>16</v>
      </c>
      <c r="E5" s="182" t="s">
        <v>17</v>
      </c>
      <c r="F5" s="182" t="s">
        <v>18</v>
      </c>
      <c r="G5" s="182" t="s">
        <v>19</v>
      </c>
      <c r="H5" s="182" t="s">
        <v>20</v>
      </c>
      <c r="I5" s="182" t="s">
        <v>21</v>
      </c>
      <c r="J5" s="182" t="s">
        <v>22</v>
      </c>
      <c r="K5" s="182" t="s">
        <v>23</v>
      </c>
      <c r="S5" s="177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</row>
    <row r="6" s="167" customFormat="1" ht="30" customHeight="1" spans="1:19">
      <c r="A6" s="180" t="s">
        <v>24</v>
      </c>
      <c r="B6" s="181" t="s">
        <v>25</v>
      </c>
      <c r="C6" s="182" t="s">
        <v>26</v>
      </c>
      <c r="D6" s="182" t="s">
        <v>27</v>
      </c>
      <c r="E6" s="182" t="s">
        <v>28</v>
      </c>
      <c r="F6" s="182" t="s">
        <v>29</v>
      </c>
      <c r="G6" s="182" t="s">
        <v>30</v>
      </c>
      <c r="H6" s="182" t="s">
        <v>31</v>
      </c>
      <c r="I6" s="182" t="s">
        <v>32</v>
      </c>
      <c r="J6" s="182" t="s">
        <v>33</v>
      </c>
      <c r="K6" s="182" t="s">
        <v>34</v>
      </c>
      <c r="S6" s="229"/>
    </row>
    <row r="7" s="165" customFormat="1" ht="30" customHeight="1" spans="1:16">
      <c r="A7" s="183" t="s">
        <v>35</v>
      </c>
      <c r="B7" s="169"/>
      <c r="C7" s="167"/>
      <c r="D7" s="167"/>
      <c r="E7" s="167"/>
      <c r="F7" s="167"/>
      <c r="G7" s="167"/>
      <c r="H7" s="167"/>
      <c r="I7" s="167"/>
      <c r="J7" s="167"/>
      <c r="K7" s="206"/>
      <c r="L7" s="167"/>
      <c r="M7" s="167"/>
      <c r="N7" s="167"/>
      <c r="O7" s="167"/>
      <c r="P7" s="167"/>
    </row>
    <row r="8" ht="30" customHeight="1" spans="1:15">
      <c r="A8" s="184" t="s">
        <v>36</v>
      </c>
      <c r="B8" s="185" t="s">
        <v>37</v>
      </c>
      <c r="C8" s="186" t="s">
        <v>38</v>
      </c>
      <c r="D8" s="186" t="s">
        <v>39</v>
      </c>
      <c r="E8" s="186" t="s">
        <v>40</v>
      </c>
      <c r="F8" s="186" t="s">
        <v>41</v>
      </c>
      <c r="G8" s="186" t="s">
        <v>42</v>
      </c>
      <c r="H8" s="186" t="s">
        <v>43</v>
      </c>
      <c r="I8" s="186" t="s">
        <v>44</v>
      </c>
      <c r="J8" s="186" t="s">
        <v>45</v>
      </c>
      <c r="K8" s="207" t="s">
        <v>46</v>
      </c>
      <c r="L8" s="186" t="s">
        <v>47</v>
      </c>
      <c r="M8" s="186" t="s">
        <v>48</v>
      </c>
      <c r="N8" s="186" t="s">
        <v>49</v>
      </c>
      <c r="O8" s="208" t="s">
        <v>50</v>
      </c>
    </row>
    <row r="9" s="168" customFormat="1" ht="35" customHeight="1" spans="1:15">
      <c r="A9" s="187">
        <v>1</v>
      </c>
      <c r="B9" s="188" t="s">
        <v>51</v>
      </c>
      <c r="C9" s="189" t="s">
        <v>52</v>
      </c>
      <c r="D9" s="190" t="s">
        <v>53</v>
      </c>
      <c r="E9" s="190" t="s">
        <v>54</v>
      </c>
      <c r="F9" s="190" t="s">
        <v>55</v>
      </c>
      <c r="G9" s="190" t="s">
        <v>56</v>
      </c>
      <c r="H9" s="190" t="s">
        <v>57</v>
      </c>
      <c r="I9" s="209">
        <v>20</v>
      </c>
      <c r="J9" s="190">
        <v>10</v>
      </c>
      <c r="K9" s="210">
        <v>1000000</v>
      </c>
      <c r="L9" s="211" t="s">
        <v>58</v>
      </c>
      <c r="M9" s="212" t="s">
        <v>59</v>
      </c>
      <c r="N9" s="189" t="s">
        <v>60</v>
      </c>
      <c r="O9" s="213">
        <v>43763.9939467593</v>
      </c>
    </row>
    <row r="10" s="168" customFormat="1" ht="35" customHeight="1" spans="1:15">
      <c r="A10" s="187"/>
      <c r="B10" s="188" t="s">
        <v>61</v>
      </c>
      <c r="C10" s="189"/>
      <c r="D10" s="190"/>
      <c r="E10" s="190"/>
      <c r="F10" s="190"/>
      <c r="G10" s="190"/>
      <c r="H10" s="190"/>
      <c r="I10" s="209">
        <v>21</v>
      </c>
      <c r="J10" s="190">
        <v>11</v>
      </c>
      <c r="K10" s="210"/>
      <c r="L10" s="211"/>
      <c r="M10" s="212"/>
      <c r="N10" s="189"/>
      <c r="O10" s="213"/>
    </row>
    <row r="11" s="168" customFormat="1" ht="35" customHeight="1" spans="1:15">
      <c r="A11" s="187"/>
      <c r="B11" s="188" t="s">
        <v>62</v>
      </c>
      <c r="C11" s="189"/>
      <c r="D11" s="190"/>
      <c r="E11" s="190"/>
      <c r="F11" s="190"/>
      <c r="G11" s="190"/>
      <c r="H11" s="190"/>
      <c r="I11" s="209">
        <v>22</v>
      </c>
      <c r="J11" s="190">
        <v>12</v>
      </c>
      <c r="K11" s="210"/>
      <c r="L11" s="211"/>
      <c r="M11" s="212"/>
      <c r="N11" s="189"/>
      <c r="O11" s="213"/>
    </row>
    <row r="12" s="168" customFormat="1" ht="35" customHeight="1" spans="1:15">
      <c r="A12" s="191">
        <v>2</v>
      </c>
      <c r="B12" s="192" t="s">
        <v>51</v>
      </c>
      <c r="C12" s="193" t="s">
        <v>52</v>
      </c>
      <c r="D12" s="193" t="s">
        <v>63</v>
      </c>
      <c r="E12" s="193" t="s">
        <v>54</v>
      </c>
      <c r="F12" s="193" t="s">
        <v>64</v>
      </c>
      <c r="G12" s="193" t="s">
        <v>56</v>
      </c>
      <c r="H12" s="193" t="s">
        <v>57</v>
      </c>
      <c r="I12" s="214">
        <v>21</v>
      </c>
      <c r="J12" s="193">
        <v>11</v>
      </c>
      <c r="K12" s="215">
        <v>50000</v>
      </c>
      <c r="L12" s="216" t="s">
        <v>65</v>
      </c>
      <c r="M12" s="217" t="s">
        <v>59</v>
      </c>
      <c r="N12" s="193" t="s">
        <v>60</v>
      </c>
      <c r="O12" s="218">
        <v>43764.9939467593</v>
      </c>
    </row>
    <row r="13" s="168" customFormat="1" ht="35" customHeight="1" spans="1:15">
      <c r="A13" s="187">
        <v>3</v>
      </c>
      <c r="B13" s="194" t="s">
        <v>66</v>
      </c>
      <c r="C13" s="195" t="s">
        <v>52</v>
      </c>
      <c r="D13" s="196" t="s">
        <v>63</v>
      </c>
      <c r="E13" s="196" t="s">
        <v>54</v>
      </c>
      <c r="F13" s="196" t="s">
        <v>55</v>
      </c>
      <c r="G13" s="196" t="s">
        <v>56</v>
      </c>
      <c r="H13" s="196" t="s">
        <v>57</v>
      </c>
      <c r="I13" s="219">
        <v>22</v>
      </c>
      <c r="J13" s="196">
        <v>12</v>
      </c>
      <c r="K13" s="220">
        <v>0</v>
      </c>
      <c r="L13" s="196" t="s">
        <v>67</v>
      </c>
      <c r="M13" s="221" t="s">
        <v>68</v>
      </c>
      <c r="N13" s="195" t="s">
        <v>60</v>
      </c>
      <c r="O13" s="213">
        <v>43765.9939467593</v>
      </c>
    </row>
    <row r="14" s="168" customFormat="1" ht="35" customHeight="1" spans="1:15">
      <c r="A14" s="197">
        <v>4</v>
      </c>
      <c r="B14" s="198" t="s">
        <v>69</v>
      </c>
      <c r="C14" s="199" t="s">
        <v>52</v>
      </c>
      <c r="D14" s="200" t="s">
        <v>63</v>
      </c>
      <c r="E14" s="200" t="s">
        <v>54</v>
      </c>
      <c r="F14" s="200" t="s">
        <v>70</v>
      </c>
      <c r="G14" s="200" t="s">
        <v>56</v>
      </c>
      <c r="H14" s="200" t="s">
        <v>57</v>
      </c>
      <c r="I14" s="222">
        <v>23</v>
      </c>
      <c r="J14" s="200">
        <v>13</v>
      </c>
      <c r="K14" s="223">
        <v>50000</v>
      </c>
      <c r="L14" s="224" t="s">
        <v>67</v>
      </c>
      <c r="M14" s="225" t="s">
        <v>71</v>
      </c>
      <c r="N14" s="199" t="s">
        <v>60</v>
      </c>
      <c r="O14" s="226">
        <v>43766.9939467593</v>
      </c>
    </row>
    <row r="15" s="168" customFormat="1" ht="35" customHeight="1" spans="1:15">
      <c r="A15" s="187">
        <v>5</v>
      </c>
      <c r="B15" s="194" t="s">
        <v>62</v>
      </c>
      <c r="C15" s="195" t="s">
        <v>52</v>
      </c>
      <c r="D15" s="196" t="s">
        <v>63</v>
      </c>
      <c r="E15" s="196" t="s">
        <v>54</v>
      </c>
      <c r="F15" s="196" t="s">
        <v>70</v>
      </c>
      <c r="G15" s="196" t="s">
        <v>72</v>
      </c>
      <c r="H15" s="196" t="s">
        <v>57</v>
      </c>
      <c r="I15" s="219">
        <v>24</v>
      </c>
      <c r="J15" s="196">
        <v>29</v>
      </c>
      <c r="K15" s="220">
        <v>0</v>
      </c>
      <c r="L15" s="196" t="s">
        <v>67</v>
      </c>
      <c r="M15" s="221" t="s">
        <v>73</v>
      </c>
      <c r="N15" s="195" t="s">
        <v>60</v>
      </c>
      <c r="O15" s="213">
        <v>43767.9939467593</v>
      </c>
    </row>
    <row r="16" s="168" customFormat="1" ht="35" customHeight="1" spans="1:15">
      <c r="A16" s="197">
        <v>6</v>
      </c>
      <c r="B16" s="198" t="s">
        <v>74</v>
      </c>
      <c r="C16" s="199" t="s">
        <v>52</v>
      </c>
      <c r="D16" s="200" t="s">
        <v>63</v>
      </c>
      <c r="E16" s="200" t="s">
        <v>54</v>
      </c>
      <c r="F16" s="200" t="s">
        <v>64</v>
      </c>
      <c r="G16" s="200" t="s">
        <v>56</v>
      </c>
      <c r="H16" s="200" t="s">
        <v>57</v>
      </c>
      <c r="I16" s="222">
        <v>25</v>
      </c>
      <c r="J16" s="200">
        <v>30</v>
      </c>
      <c r="K16" s="223">
        <v>0</v>
      </c>
      <c r="L16" s="224" t="s">
        <v>67</v>
      </c>
      <c r="M16" s="225" t="s">
        <v>73</v>
      </c>
      <c r="N16" s="199" t="s">
        <v>60</v>
      </c>
      <c r="O16" s="226">
        <v>43768.9939467593</v>
      </c>
    </row>
    <row r="17" s="168" customFormat="1" ht="35" customHeight="1" spans="1:15">
      <c r="A17" s="187">
        <v>7</v>
      </c>
      <c r="B17" s="194" t="s">
        <v>75</v>
      </c>
      <c r="C17" s="195" t="s">
        <v>52</v>
      </c>
      <c r="D17" s="196" t="s">
        <v>63</v>
      </c>
      <c r="E17" s="196" t="s">
        <v>54</v>
      </c>
      <c r="F17" s="196" t="s">
        <v>55</v>
      </c>
      <c r="G17" s="196" t="s">
        <v>72</v>
      </c>
      <c r="H17" s="196" t="s">
        <v>76</v>
      </c>
      <c r="I17" s="219">
        <v>26</v>
      </c>
      <c r="J17" s="196">
        <v>31</v>
      </c>
      <c r="K17" s="220">
        <v>0</v>
      </c>
      <c r="L17" s="196" t="s">
        <v>67</v>
      </c>
      <c r="M17" s="221" t="s">
        <v>73</v>
      </c>
      <c r="N17" s="195" t="s">
        <v>60</v>
      </c>
      <c r="O17" s="213">
        <v>43769.9939467593</v>
      </c>
    </row>
    <row r="18" s="168" customFormat="1" ht="35" customHeight="1" spans="1:15">
      <c r="A18" s="197">
        <v>8</v>
      </c>
      <c r="B18" s="198" t="s">
        <v>77</v>
      </c>
      <c r="C18" s="199" t="s">
        <v>52</v>
      </c>
      <c r="D18" s="200" t="s">
        <v>63</v>
      </c>
      <c r="E18" s="200" t="s">
        <v>54</v>
      </c>
      <c r="F18" s="200" t="s">
        <v>70</v>
      </c>
      <c r="G18" s="200" t="s">
        <v>72</v>
      </c>
      <c r="H18" s="200" t="s">
        <v>76</v>
      </c>
      <c r="I18" s="222">
        <v>27</v>
      </c>
      <c r="J18" s="200">
        <v>32</v>
      </c>
      <c r="K18" s="223">
        <v>0</v>
      </c>
      <c r="L18" s="224" t="s">
        <v>67</v>
      </c>
      <c r="M18" s="225" t="s">
        <v>73</v>
      </c>
      <c r="N18" s="199" t="s">
        <v>60</v>
      </c>
      <c r="O18" s="226">
        <v>43770.9939467593</v>
      </c>
    </row>
    <row r="19" s="168" customFormat="1" ht="35" customHeight="1" spans="1:15">
      <c r="A19" s="187">
        <v>9</v>
      </c>
      <c r="B19" s="194" t="s">
        <v>78</v>
      </c>
      <c r="C19" s="195" t="s">
        <v>52</v>
      </c>
      <c r="D19" s="196" t="s">
        <v>63</v>
      </c>
      <c r="E19" s="196" t="s">
        <v>54</v>
      </c>
      <c r="F19" s="196" t="s">
        <v>70</v>
      </c>
      <c r="G19" s="196" t="s">
        <v>72</v>
      </c>
      <c r="H19" s="196" t="s">
        <v>76</v>
      </c>
      <c r="I19" s="219">
        <v>28</v>
      </c>
      <c r="J19" s="196">
        <v>33</v>
      </c>
      <c r="K19" s="220">
        <v>0</v>
      </c>
      <c r="L19" s="196" t="s">
        <v>67</v>
      </c>
      <c r="M19" s="221" t="s">
        <v>73</v>
      </c>
      <c r="N19" s="195" t="s">
        <v>60</v>
      </c>
      <c r="O19" s="213">
        <v>43771.9939467593</v>
      </c>
    </row>
    <row r="20" s="168" customFormat="1" ht="35" customHeight="1" spans="1:15">
      <c r="A20" s="197">
        <v>10</v>
      </c>
      <c r="B20" s="198" t="s">
        <v>79</v>
      </c>
      <c r="C20" s="199" t="s">
        <v>52</v>
      </c>
      <c r="D20" s="200" t="s">
        <v>63</v>
      </c>
      <c r="E20" s="200" t="s">
        <v>54</v>
      </c>
      <c r="F20" s="200" t="s">
        <v>64</v>
      </c>
      <c r="G20" s="200" t="s">
        <v>72</v>
      </c>
      <c r="H20" s="200" t="s">
        <v>76</v>
      </c>
      <c r="I20" s="222">
        <v>29</v>
      </c>
      <c r="J20" s="200">
        <v>19</v>
      </c>
      <c r="K20" s="223">
        <v>0</v>
      </c>
      <c r="L20" s="224" t="s">
        <v>67</v>
      </c>
      <c r="M20" s="225" t="s">
        <v>73</v>
      </c>
      <c r="N20" s="199" t="s">
        <v>60</v>
      </c>
      <c r="O20" s="226">
        <v>43772.9939467593</v>
      </c>
    </row>
    <row r="21" s="168" customFormat="1" ht="35" customHeight="1" spans="1:15">
      <c r="A21" s="187">
        <v>11</v>
      </c>
      <c r="B21" s="194" t="s">
        <v>80</v>
      </c>
      <c r="C21" s="195" t="s">
        <v>52</v>
      </c>
      <c r="D21" s="196" t="s">
        <v>63</v>
      </c>
      <c r="E21" s="196" t="s">
        <v>54</v>
      </c>
      <c r="F21" s="196" t="s">
        <v>55</v>
      </c>
      <c r="G21" s="196" t="s">
        <v>56</v>
      </c>
      <c r="H21" s="196" t="s">
        <v>57</v>
      </c>
      <c r="I21" s="219">
        <v>30</v>
      </c>
      <c r="J21" s="196">
        <v>20</v>
      </c>
      <c r="K21" s="220">
        <v>0</v>
      </c>
      <c r="L21" s="196" t="s">
        <v>67</v>
      </c>
      <c r="M21" s="221" t="s">
        <v>73</v>
      </c>
      <c r="N21" s="195" t="s">
        <v>60</v>
      </c>
      <c r="O21" s="213">
        <v>43773.9939467593</v>
      </c>
    </row>
    <row r="22" s="168" customFormat="1" ht="35" customHeight="1" spans="1:15">
      <c r="A22" s="197">
        <v>12</v>
      </c>
      <c r="B22" s="198" t="s">
        <v>81</v>
      </c>
      <c r="C22" s="199" t="s">
        <v>52</v>
      </c>
      <c r="D22" s="200" t="s">
        <v>63</v>
      </c>
      <c r="E22" s="200" t="s">
        <v>54</v>
      </c>
      <c r="F22" s="200" t="s">
        <v>70</v>
      </c>
      <c r="G22" s="200" t="s">
        <v>56</v>
      </c>
      <c r="H22" s="200" t="s">
        <v>57</v>
      </c>
      <c r="I22" s="222">
        <v>31</v>
      </c>
      <c r="J22" s="200">
        <v>21</v>
      </c>
      <c r="K22" s="223">
        <v>0</v>
      </c>
      <c r="L22" s="224" t="s">
        <v>67</v>
      </c>
      <c r="M22" s="225" t="s">
        <v>73</v>
      </c>
      <c r="N22" s="199" t="s">
        <v>60</v>
      </c>
      <c r="O22" s="226">
        <v>43774.9939467593</v>
      </c>
    </row>
    <row r="23" s="168" customFormat="1" ht="35" customHeight="1" spans="1:15">
      <c r="A23" s="187">
        <v>13</v>
      </c>
      <c r="B23" s="194" t="s">
        <v>82</v>
      </c>
      <c r="C23" s="195" t="s">
        <v>52</v>
      </c>
      <c r="D23" s="196" t="s">
        <v>63</v>
      </c>
      <c r="E23" s="196" t="s">
        <v>54</v>
      </c>
      <c r="F23" s="196" t="s">
        <v>70</v>
      </c>
      <c r="G23" s="196" t="s">
        <v>56</v>
      </c>
      <c r="H23" s="196" t="s">
        <v>57</v>
      </c>
      <c r="I23" s="219">
        <v>32</v>
      </c>
      <c r="J23" s="196">
        <v>22</v>
      </c>
      <c r="K23" s="220">
        <v>0</v>
      </c>
      <c r="L23" s="196" t="s">
        <v>67</v>
      </c>
      <c r="M23" s="221" t="s">
        <v>73</v>
      </c>
      <c r="N23" s="195" t="s">
        <v>60</v>
      </c>
      <c r="O23" s="213">
        <v>43775.9939467593</v>
      </c>
    </row>
    <row r="24" s="168" customFormat="1" ht="35" customHeight="1" spans="1:15">
      <c r="A24" s="197">
        <v>14</v>
      </c>
      <c r="B24" s="198" t="s">
        <v>69</v>
      </c>
      <c r="C24" s="199" t="s">
        <v>52</v>
      </c>
      <c r="D24" s="200" t="s">
        <v>53</v>
      </c>
      <c r="E24" s="200" t="s">
        <v>54</v>
      </c>
      <c r="F24" s="200" t="s">
        <v>64</v>
      </c>
      <c r="G24" s="200" t="s">
        <v>56</v>
      </c>
      <c r="H24" s="200" t="s">
        <v>57</v>
      </c>
      <c r="I24" s="222">
        <v>33</v>
      </c>
      <c r="J24" s="200">
        <v>23</v>
      </c>
      <c r="K24" s="223">
        <v>0</v>
      </c>
      <c r="L24" s="224" t="s">
        <v>67</v>
      </c>
      <c r="M24" s="225" t="s">
        <v>73</v>
      </c>
      <c r="N24" s="199" t="s">
        <v>60</v>
      </c>
      <c r="O24" s="226">
        <v>43776.9939467593</v>
      </c>
    </row>
    <row r="25" s="168" customFormat="1" ht="35" customHeight="1" spans="1:15">
      <c r="A25" s="187">
        <v>15</v>
      </c>
      <c r="B25" s="194" t="s">
        <v>83</v>
      </c>
      <c r="C25" s="195" t="s">
        <v>52</v>
      </c>
      <c r="D25" s="196" t="s">
        <v>53</v>
      </c>
      <c r="E25" s="196" t="s">
        <v>54</v>
      </c>
      <c r="F25" s="196" t="s">
        <v>55</v>
      </c>
      <c r="G25" s="196" t="s">
        <v>72</v>
      </c>
      <c r="H25" s="196" t="s">
        <v>57</v>
      </c>
      <c r="I25" s="219">
        <v>34</v>
      </c>
      <c r="J25" s="196">
        <v>24</v>
      </c>
      <c r="K25" s="220">
        <v>0</v>
      </c>
      <c r="L25" s="196" t="s">
        <v>67</v>
      </c>
      <c r="M25" s="221" t="s">
        <v>73</v>
      </c>
      <c r="N25" s="195" t="s">
        <v>60</v>
      </c>
      <c r="O25" s="213">
        <v>43777.9939467593</v>
      </c>
    </row>
    <row r="26" s="168" customFormat="1" ht="35" customHeight="1" spans="1:15">
      <c r="A26" s="197">
        <v>16</v>
      </c>
      <c r="B26" s="198" t="s">
        <v>84</v>
      </c>
      <c r="C26" s="199" t="s">
        <v>52</v>
      </c>
      <c r="D26" s="200" t="s">
        <v>53</v>
      </c>
      <c r="E26" s="200" t="s">
        <v>54</v>
      </c>
      <c r="F26" s="200" t="s">
        <v>70</v>
      </c>
      <c r="G26" s="200" t="s">
        <v>72</v>
      </c>
      <c r="H26" s="200" t="s">
        <v>57</v>
      </c>
      <c r="I26" s="222">
        <v>35</v>
      </c>
      <c r="J26" s="200">
        <v>25</v>
      </c>
      <c r="K26" s="223">
        <v>0</v>
      </c>
      <c r="L26" s="224" t="s">
        <v>67</v>
      </c>
      <c r="M26" s="225" t="s">
        <v>73</v>
      </c>
      <c r="N26" s="199" t="s">
        <v>60</v>
      </c>
      <c r="O26" s="226">
        <v>43778.9939467593</v>
      </c>
    </row>
    <row r="27" s="168" customFormat="1" ht="35" customHeight="1" spans="1:15">
      <c r="A27" s="187">
        <v>17</v>
      </c>
      <c r="B27" s="194" t="s">
        <v>85</v>
      </c>
      <c r="C27" s="195" t="s">
        <v>52</v>
      </c>
      <c r="D27" s="196" t="s">
        <v>53</v>
      </c>
      <c r="E27" s="196" t="s">
        <v>54</v>
      </c>
      <c r="F27" s="196" t="s">
        <v>70</v>
      </c>
      <c r="G27" s="196" t="s">
        <v>72</v>
      </c>
      <c r="H27" s="196" t="s">
        <v>57</v>
      </c>
      <c r="I27" s="219">
        <v>36</v>
      </c>
      <c r="J27" s="196">
        <v>26</v>
      </c>
      <c r="K27" s="220">
        <v>0</v>
      </c>
      <c r="L27" s="196" t="s">
        <v>67</v>
      </c>
      <c r="M27" s="221" t="s">
        <v>73</v>
      </c>
      <c r="N27" s="195" t="s">
        <v>60</v>
      </c>
      <c r="O27" s="213">
        <v>43779.9939467593</v>
      </c>
    </row>
    <row r="28" s="168" customFormat="1" ht="35" customHeight="1" spans="1:15">
      <c r="A28" s="197">
        <v>18</v>
      </c>
      <c r="B28" s="198" t="s">
        <v>86</v>
      </c>
      <c r="C28" s="199" t="s">
        <v>52</v>
      </c>
      <c r="D28" s="200" t="s">
        <v>53</v>
      </c>
      <c r="E28" s="200" t="s">
        <v>54</v>
      </c>
      <c r="F28" s="200" t="s">
        <v>70</v>
      </c>
      <c r="G28" s="200" t="s">
        <v>72</v>
      </c>
      <c r="H28" s="200" t="s">
        <v>57</v>
      </c>
      <c r="I28" s="222">
        <v>37</v>
      </c>
      <c r="J28" s="200">
        <v>27</v>
      </c>
      <c r="K28" s="223">
        <v>0</v>
      </c>
      <c r="L28" s="224" t="s">
        <v>67</v>
      </c>
      <c r="M28" s="225" t="s">
        <v>73</v>
      </c>
      <c r="N28" s="199" t="s">
        <v>60</v>
      </c>
      <c r="O28" s="226">
        <v>43780.9939467593</v>
      </c>
    </row>
    <row r="29" s="168" customFormat="1" ht="35" customHeight="1" spans="1:15">
      <c r="A29" s="187">
        <v>19</v>
      </c>
      <c r="B29" s="194" t="s">
        <v>87</v>
      </c>
      <c r="C29" s="195" t="s">
        <v>52</v>
      </c>
      <c r="D29" s="196" t="s">
        <v>53</v>
      </c>
      <c r="E29" s="196" t="s">
        <v>54</v>
      </c>
      <c r="F29" s="196" t="s">
        <v>70</v>
      </c>
      <c r="G29" s="196" t="s">
        <v>72</v>
      </c>
      <c r="H29" s="196" t="s">
        <v>57</v>
      </c>
      <c r="I29" s="219">
        <v>38</v>
      </c>
      <c r="J29" s="196">
        <v>28</v>
      </c>
      <c r="K29" s="220">
        <v>0</v>
      </c>
      <c r="L29" s="196" t="s">
        <v>67</v>
      </c>
      <c r="M29" s="221" t="s">
        <v>73</v>
      </c>
      <c r="N29" s="195" t="s">
        <v>60</v>
      </c>
      <c r="O29" s="213">
        <v>43781.9939467593</v>
      </c>
    </row>
    <row r="30" s="168" customFormat="1" ht="35" customHeight="1" spans="1:15">
      <c r="A30" s="197">
        <v>20</v>
      </c>
      <c r="B30" s="201" t="s">
        <v>88</v>
      </c>
      <c r="C30" s="199" t="s">
        <v>52</v>
      </c>
      <c r="D30" s="200" t="s">
        <v>53</v>
      </c>
      <c r="E30" s="200" t="s">
        <v>54</v>
      </c>
      <c r="F30" s="200" t="s">
        <v>70</v>
      </c>
      <c r="G30" s="200" t="s">
        <v>72</v>
      </c>
      <c r="H30" s="200" t="s">
        <v>57</v>
      </c>
      <c r="I30" s="222">
        <v>39</v>
      </c>
      <c r="J30" s="200">
        <v>29</v>
      </c>
      <c r="K30" s="223">
        <v>0</v>
      </c>
      <c r="L30" s="224" t="s">
        <v>67</v>
      </c>
      <c r="M30" s="225" t="s">
        <v>73</v>
      </c>
      <c r="N30" s="199" t="s">
        <v>60</v>
      </c>
      <c r="O30" s="226">
        <v>43782.9939467593</v>
      </c>
    </row>
    <row r="31" ht="30" customHeight="1" spans="1:15">
      <c r="A31" s="202"/>
      <c r="B31" s="203"/>
      <c r="C31" s="204"/>
      <c r="D31" s="204"/>
      <c r="E31" s="204"/>
      <c r="F31" s="204"/>
      <c r="G31" s="204"/>
      <c r="H31" s="204"/>
      <c r="I31" s="204"/>
      <c r="J31" s="204"/>
      <c r="K31" s="227"/>
      <c r="L31" s="204"/>
      <c r="M31" s="204"/>
      <c r="N31" s="204"/>
      <c r="O31" s="228"/>
    </row>
  </sheetData>
  <mergeCells count="15">
    <mergeCell ref="J2:K2"/>
    <mergeCell ref="A4:B4"/>
    <mergeCell ref="A31:O31"/>
    <mergeCell ref="A9:A11"/>
    <mergeCell ref="C9:C11"/>
    <mergeCell ref="D9:D11"/>
    <mergeCell ref="E9:E11"/>
    <mergeCell ref="F9:F11"/>
    <mergeCell ref="G9:G11"/>
    <mergeCell ref="H9:H11"/>
    <mergeCell ref="K9:K11"/>
    <mergeCell ref="L9:L11"/>
    <mergeCell ref="M9:M11"/>
    <mergeCell ref="N9:N11"/>
    <mergeCell ref="O9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33"/>
  <sheetViews>
    <sheetView workbookViewId="0">
      <selection activeCell="B15" sqref="B15:T15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89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98"/>
    </row>
    <row r="2" s="1" customFormat="1" ht="25" customHeight="1" spans="2:21">
      <c r="B2" s="7" t="s">
        <v>90</v>
      </c>
      <c r="C2" s="8"/>
      <c r="D2" s="9" t="s">
        <v>91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3"/>
      <c r="Q2" s="73"/>
      <c r="R2" s="73"/>
      <c r="S2" s="73"/>
      <c r="T2" s="99"/>
      <c r="U2" s="100"/>
    </row>
    <row r="3" s="1" customFormat="1" ht="25" customHeight="1" spans="2:21">
      <c r="B3" s="7" t="s">
        <v>92</v>
      </c>
      <c r="C3" s="8"/>
      <c r="D3" s="8" t="s">
        <v>93</v>
      </c>
      <c r="E3" s="8"/>
      <c r="F3" s="9" t="s">
        <v>94</v>
      </c>
      <c r="G3" s="9"/>
      <c r="H3" s="9"/>
      <c r="I3" s="9" t="s">
        <v>95</v>
      </c>
      <c r="J3" s="9"/>
      <c r="K3" s="9"/>
      <c r="L3" s="8" t="s">
        <v>96</v>
      </c>
      <c r="M3" s="8"/>
      <c r="N3" s="8" t="s">
        <v>97</v>
      </c>
      <c r="O3" s="8"/>
      <c r="P3" s="73"/>
      <c r="Q3" s="73"/>
      <c r="R3" s="73"/>
      <c r="S3" s="73"/>
      <c r="T3" s="99"/>
      <c r="U3" s="100"/>
    </row>
    <row r="4" ht="25" customHeight="1" spans="2:20">
      <c r="B4" s="137" t="s">
        <v>98</v>
      </c>
      <c r="C4" s="76"/>
      <c r="D4" s="76"/>
      <c r="E4" s="76" t="s">
        <v>99</v>
      </c>
      <c r="F4" s="76"/>
      <c r="G4" s="76"/>
      <c r="H4" s="76" t="s">
        <v>100</v>
      </c>
      <c r="I4" s="76"/>
      <c r="J4" s="76"/>
      <c r="K4" s="74"/>
      <c r="L4" s="75"/>
      <c r="M4" s="76"/>
      <c r="N4" s="76"/>
      <c r="O4" s="76"/>
      <c r="P4" s="76"/>
      <c r="Q4" s="76"/>
      <c r="R4" s="76"/>
      <c r="S4" s="76"/>
      <c r="T4" s="101"/>
    </row>
    <row r="5" ht="1" customHeight="1" spans="2:20">
      <c r="B5" s="28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06"/>
    </row>
    <row r="6" s="136" customFormat="1" ht="25" customHeight="1" spans="2:21">
      <c r="B6" s="138" t="s">
        <v>37</v>
      </c>
      <c r="C6" s="139"/>
      <c r="D6" s="140" t="s">
        <v>101</v>
      </c>
      <c r="E6" s="141" t="s">
        <v>102</v>
      </c>
      <c r="F6" s="141"/>
      <c r="G6" s="141" t="s">
        <v>45</v>
      </c>
      <c r="H6" s="141"/>
      <c r="I6" s="141" t="s">
        <v>103</v>
      </c>
      <c r="J6" s="141"/>
      <c r="K6" s="141" t="s">
        <v>104</v>
      </c>
      <c r="L6" s="141"/>
      <c r="M6" s="141" t="s">
        <v>105</v>
      </c>
      <c r="N6" s="141"/>
      <c r="O6" s="150" t="s">
        <v>106</v>
      </c>
      <c r="P6" s="150"/>
      <c r="Q6" s="150" t="s">
        <v>107</v>
      </c>
      <c r="R6" s="150"/>
      <c r="S6" s="140"/>
      <c r="T6" s="160"/>
      <c r="U6" s="161"/>
    </row>
    <row r="7" ht="25" customHeight="1" spans="2:20">
      <c r="B7" s="19" t="s">
        <v>108</v>
      </c>
      <c r="C7" s="20"/>
      <c r="D7" s="21" t="s">
        <v>109</v>
      </c>
      <c r="E7" s="22">
        <v>50</v>
      </c>
      <c r="F7" s="22"/>
      <c r="G7" s="23">
        <v>20</v>
      </c>
      <c r="H7" s="23"/>
      <c r="I7" s="22">
        <v>1300</v>
      </c>
      <c r="J7" s="22"/>
      <c r="K7" s="78">
        <v>0.52</v>
      </c>
      <c r="L7" s="78"/>
      <c r="M7" s="78">
        <v>0.52</v>
      </c>
      <c r="N7" s="78"/>
      <c r="O7" s="79">
        <v>0.52</v>
      </c>
      <c r="P7" s="79"/>
      <c r="Q7" s="104">
        <v>0.9</v>
      </c>
      <c r="R7" s="104"/>
      <c r="S7" s="21"/>
      <c r="T7" s="105"/>
    </row>
    <row r="8" ht="25" customHeight="1" spans="2:20">
      <c r="B8" s="24" t="s">
        <v>110</v>
      </c>
      <c r="C8" s="25"/>
      <c r="D8" s="21" t="s">
        <v>111</v>
      </c>
      <c r="E8" s="22">
        <v>20</v>
      </c>
      <c r="F8" s="22"/>
      <c r="G8" s="23">
        <v>20</v>
      </c>
      <c r="H8" s="23"/>
      <c r="I8" s="22">
        <v>1000</v>
      </c>
      <c r="J8" s="22"/>
      <c r="K8" s="78">
        <v>0.4</v>
      </c>
      <c r="L8" s="78"/>
      <c r="M8" s="78">
        <v>0.4</v>
      </c>
      <c r="N8" s="78"/>
      <c r="O8" s="79">
        <v>0.4</v>
      </c>
      <c r="P8" s="79"/>
      <c r="Q8" s="104">
        <v>0.7</v>
      </c>
      <c r="R8" s="104"/>
      <c r="S8" s="25"/>
      <c r="T8" s="105"/>
    </row>
    <row r="9" ht="25" customHeight="1" spans="2:20">
      <c r="B9" s="24" t="s">
        <v>112</v>
      </c>
      <c r="C9" s="25"/>
      <c r="D9" s="21" t="s">
        <v>113</v>
      </c>
      <c r="E9" s="22">
        <v>5</v>
      </c>
      <c r="F9" s="22"/>
      <c r="G9" s="23">
        <v>5</v>
      </c>
      <c r="H9" s="23"/>
      <c r="I9" s="22">
        <v>200</v>
      </c>
      <c r="J9" s="22"/>
      <c r="K9" s="78">
        <v>0.08</v>
      </c>
      <c r="L9" s="78"/>
      <c r="M9" s="78">
        <v>0.08</v>
      </c>
      <c r="N9" s="78"/>
      <c r="O9" s="79">
        <v>0.08</v>
      </c>
      <c r="P9" s="79"/>
      <c r="Q9" s="79">
        <v>0.5</v>
      </c>
      <c r="R9" s="79"/>
      <c r="S9" s="21"/>
      <c r="T9" s="105"/>
    </row>
    <row r="10" ht="25" customHeight="1" spans="2:20">
      <c r="B10" s="24"/>
      <c r="C10" s="21"/>
      <c r="D10" s="21"/>
      <c r="E10" s="26">
        <f>SUM(E7:E9)</f>
        <v>75</v>
      </c>
      <c r="F10" s="26"/>
      <c r="G10" s="27">
        <f>SUM(G7:G9)</f>
        <v>45</v>
      </c>
      <c r="H10" s="27"/>
      <c r="I10" s="26">
        <f>SUM(I7:I9)</f>
        <v>2500</v>
      </c>
      <c r="J10" s="26"/>
      <c r="K10" s="80"/>
      <c r="L10" s="80"/>
      <c r="M10" s="80"/>
      <c r="N10" s="80"/>
      <c r="O10" s="25"/>
      <c r="P10" s="25"/>
      <c r="Q10" s="25"/>
      <c r="R10" s="25"/>
      <c r="S10" s="21"/>
      <c r="T10" s="105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06"/>
    </row>
    <row r="12" ht="25" customHeight="1" spans="2:20">
      <c r="B12" s="30" t="s">
        <v>114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07"/>
    </row>
    <row r="13" ht="25" customHeight="1" spans="2:20">
      <c r="B13" s="49" t="s">
        <v>115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112"/>
    </row>
    <row r="14" ht="1" customHeight="1" spans="2:20">
      <c r="B14" s="51"/>
      <c r="C14" s="52"/>
      <c r="D14" s="52"/>
      <c r="E14" s="53"/>
      <c r="F14" s="52"/>
      <c r="G14" s="52"/>
      <c r="H14" s="53"/>
      <c r="I14" s="52"/>
      <c r="J14" s="52"/>
      <c r="K14" s="53"/>
      <c r="L14" s="52"/>
      <c r="M14" s="52"/>
      <c r="N14" s="53"/>
      <c r="O14" s="52"/>
      <c r="P14" s="52"/>
      <c r="Q14" s="53"/>
      <c r="R14" s="53"/>
      <c r="S14" s="53"/>
      <c r="T14" s="113"/>
    </row>
    <row r="15" ht="25" customHeight="1" spans="2:20">
      <c r="B15" s="30" t="s">
        <v>116</v>
      </c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107"/>
    </row>
    <row r="16" ht="25" customHeight="1" spans="2:20">
      <c r="B16" s="49" t="s">
        <v>117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112"/>
    </row>
    <row r="17" ht="1" customHeight="1" spans="2:20"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106"/>
    </row>
    <row r="18" ht="25" customHeight="1" spans="2:20">
      <c r="B18" s="142" t="s">
        <v>118</v>
      </c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62"/>
    </row>
    <row r="19" ht="25" customHeight="1" spans="2:20">
      <c r="B19" s="144" t="s">
        <v>119</v>
      </c>
      <c r="C19" s="145" t="s">
        <v>120</v>
      </c>
      <c r="D19" s="146"/>
      <c r="E19" s="146"/>
      <c r="F19" s="146"/>
      <c r="G19" s="56" t="s">
        <v>121</v>
      </c>
      <c r="H19" s="56"/>
      <c r="I19" s="151" t="s">
        <v>122</v>
      </c>
      <c r="J19" s="151"/>
      <c r="K19" s="152" t="s">
        <v>123</v>
      </c>
      <c r="L19" s="152"/>
      <c r="M19" s="153" t="s">
        <v>124</v>
      </c>
      <c r="N19" s="153" t="s">
        <v>125</v>
      </c>
      <c r="O19" s="153"/>
      <c r="P19" s="154" t="s">
        <v>47</v>
      </c>
      <c r="Q19" s="163" t="s">
        <v>126</v>
      </c>
      <c r="R19" s="163"/>
      <c r="S19" s="163" t="s">
        <v>127</v>
      </c>
      <c r="T19" s="164"/>
    </row>
    <row r="20" ht="25" customHeight="1" spans="2:20">
      <c r="B20" s="63">
        <v>1</v>
      </c>
      <c r="C20" s="147" t="s">
        <v>128</v>
      </c>
      <c r="D20" s="25"/>
      <c r="E20" s="25"/>
      <c r="F20" s="25"/>
      <c r="G20" s="148" t="s">
        <v>129</v>
      </c>
      <c r="H20" s="38"/>
      <c r="I20" s="148" t="s">
        <v>129</v>
      </c>
      <c r="J20" s="38"/>
      <c r="K20" s="86">
        <v>30</v>
      </c>
      <c r="L20" s="86"/>
      <c r="M20" s="87">
        <v>2500</v>
      </c>
      <c r="N20" s="87">
        <v>75000</v>
      </c>
      <c r="O20" s="87"/>
      <c r="P20" s="88" t="s">
        <v>67</v>
      </c>
      <c r="Q20" s="119" t="s">
        <v>130</v>
      </c>
      <c r="R20" s="120"/>
      <c r="S20" s="121" t="s">
        <v>130</v>
      </c>
      <c r="T20" s="122"/>
    </row>
    <row r="21" ht="25" customHeight="1" spans="2:20">
      <c r="B21" s="64">
        <v>2</v>
      </c>
      <c r="C21" s="65" t="s">
        <v>128</v>
      </c>
      <c r="D21" s="66"/>
      <c r="E21" s="66"/>
      <c r="F21" s="66"/>
      <c r="G21" s="149" t="s">
        <v>129</v>
      </c>
      <c r="H21" s="67"/>
      <c r="I21" s="149" t="s">
        <v>129</v>
      </c>
      <c r="J21" s="67"/>
      <c r="K21" s="90">
        <v>350</v>
      </c>
      <c r="L21" s="90"/>
      <c r="M21" s="91">
        <v>1</v>
      </c>
      <c r="N21" s="91">
        <v>350</v>
      </c>
      <c r="O21" s="91"/>
      <c r="P21" s="92" t="s">
        <v>131</v>
      </c>
      <c r="Q21" s="123" t="s">
        <v>130</v>
      </c>
      <c r="R21" s="124"/>
      <c r="S21" s="125" t="s">
        <v>130</v>
      </c>
      <c r="T21" s="126"/>
    </row>
    <row r="22" ht="25" customHeight="1" spans="2:20">
      <c r="B22" s="63">
        <v>3</v>
      </c>
      <c r="C22" s="147" t="s">
        <v>128</v>
      </c>
      <c r="D22" s="25"/>
      <c r="E22" s="25"/>
      <c r="F22" s="25"/>
      <c r="G22" s="148" t="s">
        <v>129</v>
      </c>
      <c r="H22" s="38"/>
      <c r="I22" s="148" t="s">
        <v>129</v>
      </c>
      <c r="J22" s="38"/>
      <c r="K22" s="86">
        <v>30</v>
      </c>
      <c r="L22" s="86"/>
      <c r="M22" s="87">
        <v>1</v>
      </c>
      <c r="N22" s="87">
        <v>30</v>
      </c>
      <c r="O22" s="87"/>
      <c r="P22" s="93" t="s">
        <v>131</v>
      </c>
      <c r="Q22" s="119" t="s">
        <v>130</v>
      </c>
      <c r="R22" s="120"/>
      <c r="S22" s="121" t="s">
        <v>130</v>
      </c>
      <c r="T22" s="122"/>
    </row>
    <row r="23" ht="25" customHeight="1" spans="2:20">
      <c r="B23" s="64">
        <v>4</v>
      </c>
      <c r="C23" s="65" t="s">
        <v>132</v>
      </c>
      <c r="D23" s="66"/>
      <c r="E23" s="66"/>
      <c r="F23" s="66"/>
      <c r="G23" s="149" t="s">
        <v>129</v>
      </c>
      <c r="H23" s="67"/>
      <c r="I23" s="149" t="s">
        <v>129</v>
      </c>
      <c r="J23" s="67"/>
      <c r="K23" s="90">
        <v>30</v>
      </c>
      <c r="L23" s="90"/>
      <c r="M23" s="91">
        <v>1</v>
      </c>
      <c r="N23" s="91">
        <v>30</v>
      </c>
      <c r="O23" s="91"/>
      <c r="P23" s="92" t="s">
        <v>131</v>
      </c>
      <c r="Q23" s="123" t="s">
        <v>130</v>
      </c>
      <c r="R23" s="124"/>
      <c r="S23" s="125" t="s">
        <v>130</v>
      </c>
      <c r="T23" s="126"/>
    </row>
    <row r="24" ht="25" customHeight="1" spans="2:20">
      <c r="B24" s="63">
        <v>5</v>
      </c>
      <c r="C24" s="147" t="s">
        <v>128</v>
      </c>
      <c r="D24" s="25"/>
      <c r="E24" s="25"/>
      <c r="F24" s="25"/>
      <c r="G24" s="148" t="s">
        <v>129</v>
      </c>
      <c r="H24" s="38"/>
      <c r="I24" s="148" t="s">
        <v>129</v>
      </c>
      <c r="J24" s="38"/>
      <c r="K24" s="86">
        <v>30</v>
      </c>
      <c r="L24" s="86"/>
      <c r="M24" s="87">
        <v>2</v>
      </c>
      <c r="N24" s="87">
        <v>60</v>
      </c>
      <c r="O24" s="87"/>
      <c r="P24" s="93" t="s">
        <v>131</v>
      </c>
      <c r="Q24" s="119" t="s">
        <v>130</v>
      </c>
      <c r="R24" s="120"/>
      <c r="S24" s="121" t="s">
        <v>130</v>
      </c>
      <c r="T24" s="122"/>
    </row>
    <row r="25" ht="25" customHeight="1" spans="2:20">
      <c r="B25" s="64">
        <v>6</v>
      </c>
      <c r="C25" s="65" t="s">
        <v>132</v>
      </c>
      <c r="D25" s="66"/>
      <c r="E25" s="66"/>
      <c r="F25" s="66"/>
      <c r="G25" s="149" t="s">
        <v>129</v>
      </c>
      <c r="H25" s="67"/>
      <c r="I25" s="149" t="s">
        <v>129</v>
      </c>
      <c r="J25" s="67"/>
      <c r="K25" s="155" t="s">
        <v>60</v>
      </c>
      <c r="L25" s="155"/>
      <c r="M25" s="155" t="s">
        <v>60</v>
      </c>
      <c r="N25" s="91" t="s">
        <v>60</v>
      </c>
      <c r="O25" s="91"/>
      <c r="P25" s="92" t="s">
        <v>131</v>
      </c>
      <c r="Q25" s="123" t="s">
        <v>130</v>
      </c>
      <c r="R25" s="124"/>
      <c r="S25" s="125" t="s">
        <v>130</v>
      </c>
      <c r="T25" s="126"/>
    </row>
    <row r="26" ht="25" customHeight="1" spans="2:20">
      <c r="B26" s="63">
        <v>7</v>
      </c>
      <c r="C26" s="25" t="s">
        <v>133</v>
      </c>
      <c r="D26" s="25"/>
      <c r="E26" s="25"/>
      <c r="F26" s="25"/>
      <c r="G26" s="148" t="s">
        <v>129</v>
      </c>
      <c r="H26" s="38"/>
      <c r="I26" s="148" t="s">
        <v>129</v>
      </c>
      <c r="J26" s="38"/>
      <c r="K26" s="156" t="s">
        <v>60</v>
      </c>
      <c r="L26" s="156"/>
      <c r="M26" s="156" t="s">
        <v>60</v>
      </c>
      <c r="N26" s="157" t="s">
        <v>60</v>
      </c>
      <c r="O26" s="87"/>
      <c r="P26" s="93" t="s">
        <v>131</v>
      </c>
      <c r="Q26" s="119" t="s">
        <v>130</v>
      </c>
      <c r="R26" s="120"/>
      <c r="S26" s="121" t="s">
        <v>130</v>
      </c>
      <c r="T26" s="122"/>
    </row>
    <row r="27" ht="25" customHeight="1" spans="2:20">
      <c r="B27" s="64">
        <v>8</v>
      </c>
      <c r="C27" s="66" t="s">
        <v>134</v>
      </c>
      <c r="D27" s="66"/>
      <c r="E27" s="66"/>
      <c r="F27" s="66"/>
      <c r="G27" s="149" t="s">
        <v>129</v>
      </c>
      <c r="H27" s="67"/>
      <c r="I27" s="149" t="s">
        <v>129</v>
      </c>
      <c r="J27" s="67"/>
      <c r="K27" s="155" t="s">
        <v>60</v>
      </c>
      <c r="L27" s="155"/>
      <c r="M27" s="155" t="s">
        <v>60</v>
      </c>
      <c r="N27" s="158" t="s">
        <v>60</v>
      </c>
      <c r="O27" s="91"/>
      <c r="P27" s="92" t="s">
        <v>131</v>
      </c>
      <c r="Q27" s="123" t="s">
        <v>130</v>
      </c>
      <c r="R27" s="124"/>
      <c r="S27" s="125" t="s">
        <v>130</v>
      </c>
      <c r="T27" s="126"/>
    </row>
    <row r="28" ht="25" customHeight="1" spans="2:20">
      <c r="B28" s="63">
        <v>9</v>
      </c>
      <c r="C28" s="25" t="s">
        <v>133</v>
      </c>
      <c r="D28" s="25"/>
      <c r="E28" s="25"/>
      <c r="F28" s="25"/>
      <c r="G28" s="148" t="s">
        <v>129</v>
      </c>
      <c r="H28" s="38"/>
      <c r="I28" s="148" t="s">
        <v>129</v>
      </c>
      <c r="J28" s="38"/>
      <c r="K28" s="156" t="s">
        <v>60</v>
      </c>
      <c r="L28" s="156"/>
      <c r="M28" s="156" t="s">
        <v>60</v>
      </c>
      <c r="N28" s="157" t="s">
        <v>60</v>
      </c>
      <c r="O28" s="87"/>
      <c r="P28" s="93" t="s">
        <v>131</v>
      </c>
      <c r="Q28" s="119" t="s">
        <v>130</v>
      </c>
      <c r="R28" s="120"/>
      <c r="S28" s="121" t="s">
        <v>130</v>
      </c>
      <c r="T28" s="122"/>
    </row>
    <row r="29" ht="25" customHeight="1" spans="2:20">
      <c r="B29" s="64">
        <v>10</v>
      </c>
      <c r="C29" s="66" t="s">
        <v>134</v>
      </c>
      <c r="D29" s="66"/>
      <c r="E29" s="66"/>
      <c r="F29" s="66"/>
      <c r="G29" s="149" t="s">
        <v>129</v>
      </c>
      <c r="H29" s="67"/>
      <c r="I29" s="149" t="s">
        <v>129</v>
      </c>
      <c r="J29" s="67"/>
      <c r="K29" s="155" t="s">
        <v>60</v>
      </c>
      <c r="L29" s="155"/>
      <c r="M29" s="155" t="s">
        <v>60</v>
      </c>
      <c r="N29" s="158" t="s">
        <v>60</v>
      </c>
      <c r="O29" s="91"/>
      <c r="P29" s="92" t="s">
        <v>131</v>
      </c>
      <c r="Q29" s="123" t="s">
        <v>130</v>
      </c>
      <c r="R29" s="124"/>
      <c r="S29" s="125" t="s">
        <v>130</v>
      </c>
      <c r="T29" s="126"/>
    </row>
    <row r="30" ht="25" customHeight="1" spans="2:20">
      <c r="B30" s="63">
        <v>11</v>
      </c>
      <c r="C30" s="25" t="s">
        <v>133</v>
      </c>
      <c r="D30" s="25"/>
      <c r="E30" s="25"/>
      <c r="F30" s="25"/>
      <c r="G30" s="148" t="s">
        <v>129</v>
      </c>
      <c r="H30" s="38"/>
      <c r="I30" s="148" t="s">
        <v>129</v>
      </c>
      <c r="J30" s="38"/>
      <c r="K30" s="156" t="s">
        <v>60</v>
      </c>
      <c r="L30" s="156"/>
      <c r="M30" s="156" t="s">
        <v>60</v>
      </c>
      <c r="N30" s="157" t="s">
        <v>60</v>
      </c>
      <c r="O30" s="87"/>
      <c r="P30" s="93" t="s">
        <v>131</v>
      </c>
      <c r="Q30" s="119" t="s">
        <v>130</v>
      </c>
      <c r="R30" s="120"/>
      <c r="S30" s="121" t="s">
        <v>130</v>
      </c>
      <c r="T30" s="122"/>
    </row>
    <row r="31" ht="25" customHeight="1" spans="2:20">
      <c r="B31" s="64">
        <v>12</v>
      </c>
      <c r="C31" s="66" t="s">
        <v>134</v>
      </c>
      <c r="D31" s="66"/>
      <c r="E31" s="66"/>
      <c r="F31" s="66"/>
      <c r="G31" s="149" t="s">
        <v>129</v>
      </c>
      <c r="H31" s="67"/>
      <c r="I31" s="149" t="s">
        <v>129</v>
      </c>
      <c r="J31" s="67"/>
      <c r="K31" s="159" t="s">
        <v>60</v>
      </c>
      <c r="L31" s="159"/>
      <c r="M31" s="155" t="s">
        <v>60</v>
      </c>
      <c r="N31" s="158" t="s">
        <v>60</v>
      </c>
      <c r="O31" s="91"/>
      <c r="P31" s="92" t="s">
        <v>131</v>
      </c>
      <c r="Q31" s="123" t="s">
        <v>130</v>
      </c>
      <c r="R31" s="124"/>
      <c r="S31" s="125" t="s">
        <v>130</v>
      </c>
      <c r="T31" s="126"/>
    </row>
    <row r="32" s="2" customFormat="1" ht="25" customHeight="1" spans="2:21">
      <c r="B32" s="68"/>
      <c r="C32" s="69"/>
      <c r="D32" s="69"/>
      <c r="E32" s="69"/>
      <c r="F32" s="69"/>
      <c r="G32" s="69"/>
      <c r="H32" s="70"/>
      <c r="I32" s="70"/>
      <c r="J32" s="70"/>
      <c r="K32" s="94"/>
      <c r="L32" s="95" t="s">
        <v>135</v>
      </c>
      <c r="M32" s="95"/>
      <c r="N32" s="96">
        <f>SUM(N20:N31)</f>
        <v>75470</v>
      </c>
      <c r="O32" s="96"/>
      <c r="P32" s="97"/>
      <c r="Q32" s="97"/>
      <c r="R32" s="129"/>
      <c r="S32" s="97"/>
      <c r="T32" s="130"/>
      <c r="U32" s="3"/>
    </row>
    <row r="33" ht="25" customHeight="1" spans="2:20">
      <c r="B33" s="71" t="s">
        <v>136</v>
      </c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5"/>
    </row>
  </sheetData>
  <mergeCells count="160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H3"/>
    <mergeCell ref="I3:K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B13:T13"/>
    <mergeCell ref="B15:T15"/>
    <mergeCell ref="B16:T16"/>
    <mergeCell ref="B17:T17"/>
    <mergeCell ref="B18:T18"/>
    <mergeCell ref="C19:F19"/>
    <mergeCell ref="G19:H19"/>
    <mergeCell ref="I19:J19"/>
    <mergeCell ref="K19:L19"/>
    <mergeCell ref="N19:O19"/>
    <mergeCell ref="Q19:R19"/>
    <mergeCell ref="S19:T19"/>
    <mergeCell ref="C20:F20"/>
    <mergeCell ref="G20:H20"/>
    <mergeCell ref="I20:J20"/>
    <mergeCell ref="K20:L20"/>
    <mergeCell ref="N20:O20"/>
    <mergeCell ref="Q20:R20"/>
    <mergeCell ref="S20:T20"/>
    <mergeCell ref="C21:F21"/>
    <mergeCell ref="G21:H21"/>
    <mergeCell ref="I21:J21"/>
    <mergeCell ref="K21:L21"/>
    <mergeCell ref="N21:O21"/>
    <mergeCell ref="Q21:R21"/>
    <mergeCell ref="S21:T21"/>
    <mergeCell ref="C22:F22"/>
    <mergeCell ref="G22:H22"/>
    <mergeCell ref="I22:J22"/>
    <mergeCell ref="K22:L22"/>
    <mergeCell ref="N22:O22"/>
    <mergeCell ref="Q22:R22"/>
    <mergeCell ref="S22:T22"/>
    <mergeCell ref="C23:F23"/>
    <mergeCell ref="G23:H23"/>
    <mergeCell ref="I23:J23"/>
    <mergeCell ref="K23:L23"/>
    <mergeCell ref="N23:O23"/>
    <mergeCell ref="Q23:R23"/>
    <mergeCell ref="S23:T23"/>
    <mergeCell ref="C24:F24"/>
    <mergeCell ref="G24:H24"/>
    <mergeCell ref="I24:J24"/>
    <mergeCell ref="K24:L24"/>
    <mergeCell ref="N24:O24"/>
    <mergeCell ref="Q24:R24"/>
    <mergeCell ref="S24:T24"/>
    <mergeCell ref="C25:F25"/>
    <mergeCell ref="G25:H25"/>
    <mergeCell ref="I25:J25"/>
    <mergeCell ref="K25:L25"/>
    <mergeCell ref="N25:O25"/>
    <mergeCell ref="Q25:R25"/>
    <mergeCell ref="S25:T25"/>
    <mergeCell ref="C26:F26"/>
    <mergeCell ref="G26:H26"/>
    <mergeCell ref="I26:J26"/>
    <mergeCell ref="K26:L26"/>
    <mergeCell ref="N26:O26"/>
    <mergeCell ref="Q26:R26"/>
    <mergeCell ref="S26:T26"/>
    <mergeCell ref="C27:F27"/>
    <mergeCell ref="G27:H27"/>
    <mergeCell ref="I27:J27"/>
    <mergeCell ref="K27:L27"/>
    <mergeCell ref="N27:O27"/>
    <mergeCell ref="Q27:R27"/>
    <mergeCell ref="S27:T27"/>
    <mergeCell ref="C28:F28"/>
    <mergeCell ref="G28:H28"/>
    <mergeCell ref="I28:J28"/>
    <mergeCell ref="K28:L28"/>
    <mergeCell ref="N28:O28"/>
    <mergeCell ref="Q28:R28"/>
    <mergeCell ref="S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L32:M32"/>
    <mergeCell ref="N32:O32"/>
    <mergeCell ref="B33:T33"/>
  </mergeCells>
  <pageMargins left="1.10208333333333" right="0.393055555555556" top="0" bottom="0" header="0.5" footer="0.5"/>
  <pageSetup paperSize="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61"/>
  <sheetViews>
    <sheetView topLeftCell="A43" workbookViewId="0">
      <selection activeCell="O8" sqref="O8:P8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89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98"/>
    </row>
    <row r="2" s="1" customFormat="1" ht="25" customHeight="1" spans="2:21">
      <c r="B2" s="7" t="s">
        <v>90</v>
      </c>
      <c r="C2" s="8"/>
      <c r="D2" s="9" t="s">
        <v>91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3"/>
      <c r="Q2" s="73"/>
      <c r="R2" s="73"/>
      <c r="S2" s="73"/>
      <c r="T2" s="99"/>
      <c r="U2" s="100"/>
    </row>
    <row r="3" s="1" customFormat="1" ht="25" customHeight="1" spans="2:21">
      <c r="B3" s="7" t="s">
        <v>92</v>
      </c>
      <c r="C3" s="8"/>
      <c r="D3" s="8" t="s">
        <v>93</v>
      </c>
      <c r="E3" s="8"/>
      <c r="F3" s="9" t="s">
        <v>94</v>
      </c>
      <c r="G3" s="9"/>
      <c r="H3" s="9"/>
      <c r="I3" s="9" t="s">
        <v>95</v>
      </c>
      <c r="J3" s="9"/>
      <c r="K3" s="9"/>
      <c r="L3" s="8" t="s">
        <v>96</v>
      </c>
      <c r="M3" s="8"/>
      <c r="N3" s="8" t="s">
        <v>97</v>
      </c>
      <c r="O3" s="8"/>
      <c r="P3" s="73"/>
      <c r="Q3" s="73"/>
      <c r="R3" s="73"/>
      <c r="S3" s="73"/>
      <c r="T3" s="99"/>
      <c r="U3" s="100"/>
    </row>
    <row r="4" ht="25" customHeight="1" spans="2:20">
      <c r="B4" s="10" t="s">
        <v>137</v>
      </c>
      <c r="C4" s="11"/>
      <c r="D4" s="11"/>
      <c r="E4" s="12" t="s">
        <v>99</v>
      </c>
      <c r="F4" s="12"/>
      <c r="G4" s="12"/>
      <c r="H4" s="12" t="s">
        <v>138</v>
      </c>
      <c r="I4" s="12"/>
      <c r="J4" s="12"/>
      <c r="K4" s="74"/>
      <c r="L4" s="75"/>
      <c r="M4" s="76"/>
      <c r="N4" s="76"/>
      <c r="O4" s="76"/>
      <c r="P4" s="76"/>
      <c r="Q4" s="76"/>
      <c r="R4" s="76"/>
      <c r="S4" s="76"/>
      <c r="T4" s="101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2"/>
    </row>
    <row r="6" ht="25" customHeight="1" spans="2:20">
      <c r="B6" s="15" t="s">
        <v>37</v>
      </c>
      <c r="C6" s="16"/>
      <c r="D6" s="17" t="s">
        <v>101</v>
      </c>
      <c r="E6" s="18" t="s">
        <v>102</v>
      </c>
      <c r="F6" s="18"/>
      <c r="G6" s="18" t="s">
        <v>45</v>
      </c>
      <c r="H6" s="18"/>
      <c r="I6" s="18" t="s">
        <v>103</v>
      </c>
      <c r="J6" s="18"/>
      <c r="K6" s="18" t="s">
        <v>104</v>
      </c>
      <c r="L6" s="18"/>
      <c r="M6" s="18" t="s">
        <v>105</v>
      </c>
      <c r="N6" s="18"/>
      <c r="O6" s="77" t="s">
        <v>106</v>
      </c>
      <c r="P6" s="77"/>
      <c r="Q6" s="77" t="s">
        <v>107</v>
      </c>
      <c r="R6" s="77"/>
      <c r="S6" s="17"/>
      <c r="T6" s="103"/>
    </row>
    <row r="7" ht="25" customHeight="1" spans="2:20">
      <c r="B7" s="19" t="s">
        <v>108</v>
      </c>
      <c r="C7" s="20"/>
      <c r="D7" s="21" t="s">
        <v>109</v>
      </c>
      <c r="E7" s="22">
        <v>50</v>
      </c>
      <c r="F7" s="22"/>
      <c r="G7" s="23">
        <v>20</v>
      </c>
      <c r="H7" s="23"/>
      <c r="I7" s="22">
        <v>1300</v>
      </c>
      <c r="J7" s="22"/>
      <c r="K7" s="78">
        <v>0.52</v>
      </c>
      <c r="L7" s="78"/>
      <c r="M7" s="78">
        <v>0.52</v>
      </c>
      <c r="N7" s="78"/>
      <c r="O7" s="79">
        <v>0.52</v>
      </c>
      <c r="P7" s="79"/>
      <c r="Q7" s="104">
        <v>0.9</v>
      </c>
      <c r="R7" s="104"/>
      <c r="S7" s="21"/>
      <c r="T7" s="105"/>
    </row>
    <row r="8" ht="25" customHeight="1" spans="2:20">
      <c r="B8" s="24" t="s">
        <v>110</v>
      </c>
      <c r="C8" s="25"/>
      <c r="D8" s="21" t="s">
        <v>111</v>
      </c>
      <c r="E8" s="22">
        <v>20</v>
      </c>
      <c r="F8" s="22"/>
      <c r="G8" s="23">
        <v>20</v>
      </c>
      <c r="H8" s="23"/>
      <c r="I8" s="22">
        <v>1000</v>
      </c>
      <c r="J8" s="22"/>
      <c r="K8" s="78">
        <v>0.4</v>
      </c>
      <c r="L8" s="78"/>
      <c r="M8" s="78">
        <v>0.4</v>
      </c>
      <c r="N8" s="78"/>
      <c r="O8" s="79">
        <v>0.4</v>
      </c>
      <c r="P8" s="79"/>
      <c r="Q8" s="104">
        <v>0.7</v>
      </c>
      <c r="R8" s="104"/>
      <c r="S8" s="25"/>
      <c r="T8" s="105"/>
    </row>
    <row r="9" ht="25" customHeight="1" spans="2:20">
      <c r="B9" s="24" t="s">
        <v>112</v>
      </c>
      <c r="C9" s="25"/>
      <c r="D9" s="21" t="s">
        <v>113</v>
      </c>
      <c r="E9" s="22">
        <v>5</v>
      </c>
      <c r="F9" s="22"/>
      <c r="G9" s="23">
        <v>5</v>
      </c>
      <c r="H9" s="23"/>
      <c r="I9" s="22">
        <v>200</v>
      </c>
      <c r="J9" s="22"/>
      <c r="K9" s="78">
        <v>0.08</v>
      </c>
      <c r="L9" s="78"/>
      <c r="M9" s="78">
        <v>0.08</v>
      </c>
      <c r="N9" s="78"/>
      <c r="O9" s="79">
        <v>0.08</v>
      </c>
      <c r="P9" s="79"/>
      <c r="Q9" s="79">
        <v>0.5</v>
      </c>
      <c r="R9" s="79"/>
      <c r="S9" s="21"/>
      <c r="T9" s="105"/>
    </row>
    <row r="10" ht="25" customHeight="1" spans="2:20">
      <c r="B10" s="24"/>
      <c r="C10" s="21"/>
      <c r="D10" s="21"/>
      <c r="E10" s="26">
        <f t="shared" ref="E10:I10" si="0">SUM(E7:E9)</f>
        <v>75</v>
      </c>
      <c r="F10" s="26"/>
      <c r="G10" s="27">
        <f t="shared" si="0"/>
        <v>45</v>
      </c>
      <c r="H10" s="27"/>
      <c r="I10" s="26">
        <f t="shared" si="0"/>
        <v>2500</v>
      </c>
      <c r="J10" s="26"/>
      <c r="K10" s="134"/>
      <c r="L10" s="134"/>
      <c r="M10" s="80"/>
      <c r="N10" s="80"/>
      <c r="O10" s="25"/>
      <c r="P10" s="25"/>
      <c r="Q10" s="25"/>
      <c r="R10" s="25"/>
      <c r="S10" s="21"/>
      <c r="T10" s="105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06"/>
    </row>
    <row r="12" ht="25" customHeight="1" spans="2:20">
      <c r="B12" s="30" t="s">
        <v>114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07"/>
    </row>
    <row r="13" ht="25" customHeight="1" spans="2:20">
      <c r="B13" s="33" t="s">
        <v>139</v>
      </c>
      <c r="C13" s="34" t="s">
        <v>140</v>
      </c>
      <c r="D13" s="35"/>
      <c r="E13" s="34" t="s">
        <v>141</v>
      </c>
      <c r="F13" s="34" t="s">
        <v>140</v>
      </c>
      <c r="G13" s="34"/>
      <c r="H13" s="34" t="s">
        <v>141</v>
      </c>
      <c r="I13" s="34" t="s">
        <v>140</v>
      </c>
      <c r="J13" s="34"/>
      <c r="K13" s="34" t="s">
        <v>141</v>
      </c>
      <c r="L13" s="34" t="s">
        <v>140</v>
      </c>
      <c r="M13" s="34"/>
      <c r="N13" s="34" t="s">
        <v>141</v>
      </c>
      <c r="O13" s="34" t="s">
        <v>140</v>
      </c>
      <c r="P13" s="34"/>
      <c r="Q13" s="34" t="s">
        <v>141</v>
      </c>
      <c r="R13" s="34" t="s">
        <v>140</v>
      </c>
      <c r="S13" s="34"/>
      <c r="T13" s="108" t="s">
        <v>141</v>
      </c>
    </row>
    <row r="14" ht="25" customHeight="1" spans="2:20">
      <c r="B14" s="36" t="s">
        <v>142</v>
      </c>
      <c r="C14" s="37">
        <v>191025000038</v>
      </c>
      <c r="D14" s="38"/>
      <c r="E14" s="39">
        <v>888787</v>
      </c>
      <c r="F14" s="37">
        <v>191025000038</v>
      </c>
      <c r="G14" s="37"/>
      <c r="H14" s="39">
        <v>888787</v>
      </c>
      <c r="I14" s="37">
        <v>191025000038</v>
      </c>
      <c r="J14" s="37"/>
      <c r="K14" s="39">
        <v>888787</v>
      </c>
      <c r="L14" s="37">
        <v>191025000038</v>
      </c>
      <c r="M14" s="37"/>
      <c r="N14" s="39">
        <v>888787</v>
      </c>
      <c r="O14" s="37">
        <v>191025000038</v>
      </c>
      <c r="P14" s="37"/>
      <c r="Q14" s="39">
        <v>888787</v>
      </c>
      <c r="R14" s="37">
        <v>191025000038</v>
      </c>
      <c r="S14" s="37"/>
      <c r="T14" s="109">
        <v>888787</v>
      </c>
    </row>
    <row r="15" ht="25" customHeight="1" spans="2:20">
      <c r="B15" s="40"/>
      <c r="C15" s="37">
        <v>190922000006</v>
      </c>
      <c r="D15" s="38"/>
      <c r="E15" s="39">
        <v>401</v>
      </c>
      <c r="F15" s="37">
        <v>190922000006</v>
      </c>
      <c r="G15" s="37"/>
      <c r="H15" s="39">
        <v>401</v>
      </c>
      <c r="I15" s="37">
        <v>190922000006</v>
      </c>
      <c r="J15" s="37"/>
      <c r="K15" s="39">
        <v>401</v>
      </c>
      <c r="L15" s="37">
        <v>190922000006</v>
      </c>
      <c r="M15" s="37"/>
      <c r="N15" s="39">
        <v>401</v>
      </c>
      <c r="O15" s="37">
        <v>190922000006</v>
      </c>
      <c r="P15" s="37"/>
      <c r="Q15" s="39">
        <v>401</v>
      </c>
      <c r="R15" s="37">
        <v>190922000006</v>
      </c>
      <c r="S15" s="37"/>
      <c r="T15" s="109">
        <v>401</v>
      </c>
    </row>
    <row r="16" ht="25" customHeight="1" spans="2:20">
      <c r="B16" s="40"/>
      <c r="C16" s="37">
        <v>190828000021</v>
      </c>
      <c r="D16" s="38"/>
      <c r="E16" s="39">
        <v>402</v>
      </c>
      <c r="F16" s="37">
        <v>190828000021</v>
      </c>
      <c r="G16" s="37"/>
      <c r="H16" s="39">
        <v>402</v>
      </c>
      <c r="I16" s="37">
        <v>190828000021</v>
      </c>
      <c r="J16" s="37"/>
      <c r="K16" s="39">
        <v>402</v>
      </c>
      <c r="L16" s="37">
        <v>190828000021</v>
      </c>
      <c r="M16" s="37"/>
      <c r="N16" s="39">
        <v>402</v>
      </c>
      <c r="O16" s="37">
        <v>190828000021</v>
      </c>
      <c r="P16" s="37"/>
      <c r="Q16" s="39">
        <v>402</v>
      </c>
      <c r="R16" s="37">
        <v>190828000021</v>
      </c>
      <c r="S16" s="37"/>
      <c r="T16" s="109">
        <v>402</v>
      </c>
    </row>
    <row r="17" ht="25" customHeight="1" spans="2:20">
      <c r="B17" s="40"/>
      <c r="C17" s="37">
        <v>191025000041</v>
      </c>
      <c r="D17" s="38"/>
      <c r="E17" s="39">
        <v>403</v>
      </c>
      <c r="F17" s="37">
        <v>191025000041</v>
      </c>
      <c r="G17" s="37"/>
      <c r="H17" s="39">
        <v>403</v>
      </c>
      <c r="I17" s="37">
        <v>191025000041</v>
      </c>
      <c r="J17" s="37"/>
      <c r="K17" s="39">
        <v>403</v>
      </c>
      <c r="L17" s="37">
        <v>191025000041</v>
      </c>
      <c r="M17" s="37"/>
      <c r="N17" s="39">
        <v>403</v>
      </c>
      <c r="O17" s="37">
        <v>191025000041</v>
      </c>
      <c r="P17" s="37"/>
      <c r="Q17" s="39">
        <v>403</v>
      </c>
      <c r="R17" s="37">
        <v>191025000041</v>
      </c>
      <c r="S17" s="37"/>
      <c r="T17" s="109">
        <v>403</v>
      </c>
    </row>
    <row r="18" ht="1" customHeight="1" spans="2:20">
      <c r="B18" s="41"/>
      <c r="C18" s="42"/>
      <c r="D18" s="43"/>
      <c r="E18" s="44"/>
      <c r="F18" s="42"/>
      <c r="G18" s="42"/>
      <c r="H18" s="44"/>
      <c r="I18" s="42"/>
      <c r="J18" s="42"/>
      <c r="K18" s="44"/>
      <c r="L18" s="42"/>
      <c r="M18" s="42"/>
      <c r="N18" s="44"/>
      <c r="O18" s="42"/>
      <c r="P18" s="42"/>
      <c r="Q18" s="44"/>
      <c r="R18" s="42"/>
      <c r="S18" s="42"/>
      <c r="T18" s="110"/>
    </row>
    <row r="19" ht="25" customHeight="1" spans="2:20">
      <c r="B19" s="36" t="s">
        <v>143</v>
      </c>
      <c r="C19" s="37">
        <v>191025000040</v>
      </c>
      <c r="D19" s="38"/>
      <c r="E19" s="39">
        <v>404</v>
      </c>
      <c r="F19" s="37">
        <v>191025000040</v>
      </c>
      <c r="G19" s="37"/>
      <c r="H19" s="39">
        <v>404</v>
      </c>
      <c r="I19" s="37">
        <v>191025000040</v>
      </c>
      <c r="J19" s="37"/>
      <c r="K19" s="39">
        <v>404</v>
      </c>
      <c r="L19" s="37">
        <v>191025000040</v>
      </c>
      <c r="M19" s="37"/>
      <c r="N19" s="39">
        <v>404</v>
      </c>
      <c r="O19" s="37">
        <v>191025000040</v>
      </c>
      <c r="P19" s="37"/>
      <c r="Q19" s="39">
        <v>404</v>
      </c>
      <c r="R19" s="37">
        <v>191025000040</v>
      </c>
      <c r="S19" s="37"/>
      <c r="T19" s="109">
        <v>404</v>
      </c>
    </row>
    <row r="20" ht="25" customHeight="1" spans="2:20">
      <c r="B20" s="40"/>
      <c r="C20" s="37">
        <v>191012000003</v>
      </c>
      <c r="D20" s="38"/>
      <c r="E20" s="39">
        <v>405</v>
      </c>
      <c r="F20" s="37">
        <v>191012000003</v>
      </c>
      <c r="G20" s="37"/>
      <c r="H20" s="39">
        <v>405</v>
      </c>
      <c r="I20" s="37">
        <v>191012000003</v>
      </c>
      <c r="J20" s="37"/>
      <c r="K20" s="39">
        <v>405</v>
      </c>
      <c r="L20" s="37">
        <v>191012000003</v>
      </c>
      <c r="M20" s="37"/>
      <c r="N20" s="39">
        <v>405</v>
      </c>
      <c r="O20" s="37">
        <v>191012000003</v>
      </c>
      <c r="P20" s="37"/>
      <c r="Q20" s="39">
        <v>405</v>
      </c>
      <c r="R20" s="37">
        <v>191012000003</v>
      </c>
      <c r="S20" s="37"/>
      <c r="T20" s="109">
        <v>405</v>
      </c>
    </row>
    <row r="21" ht="25" customHeight="1" spans="2:20">
      <c r="B21" s="40"/>
      <c r="C21" s="37">
        <v>191013000009</v>
      </c>
      <c r="D21" s="38"/>
      <c r="E21" s="39">
        <v>406</v>
      </c>
      <c r="F21" s="37">
        <v>191013000009</v>
      </c>
      <c r="G21" s="37"/>
      <c r="H21" s="39">
        <v>406</v>
      </c>
      <c r="I21" s="37">
        <v>191013000009</v>
      </c>
      <c r="J21" s="37"/>
      <c r="K21" s="39">
        <v>406</v>
      </c>
      <c r="L21" s="37">
        <v>191013000009</v>
      </c>
      <c r="M21" s="37"/>
      <c r="N21" s="39">
        <v>406</v>
      </c>
      <c r="O21" s="37">
        <v>191013000009</v>
      </c>
      <c r="P21" s="37"/>
      <c r="Q21" s="39">
        <v>406</v>
      </c>
      <c r="R21" s="37">
        <v>191013000009</v>
      </c>
      <c r="S21" s="37"/>
      <c r="T21" s="109">
        <v>406</v>
      </c>
    </row>
    <row r="22" ht="25" customHeight="1" spans="2:20">
      <c r="B22" s="40"/>
      <c r="C22" s="37">
        <v>190922000006</v>
      </c>
      <c r="D22" s="38"/>
      <c r="E22" s="39">
        <v>407</v>
      </c>
      <c r="F22" s="37">
        <v>190922000006</v>
      </c>
      <c r="G22" s="37"/>
      <c r="H22" s="39">
        <v>407</v>
      </c>
      <c r="I22" s="37">
        <v>190922000006</v>
      </c>
      <c r="J22" s="37"/>
      <c r="K22" s="39">
        <v>407</v>
      </c>
      <c r="L22" s="37">
        <v>190922000006</v>
      </c>
      <c r="M22" s="37"/>
      <c r="N22" s="39">
        <v>407</v>
      </c>
      <c r="O22" s="37">
        <v>190922000006</v>
      </c>
      <c r="P22" s="37"/>
      <c r="Q22" s="39">
        <v>407</v>
      </c>
      <c r="R22" s="37">
        <v>190922000006</v>
      </c>
      <c r="S22" s="37"/>
      <c r="T22" s="109">
        <v>407</v>
      </c>
    </row>
    <row r="23" ht="25" customHeight="1" spans="2:20">
      <c r="B23" s="40"/>
      <c r="C23" s="37">
        <v>190828000021</v>
      </c>
      <c r="D23" s="38"/>
      <c r="E23" s="39">
        <v>403</v>
      </c>
      <c r="F23" s="37">
        <v>190828000021</v>
      </c>
      <c r="G23" s="37"/>
      <c r="H23" s="39">
        <v>403</v>
      </c>
      <c r="I23" s="37">
        <v>190828000021</v>
      </c>
      <c r="J23" s="37"/>
      <c r="K23" s="39">
        <v>403</v>
      </c>
      <c r="L23" s="37">
        <v>190828000021</v>
      </c>
      <c r="M23" s="37"/>
      <c r="N23" s="39">
        <v>403</v>
      </c>
      <c r="O23" s="37">
        <v>190828000021</v>
      </c>
      <c r="P23" s="37"/>
      <c r="Q23" s="39">
        <v>403</v>
      </c>
      <c r="R23" s="37">
        <v>190828000021</v>
      </c>
      <c r="S23" s="37"/>
      <c r="T23" s="109">
        <v>403</v>
      </c>
    </row>
    <row r="24" ht="1" customHeight="1" spans="2:20">
      <c r="B24" s="41"/>
      <c r="C24" s="42"/>
      <c r="D24" s="43"/>
      <c r="E24" s="44"/>
      <c r="F24" s="42"/>
      <c r="G24" s="42"/>
      <c r="H24" s="44"/>
      <c r="I24" s="42"/>
      <c r="J24" s="42"/>
      <c r="K24" s="44"/>
      <c r="L24" s="42"/>
      <c r="M24" s="42"/>
      <c r="N24" s="44"/>
      <c r="O24" s="42"/>
      <c r="P24" s="42"/>
      <c r="Q24" s="44"/>
      <c r="R24" s="42"/>
      <c r="S24" s="42"/>
      <c r="T24" s="110"/>
    </row>
    <row r="25" ht="25" customHeight="1" spans="2:20">
      <c r="B25" s="36" t="s">
        <v>144</v>
      </c>
      <c r="C25" s="37">
        <v>191013000009</v>
      </c>
      <c r="D25" s="38"/>
      <c r="E25" s="39">
        <v>404</v>
      </c>
      <c r="F25" s="37">
        <v>191013000009</v>
      </c>
      <c r="G25" s="37"/>
      <c r="H25" s="39">
        <v>404</v>
      </c>
      <c r="I25" s="37">
        <v>191013000009</v>
      </c>
      <c r="J25" s="37"/>
      <c r="K25" s="39">
        <v>404</v>
      </c>
      <c r="L25" s="37">
        <v>191013000009</v>
      </c>
      <c r="M25" s="37"/>
      <c r="N25" s="39">
        <v>404</v>
      </c>
      <c r="O25" s="37">
        <v>191013000009</v>
      </c>
      <c r="P25" s="37"/>
      <c r="Q25" s="39">
        <v>404</v>
      </c>
      <c r="R25" s="37">
        <v>191013000009</v>
      </c>
      <c r="S25" s="37"/>
      <c r="T25" s="109">
        <v>404</v>
      </c>
    </row>
    <row r="26" ht="25" customHeight="1" spans="2:20">
      <c r="B26" s="45"/>
      <c r="C26" s="46"/>
      <c r="D26" s="46"/>
      <c r="E26" s="47">
        <f>SUM(E14:E25)</f>
        <v>892422</v>
      </c>
      <c r="F26" s="48"/>
      <c r="G26" s="48"/>
      <c r="H26" s="47">
        <f>SUM(H14:H25)</f>
        <v>892422</v>
      </c>
      <c r="I26" s="48"/>
      <c r="J26" s="48"/>
      <c r="K26" s="47">
        <f>SUM(K14:K25)</f>
        <v>892422</v>
      </c>
      <c r="L26" s="48"/>
      <c r="M26" s="48"/>
      <c r="N26" s="47">
        <f>SUM(N14:N25)</f>
        <v>892422</v>
      </c>
      <c r="O26" s="48"/>
      <c r="P26" s="48"/>
      <c r="Q26" s="47">
        <f>SUM(Q14:Q25)</f>
        <v>892422</v>
      </c>
      <c r="R26" s="48"/>
      <c r="S26" s="48"/>
      <c r="T26" s="111">
        <f>SUM(T14:T25)</f>
        <v>892422</v>
      </c>
    </row>
    <row r="27" ht="25" customHeight="1" spans="2:20">
      <c r="B27" s="49" t="s">
        <v>115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112"/>
    </row>
    <row r="28" ht="1" customHeight="1" spans="2:20">
      <c r="B28" s="51"/>
      <c r="C28" s="52"/>
      <c r="D28" s="52"/>
      <c r="E28" s="53"/>
      <c r="F28" s="52"/>
      <c r="G28" s="52"/>
      <c r="H28" s="53"/>
      <c r="I28" s="52"/>
      <c r="J28" s="52"/>
      <c r="K28" s="53"/>
      <c r="L28" s="52"/>
      <c r="M28" s="52"/>
      <c r="N28" s="53"/>
      <c r="O28" s="52"/>
      <c r="P28" s="52"/>
      <c r="Q28" s="53"/>
      <c r="R28" s="53"/>
      <c r="S28" s="53"/>
      <c r="T28" s="113"/>
    </row>
    <row r="29" ht="25" customHeight="1" spans="2:20">
      <c r="B29" s="30" t="s">
        <v>116</v>
      </c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107"/>
    </row>
    <row r="30" ht="25" customHeight="1" spans="2:20">
      <c r="B30" s="54" t="s">
        <v>145</v>
      </c>
      <c r="C30" s="55" t="s">
        <v>121</v>
      </c>
      <c r="D30" s="56"/>
      <c r="E30" s="55" t="s">
        <v>146</v>
      </c>
      <c r="F30" s="55" t="s">
        <v>121</v>
      </c>
      <c r="G30" s="34"/>
      <c r="H30" s="55" t="s">
        <v>146</v>
      </c>
      <c r="I30" s="55" t="s">
        <v>121</v>
      </c>
      <c r="J30" s="34"/>
      <c r="K30" s="55" t="s">
        <v>146</v>
      </c>
      <c r="L30" s="55" t="s">
        <v>121</v>
      </c>
      <c r="M30" s="34"/>
      <c r="N30" s="55" t="s">
        <v>146</v>
      </c>
      <c r="O30" s="55" t="s">
        <v>121</v>
      </c>
      <c r="P30" s="34"/>
      <c r="Q30" s="55" t="s">
        <v>146</v>
      </c>
      <c r="R30" s="55" t="s">
        <v>121</v>
      </c>
      <c r="S30" s="34"/>
      <c r="T30" s="114" t="s">
        <v>141</v>
      </c>
    </row>
    <row r="31" ht="25" customHeight="1" spans="2:20">
      <c r="B31" s="36" t="s">
        <v>142</v>
      </c>
      <c r="C31" s="37">
        <v>191025000038</v>
      </c>
      <c r="D31" s="38"/>
      <c r="E31" s="39">
        <v>888787</v>
      </c>
      <c r="F31" s="37">
        <v>191025000038</v>
      </c>
      <c r="G31" s="37"/>
      <c r="H31" s="39">
        <v>888787</v>
      </c>
      <c r="I31" s="37">
        <v>191025000038</v>
      </c>
      <c r="J31" s="37"/>
      <c r="K31" s="39">
        <v>888787</v>
      </c>
      <c r="L31" s="37">
        <v>191025000038</v>
      </c>
      <c r="M31" s="37"/>
      <c r="N31" s="39">
        <v>888787</v>
      </c>
      <c r="O31" s="37">
        <v>191025000038</v>
      </c>
      <c r="P31" s="37"/>
      <c r="Q31" s="39">
        <v>888787</v>
      </c>
      <c r="R31" s="37">
        <v>191025000038</v>
      </c>
      <c r="S31" s="37"/>
      <c r="T31" s="109">
        <v>888787</v>
      </c>
    </row>
    <row r="32" ht="25" customHeight="1" spans="2:20">
      <c r="B32" s="40"/>
      <c r="C32" s="37">
        <v>190922000006</v>
      </c>
      <c r="D32" s="38"/>
      <c r="E32" s="39">
        <v>401</v>
      </c>
      <c r="F32" s="37">
        <v>190922000006</v>
      </c>
      <c r="G32" s="37"/>
      <c r="H32" s="39">
        <v>401</v>
      </c>
      <c r="I32" s="37">
        <v>190922000006</v>
      </c>
      <c r="J32" s="37"/>
      <c r="K32" s="39">
        <v>401</v>
      </c>
      <c r="L32" s="37">
        <v>190922000006</v>
      </c>
      <c r="M32" s="37"/>
      <c r="N32" s="39">
        <v>401</v>
      </c>
      <c r="O32" s="37">
        <v>190922000006</v>
      </c>
      <c r="P32" s="37"/>
      <c r="Q32" s="39">
        <v>401</v>
      </c>
      <c r="R32" s="37">
        <v>190922000006</v>
      </c>
      <c r="S32" s="37"/>
      <c r="T32" s="109">
        <v>401</v>
      </c>
    </row>
    <row r="33" ht="25" customHeight="1" spans="2:20">
      <c r="B33" s="40"/>
      <c r="C33" s="37">
        <v>190828000021</v>
      </c>
      <c r="D33" s="38"/>
      <c r="E33" s="39">
        <v>402</v>
      </c>
      <c r="F33" s="37">
        <v>190828000021</v>
      </c>
      <c r="G33" s="37"/>
      <c r="H33" s="39">
        <v>402</v>
      </c>
      <c r="I33" s="37">
        <v>190828000021</v>
      </c>
      <c r="J33" s="37"/>
      <c r="K33" s="39">
        <v>402</v>
      </c>
      <c r="L33" s="37">
        <v>190828000021</v>
      </c>
      <c r="M33" s="37"/>
      <c r="N33" s="39">
        <v>402</v>
      </c>
      <c r="O33" s="37">
        <v>190828000021</v>
      </c>
      <c r="P33" s="37"/>
      <c r="Q33" s="39">
        <v>402</v>
      </c>
      <c r="R33" s="37">
        <v>190828000021</v>
      </c>
      <c r="S33" s="37"/>
      <c r="T33" s="109">
        <v>402</v>
      </c>
    </row>
    <row r="34" ht="25" customHeight="1" spans="2:20">
      <c r="B34" s="40"/>
      <c r="C34" s="37">
        <v>191025000041</v>
      </c>
      <c r="D34" s="38"/>
      <c r="E34" s="39">
        <v>403</v>
      </c>
      <c r="F34" s="37">
        <v>191025000041</v>
      </c>
      <c r="G34" s="37"/>
      <c r="H34" s="39">
        <v>403</v>
      </c>
      <c r="I34" s="37">
        <v>191025000041</v>
      </c>
      <c r="J34" s="37"/>
      <c r="K34" s="39">
        <v>403</v>
      </c>
      <c r="L34" s="37">
        <v>191025000041</v>
      </c>
      <c r="M34" s="37"/>
      <c r="N34" s="39">
        <v>403</v>
      </c>
      <c r="O34" s="37">
        <v>191025000041</v>
      </c>
      <c r="P34" s="37"/>
      <c r="Q34" s="39">
        <v>403</v>
      </c>
      <c r="R34" s="37">
        <v>191025000041</v>
      </c>
      <c r="S34" s="37"/>
      <c r="T34" s="109">
        <v>403</v>
      </c>
    </row>
    <row r="35" ht="1" customHeight="1" spans="2:20">
      <c r="B35" s="41"/>
      <c r="C35" s="42"/>
      <c r="D35" s="43"/>
      <c r="E35" s="44"/>
      <c r="F35" s="42"/>
      <c r="G35" s="42"/>
      <c r="H35" s="44"/>
      <c r="I35" s="42"/>
      <c r="J35" s="42"/>
      <c r="K35" s="44"/>
      <c r="L35" s="42"/>
      <c r="M35" s="42"/>
      <c r="N35" s="44"/>
      <c r="O35" s="42"/>
      <c r="P35" s="42"/>
      <c r="Q35" s="44"/>
      <c r="R35" s="42"/>
      <c r="S35" s="42"/>
      <c r="T35" s="110"/>
    </row>
    <row r="36" ht="25" customHeight="1" spans="2:20">
      <c r="B36" s="36" t="s">
        <v>143</v>
      </c>
      <c r="C36" s="37">
        <v>191025000040</v>
      </c>
      <c r="D36" s="38"/>
      <c r="E36" s="39">
        <v>404</v>
      </c>
      <c r="F36" s="37">
        <v>191025000040</v>
      </c>
      <c r="G36" s="37"/>
      <c r="H36" s="39">
        <v>404</v>
      </c>
      <c r="I36" s="37">
        <v>191025000040</v>
      </c>
      <c r="J36" s="37"/>
      <c r="K36" s="39">
        <v>404</v>
      </c>
      <c r="L36" s="37">
        <v>191025000040</v>
      </c>
      <c r="M36" s="37"/>
      <c r="N36" s="39">
        <v>404</v>
      </c>
      <c r="O36" s="37">
        <v>191025000040</v>
      </c>
      <c r="P36" s="37"/>
      <c r="Q36" s="39">
        <v>404</v>
      </c>
      <c r="R36" s="37">
        <v>191025000040</v>
      </c>
      <c r="S36" s="37"/>
      <c r="T36" s="109">
        <v>404</v>
      </c>
    </row>
    <row r="37" ht="25" customHeight="1" spans="2:20">
      <c r="B37" s="40"/>
      <c r="C37" s="37">
        <v>191012000003</v>
      </c>
      <c r="D37" s="38"/>
      <c r="E37" s="39">
        <v>405</v>
      </c>
      <c r="F37" s="37">
        <v>191012000003</v>
      </c>
      <c r="G37" s="37"/>
      <c r="H37" s="39">
        <v>405</v>
      </c>
      <c r="I37" s="37">
        <v>191012000003</v>
      </c>
      <c r="J37" s="37"/>
      <c r="K37" s="39">
        <v>405</v>
      </c>
      <c r="L37" s="37">
        <v>191012000003</v>
      </c>
      <c r="M37" s="37"/>
      <c r="N37" s="39">
        <v>405</v>
      </c>
      <c r="O37" s="37">
        <v>191012000003</v>
      </c>
      <c r="P37" s="37"/>
      <c r="Q37" s="39">
        <v>405</v>
      </c>
      <c r="R37" s="37">
        <v>191012000003</v>
      </c>
      <c r="S37" s="37"/>
      <c r="T37" s="109">
        <v>405</v>
      </c>
    </row>
    <row r="38" ht="25" customHeight="1" spans="2:20">
      <c r="B38" s="40"/>
      <c r="C38" s="37">
        <v>191013000009</v>
      </c>
      <c r="D38" s="38"/>
      <c r="E38" s="39">
        <v>406</v>
      </c>
      <c r="F38" s="37">
        <v>191013000009</v>
      </c>
      <c r="G38" s="37"/>
      <c r="H38" s="39">
        <v>406</v>
      </c>
      <c r="I38" s="37">
        <v>191013000009</v>
      </c>
      <c r="J38" s="37"/>
      <c r="K38" s="39">
        <v>406</v>
      </c>
      <c r="L38" s="37">
        <v>191013000009</v>
      </c>
      <c r="M38" s="37"/>
      <c r="N38" s="39">
        <v>406</v>
      </c>
      <c r="O38" s="37">
        <v>191013000009</v>
      </c>
      <c r="P38" s="37"/>
      <c r="Q38" s="39">
        <v>406</v>
      </c>
      <c r="R38" s="37">
        <v>191013000009</v>
      </c>
      <c r="S38" s="37"/>
      <c r="T38" s="109">
        <v>406</v>
      </c>
    </row>
    <row r="39" ht="25" customHeight="1" spans="2:20">
      <c r="B39" s="40"/>
      <c r="C39" s="37">
        <v>190922000006</v>
      </c>
      <c r="D39" s="38"/>
      <c r="E39" s="39">
        <v>407</v>
      </c>
      <c r="F39" s="37">
        <v>190922000006</v>
      </c>
      <c r="G39" s="37"/>
      <c r="H39" s="39">
        <v>407</v>
      </c>
      <c r="I39" s="37">
        <v>190922000006</v>
      </c>
      <c r="J39" s="37"/>
      <c r="K39" s="39">
        <v>407</v>
      </c>
      <c r="L39" s="37">
        <v>190922000006</v>
      </c>
      <c r="M39" s="37"/>
      <c r="N39" s="39">
        <v>407</v>
      </c>
      <c r="O39" s="37">
        <v>190922000006</v>
      </c>
      <c r="P39" s="37"/>
      <c r="Q39" s="39">
        <v>407</v>
      </c>
      <c r="R39" s="37">
        <v>190922000006</v>
      </c>
      <c r="S39" s="37"/>
      <c r="T39" s="109">
        <v>407</v>
      </c>
    </row>
    <row r="40" ht="25" customHeight="1" spans="2:20">
      <c r="B40" s="40"/>
      <c r="C40" s="37">
        <v>190828000021</v>
      </c>
      <c r="D40" s="38"/>
      <c r="E40" s="39">
        <v>403</v>
      </c>
      <c r="F40" s="37">
        <v>190828000021</v>
      </c>
      <c r="G40" s="37"/>
      <c r="H40" s="39">
        <v>403</v>
      </c>
      <c r="I40" s="37">
        <v>190828000021</v>
      </c>
      <c r="J40" s="37"/>
      <c r="K40" s="39">
        <v>403</v>
      </c>
      <c r="L40" s="37">
        <v>190828000021</v>
      </c>
      <c r="M40" s="37"/>
      <c r="N40" s="39">
        <v>403</v>
      </c>
      <c r="O40" s="37">
        <v>190828000021</v>
      </c>
      <c r="P40" s="37"/>
      <c r="Q40" s="39">
        <v>403</v>
      </c>
      <c r="R40" s="37">
        <v>190828000021</v>
      </c>
      <c r="S40" s="37"/>
      <c r="T40" s="109">
        <v>403</v>
      </c>
    </row>
    <row r="41" ht="1" customHeight="1" spans="2:20">
      <c r="B41" s="41"/>
      <c r="C41" s="42"/>
      <c r="D41" s="43"/>
      <c r="E41" s="44"/>
      <c r="F41" s="42"/>
      <c r="G41" s="42"/>
      <c r="H41" s="44"/>
      <c r="I41" s="42"/>
      <c r="J41" s="42"/>
      <c r="K41" s="44"/>
      <c r="L41" s="42"/>
      <c r="M41" s="42"/>
      <c r="N41" s="44"/>
      <c r="O41" s="42"/>
      <c r="P41" s="42"/>
      <c r="Q41" s="44"/>
      <c r="R41" s="42"/>
      <c r="S41" s="42"/>
      <c r="T41" s="110"/>
    </row>
    <row r="42" ht="25" customHeight="1" spans="2:20">
      <c r="B42" s="36" t="s">
        <v>144</v>
      </c>
      <c r="C42" s="37">
        <v>191013000009</v>
      </c>
      <c r="D42" s="38"/>
      <c r="E42" s="39">
        <v>404</v>
      </c>
      <c r="F42" s="37">
        <v>191013000009</v>
      </c>
      <c r="G42" s="37"/>
      <c r="H42" s="39">
        <v>404</v>
      </c>
      <c r="I42" s="37">
        <v>191013000009</v>
      </c>
      <c r="J42" s="37"/>
      <c r="K42" s="39">
        <v>404</v>
      </c>
      <c r="L42" s="37">
        <v>191013000009</v>
      </c>
      <c r="M42" s="37"/>
      <c r="N42" s="39">
        <v>404</v>
      </c>
      <c r="O42" s="37">
        <v>191013000009</v>
      </c>
      <c r="P42" s="37"/>
      <c r="Q42" s="39">
        <v>404</v>
      </c>
      <c r="R42" s="37">
        <v>191013000009</v>
      </c>
      <c r="S42" s="37"/>
      <c r="T42" s="109">
        <v>404</v>
      </c>
    </row>
    <row r="43" ht="25" customHeight="1" spans="2:20">
      <c r="B43" s="45"/>
      <c r="C43" s="46"/>
      <c r="D43" s="46"/>
      <c r="E43" s="57">
        <f>SUM(E31:E42)</f>
        <v>892422</v>
      </c>
      <c r="F43" s="48"/>
      <c r="G43" s="48"/>
      <c r="H43" s="57">
        <f>SUM(H31:H42)</f>
        <v>892422</v>
      </c>
      <c r="I43" s="48"/>
      <c r="J43" s="48"/>
      <c r="K43" s="57">
        <f>SUM(K31:K42)</f>
        <v>892422</v>
      </c>
      <c r="L43" s="48"/>
      <c r="M43" s="48"/>
      <c r="N43" s="57">
        <f>SUM(N31:N42)</f>
        <v>892422</v>
      </c>
      <c r="O43" s="48"/>
      <c r="P43" s="48"/>
      <c r="Q43" s="57">
        <f>SUM(Q31:Q42)</f>
        <v>892422</v>
      </c>
      <c r="R43" s="48"/>
      <c r="S43" s="48"/>
      <c r="T43" s="115">
        <f>SUM(T31:T42)</f>
        <v>892422</v>
      </c>
    </row>
    <row r="44" ht="25" customHeight="1" spans="2:20">
      <c r="B44" s="49" t="s">
        <v>117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112"/>
    </row>
    <row r="45" ht="1" customHeight="1" spans="2:20"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106"/>
    </row>
    <row r="46" ht="25" customHeight="1" spans="2:20">
      <c r="B46" s="58" t="s">
        <v>118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116"/>
    </row>
    <row r="47" ht="25" customHeight="1" spans="2:20">
      <c r="B47" s="60" t="s">
        <v>36</v>
      </c>
      <c r="C47" s="61" t="s">
        <v>120</v>
      </c>
      <c r="D47" s="132"/>
      <c r="E47" s="132"/>
      <c r="F47" s="132"/>
      <c r="G47" s="62" t="s">
        <v>121</v>
      </c>
      <c r="H47" s="62"/>
      <c r="I47" s="81" t="s">
        <v>122</v>
      </c>
      <c r="J47" s="81"/>
      <c r="K47" s="82" t="s">
        <v>123</v>
      </c>
      <c r="L47" s="82"/>
      <c r="M47" s="83" t="s">
        <v>124</v>
      </c>
      <c r="N47" s="83" t="s">
        <v>125</v>
      </c>
      <c r="O47" s="83"/>
      <c r="P47" s="84" t="s">
        <v>47</v>
      </c>
      <c r="Q47" s="117" t="s">
        <v>126</v>
      </c>
      <c r="R47" s="117"/>
      <c r="S47" s="117" t="s">
        <v>127</v>
      </c>
      <c r="T47" s="118"/>
    </row>
    <row r="48" ht="25" customHeight="1" spans="2:20">
      <c r="B48" s="63">
        <v>1</v>
      </c>
      <c r="C48" s="25" t="s">
        <v>147</v>
      </c>
      <c r="D48" s="25"/>
      <c r="E48" s="25"/>
      <c r="F48" s="25"/>
      <c r="G48" s="38" t="s">
        <v>148</v>
      </c>
      <c r="H48" s="38"/>
      <c r="I48" s="85" t="s">
        <v>149</v>
      </c>
      <c r="J48" s="85"/>
      <c r="K48" s="86">
        <v>30</v>
      </c>
      <c r="L48" s="86"/>
      <c r="M48" s="87">
        <v>2500</v>
      </c>
      <c r="N48" s="87">
        <v>75000</v>
      </c>
      <c r="O48" s="87"/>
      <c r="P48" s="88" t="s">
        <v>67</v>
      </c>
      <c r="Q48" s="119" t="s">
        <v>130</v>
      </c>
      <c r="R48" s="120"/>
      <c r="S48" s="121" t="s">
        <v>150</v>
      </c>
      <c r="T48" s="122"/>
    </row>
    <row r="49" ht="25" customHeight="1" spans="2:20">
      <c r="B49" s="64">
        <v>2</v>
      </c>
      <c r="C49" s="65" t="s">
        <v>151</v>
      </c>
      <c r="D49" s="66"/>
      <c r="E49" s="66"/>
      <c r="F49" s="66"/>
      <c r="G49" s="67" t="s">
        <v>148</v>
      </c>
      <c r="H49" s="67"/>
      <c r="I49" s="89" t="s">
        <v>152</v>
      </c>
      <c r="J49" s="89"/>
      <c r="K49" s="90">
        <v>350</v>
      </c>
      <c r="L49" s="90"/>
      <c r="M49" s="91">
        <v>1</v>
      </c>
      <c r="N49" s="91">
        <v>350</v>
      </c>
      <c r="O49" s="91"/>
      <c r="P49" s="92" t="s">
        <v>131</v>
      </c>
      <c r="Q49" s="123" t="s">
        <v>130</v>
      </c>
      <c r="R49" s="124"/>
      <c r="S49" s="125" t="s">
        <v>153</v>
      </c>
      <c r="T49" s="126"/>
    </row>
    <row r="50" ht="25" customHeight="1" spans="2:20">
      <c r="B50" s="63">
        <v>3</v>
      </c>
      <c r="C50" s="25" t="s">
        <v>154</v>
      </c>
      <c r="D50" s="25"/>
      <c r="E50" s="25"/>
      <c r="F50" s="25"/>
      <c r="G50" s="38" t="s">
        <v>148</v>
      </c>
      <c r="H50" s="38"/>
      <c r="I50" s="85" t="s">
        <v>155</v>
      </c>
      <c r="J50" s="85"/>
      <c r="K50" s="86">
        <v>30</v>
      </c>
      <c r="L50" s="86"/>
      <c r="M50" s="87">
        <v>1</v>
      </c>
      <c r="N50" s="87">
        <v>30</v>
      </c>
      <c r="O50" s="87"/>
      <c r="P50" s="93" t="s">
        <v>131</v>
      </c>
      <c r="Q50" s="119" t="s">
        <v>130</v>
      </c>
      <c r="R50" s="120"/>
      <c r="S50" s="121" t="s">
        <v>156</v>
      </c>
      <c r="T50" s="122"/>
    </row>
    <row r="51" ht="25" customHeight="1" spans="2:20">
      <c r="B51" s="64">
        <v>4</v>
      </c>
      <c r="C51" s="66" t="s">
        <v>154</v>
      </c>
      <c r="D51" s="66"/>
      <c r="E51" s="66"/>
      <c r="F51" s="66"/>
      <c r="G51" s="67" t="s">
        <v>148</v>
      </c>
      <c r="H51" s="67"/>
      <c r="I51" s="89" t="s">
        <v>157</v>
      </c>
      <c r="J51" s="89"/>
      <c r="K51" s="90">
        <v>30</v>
      </c>
      <c r="L51" s="90"/>
      <c r="M51" s="91">
        <v>1</v>
      </c>
      <c r="N51" s="91">
        <v>30</v>
      </c>
      <c r="O51" s="91"/>
      <c r="P51" s="92" t="s">
        <v>131</v>
      </c>
      <c r="Q51" s="123" t="s">
        <v>130</v>
      </c>
      <c r="R51" s="124"/>
      <c r="S51" s="125" t="s">
        <v>158</v>
      </c>
      <c r="T51" s="126"/>
    </row>
    <row r="52" ht="25" customHeight="1" spans="2:20">
      <c r="B52" s="63">
        <v>5</v>
      </c>
      <c r="C52" s="25" t="s">
        <v>154</v>
      </c>
      <c r="D52" s="25"/>
      <c r="E52" s="25"/>
      <c r="F52" s="25"/>
      <c r="G52" s="38" t="s">
        <v>148</v>
      </c>
      <c r="H52" s="38"/>
      <c r="I52" s="85" t="s">
        <v>159</v>
      </c>
      <c r="J52" s="85"/>
      <c r="K52" s="86">
        <v>30</v>
      </c>
      <c r="L52" s="86"/>
      <c r="M52" s="87">
        <v>2</v>
      </c>
      <c r="N52" s="87">
        <v>60</v>
      </c>
      <c r="O52" s="87"/>
      <c r="P52" s="93" t="s">
        <v>131</v>
      </c>
      <c r="Q52" s="119" t="s">
        <v>130</v>
      </c>
      <c r="R52" s="120"/>
      <c r="S52" s="121" t="s">
        <v>160</v>
      </c>
      <c r="T52" s="122"/>
    </row>
    <row r="53" ht="25" customHeight="1" spans="2:20">
      <c r="B53" s="64">
        <v>6</v>
      </c>
      <c r="C53" s="66" t="s">
        <v>154</v>
      </c>
      <c r="D53" s="66"/>
      <c r="E53" s="66"/>
      <c r="F53" s="66"/>
      <c r="G53" s="67">
        <v>190922000006</v>
      </c>
      <c r="H53" s="67"/>
      <c r="I53" s="89" t="s">
        <v>161</v>
      </c>
      <c r="J53" s="89"/>
      <c r="K53" s="90">
        <v>30</v>
      </c>
      <c r="L53" s="90"/>
      <c r="M53" s="91">
        <v>1</v>
      </c>
      <c r="N53" s="91">
        <v>30</v>
      </c>
      <c r="O53" s="91"/>
      <c r="P53" s="92" t="s">
        <v>131</v>
      </c>
      <c r="Q53" s="123" t="s">
        <v>130</v>
      </c>
      <c r="R53" s="124"/>
      <c r="S53" s="125" t="s">
        <v>162</v>
      </c>
      <c r="T53" s="126"/>
    </row>
    <row r="54" ht="25" customHeight="1" spans="2:20">
      <c r="B54" s="63">
        <v>7</v>
      </c>
      <c r="C54" s="25" t="s">
        <v>154</v>
      </c>
      <c r="D54" s="25"/>
      <c r="E54" s="25"/>
      <c r="F54" s="25"/>
      <c r="G54" s="38">
        <v>190922000006</v>
      </c>
      <c r="H54" s="38"/>
      <c r="I54" s="85" t="s">
        <v>163</v>
      </c>
      <c r="J54" s="85"/>
      <c r="K54" s="86">
        <v>30</v>
      </c>
      <c r="L54" s="86"/>
      <c r="M54" s="87">
        <v>2</v>
      </c>
      <c r="N54" s="87">
        <v>60</v>
      </c>
      <c r="O54" s="87"/>
      <c r="P54" s="93" t="s">
        <v>131</v>
      </c>
      <c r="Q54" s="119" t="s">
        <v>130</v>
      </c>
      <c r="R54" s="120"/>
      <c r="S54" s="121" t="s">
        <v>164</v>
      </c>
      <c r="T54" s="122"/>
    </row>
    <row r="55" ht="25" customHeight="1" spans="2:20">
      <c r="B55" s="64">
        <v>8</v>
      </c>
      <c r="C55" s="66" t="s">
        <v>154</v>
      </c>
      <c r="D55" s="66"/>
      <c r="E55" s="66"/>
      <c r="F55" s="66"/>
      <c r="G55" s="67">
        <v>191013000009</v>
      </c>
      <c r="H55" s="67"/>
      <c r="I55" s="89" t="s">
        <v>165</v>
      </c>
      <c r="J55" s="89"/>
      <c r="K55" s="90">
        <v>30</v>
      </c>
      <c r="L55" s="90"/>
      <c r="M55" s="91">
        <v>1</v>
      </c>
      <c r="N55" s="91">
        <v>30</v>
      </c>
      <c r="O55" s="91"/>
      <c r="P55" s="92" t="s">
        <v>131</v>
      </c>
      <c r="Q55" s="123" t="s">
        <v>130</v>
      </c>
      <c r="R55" s="124"/>
      <c r="S55" s="125" t="s">
        <v>166</v>
      </c>
      <c r="T55" s="126"/>
    </row>
    <row r="56" ht="25" customHeight="1" spans="2:20">
      <c r="B56" s="63">
        <v>9</v>
      </c>
      <c r="C56" s="25" t="s">
        <v>154</v>
      </c>
      <c r="D56" s="25"/>
      <c r="E56" s="25"/>
      <c r="F56" s="25"/>
      <c r="G56" s="38" t="s">
        <v>148</v>
      </c>
      <c r="H56" s="38"/>
      <c r="I56" s="85" t="s">
        <v>163</v>
      </c>
      <c r="J56" s="85"/>
      <c r="K56" s="86">
        <v>30</v>
      </c>
      <c r="L56" s="86"/>
      <c r="M56" s="87">
        <v>1</v>
      </c>
      <c r="N56" s="87">
        <v>30</v>
      </c>
      <c r="O56" s="87"/>
      <c r="P56" s="93" t="s">
        <v>131</v>
      </c>
      <c r="Q56" s="119" t="s">
        <v>130</v>
      </c>
      <c r="R56" s="120"/>
      <c r="S56" s="121" t="s">
        <v>167</v>
      </c>
      <c r="T56" s="122"/>
    </row>
    <row r="57" ht="25" customHeight="1" spans="2:20">
      <c r="B57" s="64">
        <v>10</v>
      </c>
      <c r="C57" s="66" t="s">
        <v>154</v>
      </c>
      <c r="D57" s="66"/>
      <c r="E57" s="66"/>
      <c r="F57" s="66"/>
      <c r="G57" s="67" t="s">
        <v>148</v>
      </c>
      <c r="H57" s="67"/>
      <c r="I57" s="89" t="s">
        <v>163</v>
      </c>
      <c r="J57" s="89"/>
      <c r="K57" s="90">
        <v>30</v>
      </c>
      <c r="L57" s="90"/>
      <c r="M57" s="91">
        <v>1</v>
      </c>
      <c r="N57" s="91">
        <v>30</v>
      </c>
      <c r="O57" s="91"/>
      <c r="P57" s="92" t="s">
        <v>131</v>
      </c>
      <c r="Q57" s="123" t="s">
        <v>130</v>
      </c>
      <c r="R57" s="124"/>
      <c r="S57" s="125" t="s">
        <v>168</v>
      </c>
      <c r="T57" s="126"/>
    </row>
    <row r="58" ht="25" customHeight="1" spans="2:20">
      <c r="B58" s="63">
        <v>11</v>
      </c>
      <c r="C58" s="25" t="s">
        <v>154</v>
      </c>
      <c r="D58" s="25"/>
      <c r="E58" s="25"/>
      <c r="F58" s="25"/>
      <c r="G58" s="38" t="s">
        <v>148</v>
      </c>
      <c r="H58" s="38"/>
      <c r="I58" s="85" t="s">
        <v>163</v>
      </c>
      <c r="J58" s="85"/>
      <c r="K58" s="86">
        <v>30</v>
      </c>
      <c r="L58" s="86"/>
      <c r="M58" s="87">
        <v>1</v>
      </c>
      <c r="N58" s="87">
        <v>30</v>
      </c>
      <c r="O58" s="87"/>
      <c r="P58" s="93" t="s">
        <v>169</v>
      </c>
      <c r="Q58" s="127" t="s">
        <v>170</v>
      </c>
      <c r="R58" s="127"/>
      <c r="S58" s="121" t="s">
        <v>171</v>
      </c>
      <c r="T58" s="122"/>
    </row>
    <row r="59" ht="25" customHeight="1" spans="2:20">
      <c r="B59" s="64">
        <v>12</v>
      </c>
      <c r="C59" s="66" t="s">
        <v>154</v>
      </c>
      <c r="D59" s="66"/>
      <c r="E59" s="66"/>
      <c r="F59" s="66"/>
      <c r="G59" s="67" t="s">
        <v>148</v>
      </c>
      <c r="H59" s="67"/>
      <c r="I59" s="89" t="s">
        <v>163</v>
      </c>
      <c r="J59" s="89"/>
      <c r="K59" s="89">
        <v>30</v>
      </c>
      <c r="L59" s="89"/>
      <c r="M59" s="91">
        <v>1</v>
      </c>
      <c r="N59" s="92">
        <v>30</v>
      </c>
      <c r="O59" s="92"/>
      <c r="P59" s="92" t="s">
        <v>169</v>
      </c>
      <c r="Q59" s="128" t="s">
        <v>172</v>
      </c>
      <c r="R59" s="128"/>
      <c r="S59" s="125" t="s">
        <v>173</v>
      </c>
      <c r="T59" s="126"/>
    </row>
    <row r="60" s="2" customFormat="1" ht="25" customHeight="1" spans="2:21">
      <c r="B60" s="68"/>
      <c r="C60" s="69"/>
      <c r="D60" s="69"/>
      <c r="E60" s="69"/>
      <c r="F60" s="69"/>
      <c r="G60" s="69"/>
      <c r="H60" s="70"/>
      <c r="I60" s="70"/>
      <c r="J60" s="70"/>
      <c r="K60" s="94"/>
      <c r="L60" s="95" t="s">
        <v>135</v>
      </c>
      <c r="M60" s="95"/>
      <c r="N60" s="96">
        <f>SUM(N48:N59)</f>
        <v>75710</v>
      </c>
      <c r="O60" s="96"/>
      <c r="P60" s="97"/>
      <c r="Q60" s="97"/>
      <c r="R60" s="129"/>
      <c r="S60" s="97"/>
      <c r="T60" s="130"/>
      <c r="U60" s="3"/>
    </row>
    <row r="61" ht="25" customHeight="1" spans="2:20">
      <c r="B61" s="71" t="s">
        <v>136</v>
      </c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5"/>
    </row>
  </sheetData>
  <mergeCells count="296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H3"/>
    <mergeCell ref="I3:K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F13:G13"/>
    <mergeCell ref="I13:J13"/>
    <mergeCell ref="L13:M13"/>
    <mergeCell ref="O13:P13"/>
    <mergeCell ref="R13:S13"/>
    <mergeCell ref="C14:D14"/>
    <mergeCell ref="F14:G14"/>
    <mergeCell ref="I14:J14"/>
    <mergeCell ref="L14:M14"/>
    <mergeCell ref="O14:P14"/>
    <mergeCell ref="R14:S14"/>
    <mergeCell ref="C15:D15"/>
    <mergeCell ref="F15:G15"/>
    <mergeCell ref="I15:J15"/>
    <mergeCell ref="L15:M15"/>
    <mergeCell ref="O15:P15"/>
    <mergeCell ref="R15:S15"/>
    <mergeCell ref="C16:D16"/>
    <mergeCell ref="F16:G16"/>
    <mergeCell ref="I16:J16"/>
    <mergeCell ref="L16:M16"/>
    <mergeCell ref="O16:P16"/>
    <mergeCell ref="R16:S16"/>
    <mergeCell ref="C17:D17"/>
    <mergeCell ref="F17:G17"/>
    <mergeCell ref="I17:J17"/>
    <mergeCell ref="L17:M17"/>
    <mergeCell ref="O17:P17"/>
    <mergeCell ref="R17:S17"/>
    <mergeCell ref="C19:D19"/>
    <mergeCell ref="F19:G19"/>
    <mergeCell ref="I19:J19"/>
    <mergeCell ref="L19:M19"/>
    <mergeCell ref="O19:P19"/>
    <mergeCell ref="R19:S19"/>
    <mergeCell ref="C20:D20"/>
    <mergeCell ref="F20:G20"/>
    <mergeCell ref="I20:J20"/>
    <mergeCell ref="L20:M20"/>
    <mergeCell ref="O20:P20"/>
    <mergeCell ref="R20:S20"/>
    <mergeCell ref="C21:D21"/>
    <mergeCell ref="F21:G21"/>
    <mergeCell ref="I21:J21"/>
    <mergeCell ref="L21:M21"/>
    <mergeCell ref="O21:P21"/>
    <mergeCell ref="R21:S21"/>
    <mergeCell ref="C22:D22"/>
    <mergeCell ref="F22:G22"/>
    <mergeCell ref="I22:J22"/>
    <mergeCell ref="L22:M22"/>
    <mergeCell ref="O22:P22"/>
    <mergeCell ref="R22:S22"/>
    <mergeCell ref="C23:D23"/>
    <mergeCell ref="F23:G23"/>
    <mergeCell ref="I23:J23"/>
    <mergeCell ref="L23:M23"/>
    <mergeCell ref="O23:P23"/>
    <mergeCell ref="R23:S23"/>
    <mergeCell ref="C25:D25"/>
    <mergeCell ref="F25:G25"/>
    <mergeCell ref="I25:J25"/>
    <mergeCell ref="L25:M25"/>
    <mergeCell ref="O25:P25"/>
    <mergeCell ref="R25:S25"/>
    <mergeCell ref="B27:T27"/>
    <mergeCell ref="B29:T29"/>
    <mergeCell ref="C30:D30"/>
    <mergeCell ref="F30:G30"/>
    <mergeCell ref="I30:J30"/>
    <mergeCell ref="L30:M30"/>
    <mergeCell ref="O30:P30"/>
    <mergeCell ref="R30:S30"/>
    <mergeCell ref="C31:D31"/>
    <mergeCell ref="F31:G31"/>
    <mergeCell ref="I31:J31"/>
    <mergeCell ref="L31:M31"/>
    <mergeCell ref="O31:P31"/>
    <mergeCell ref="R31:S31"/>
    <mergeCell ref="C32:D32"/>
    <mergeCell ref="F32:G32"/>
    <mergeCell ref="I32:J32"/>
    <mergeCell ref="L32:M32"/>
    <mergeCell ref="O32:P32"/>
    <mergeCell ref="R32:S32"/>
    <mergeCell ref="C33:D33"/>
    <mergeCell ref="F33:G33"/>
    <mergeCell ref="I33:J33"/>
    <mergeCell ref="L33:M33"/>
    <mergeCell ref="O33:P33"/>
    <mergeCell ref="R33:S33"/>
    <mergeCell ref="C34:D34"/>
    <mergeCell ref="F34:G34"/>
    <mergeCell ref="I34:J34"/>
    <mergeCell ref="L34:M34"/>
    <mergeCell ref="O34:P34"/>
    <mergeCell ref="R34:S34"/>
    <mergeCell ref="C36:D36"/>
    <mergeCell ref="F36:G36"/>
    <mergeCell ref="I36:J36"/>
    <mergeCell ref="L36:M36"/>
    <mergeCell ref="O36:P36"/>
    <mergeCell ref="R36:S36"/>
    <mergeCell ref="C37:D37"/>
    <mergeCell ref="F37:G37"/>
    <mergeCell ref="I37:J37"/>
    <mergeCell ref="L37:M37"/>
    <mergeCell ref="O37:P37"/>
    <mergeCell ref="R37:S37"/>
    <mergeCell ref="C38:D38"/>
    <mergeCell ref="F38:G38"/>
    <mergeCell ref="I38:J38"/>
    <mergeCell ref="L38:M38"/>
    <mergeCell ref="O38:P38"/>
    <mergeCell ref="R38:S38"/>
    <mergeCell ref="C39:D39"/>
    <mergeCell ref="F39:G39"/>
    <mergeCell ref="I39:J39"/>
    <mergeCell ref="L39:M39"/>
    <mergeCell ref="O39:P39"/>
    <mergeCell ref="R39:S39"/>
    <mergeCell ref="C40:D40"/>
    <mergeCell ref="F40:G40"/>
    <mergeCell ref="I40:J40"/>
    <mergeCell ref="L40:M40"/>
    <mergeCell ref="O40:P40"/>
    <mergeCell ref="R40:S40"/>
    <mergeCell ref="C42:D42"/>
    <mergeCell ref="F42:G42"/>
    <mergeCell ref="I42:J42"/>
    <mergeCell ref="L42:M42"/>
    <mergeCell ref="O42:P42"/>
    <mergeCell ref="R42:S42"/>
    <mergeCell ref="B44:T44"/>
    <mergeCell ref="B45:T45"/>
    <mergeCell ref="B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C58:F58"/>
    <mergeCell ref="G58:H58"/>
    <mergeCell ref="I58:J58"/>
    <mergeCell ref="K58:L58"/>
    <mergeCell ref="N58:O58"/>
    <mergeCell ref="Q58:R58"/>
    <mergeCell ref="S58:T58"/>
    <mergeCell ref="C59:F59"/>
    <mergeCell ref="G59:H59"/>
    <mergeCell ref="I59:J59"/>
    <mergeCell ref="K59:L59"/>
    <mergeCell ref="N59:O59"/>
    <mergeCell ref="Q59:R59"/>
    <mergeCell ref="S59:T59"/>
    <mergeCell ref="L60:M60"/>
    <mergeCell ref="N60:O60"/>
    <mergeCell ref="B61:T61"/>
    <mergeCell ref="B14:B17"/>
    <mergeCell ref="B19:B23"/>
    <mergeCell ref="B31:B34"/>
    <mergeCell ref="B36:B40"/>
  </mergeCells>
  <pageMargins left="1.10208333333333" right="0.393055555555556" top="0" bottom="0" header="0.5" footer="0.5"/>
  <pageSetup paperSize="5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61"/>
  <sheetViews>
    <sheetView topLeftCell="B35" workbookViewId="0">
      <selection activeCell="B46" sqref="B46:T46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89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98"/>
    </row>
    <row r="2" s="1" customFormat="1" ht="25" customHeight="1" spans="2:21">
      <c r="B2" s="7" t="s">
        <v>90</v>
      </c>
      <c r="C2" s="8"/>
      <c r="D2" s="9" t="s">
        <v>91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3"/>
      <c r="Q2" s="73"/>
      <c r="R2" s="73"/>
      <c r="S2" s="73"/>
      <c r="T2" s="99"/>
      <c r="U2" s="100"/>
    </row>
    <row r="3" s="1" customFormat="1" ht="25" customHeight="1" spans="2:21">
      <c r="B3" s="7" t="s">
        <v>92</v>
      </c>
      <c r="C3" s="8"/>
      <c r="D3" s="8" t="s">
        <v>93</v>
      </c>
      <c r="E3" s="8"/>
      <c r="F3" s="9" t="s">
        <v>94</v>
      </c>
      <c r="G3" s="9"/>
      <c r="H3" s="9"/>
      <c r="I3" s="9" t="s">
        <v>95</v>
      </c>
      <c r="J3" s="9"/>
      <c r="K3" s="9"/>
      <c r="L3" s="8" t="s">
        <v>96</v>
      </c>
      <c r="M3" s="8"/>
      <c r="N3" s="8" t="s">
        <v>97</v>
      </c>
      <c r="O3" s="8"/>
      <c r="P3" s="73"/>
      <c r="Q3" s="73"/>
      <c r="R3" s="73"/>
      <c r="S3" s="73"/>
      <c r="T3" s="99"/>
      <c r="U3" s="100"/>
    </row>
    <row r="4" ht="25" customHeight="1" spans="2:20">
      <c r="B4" s="10" t="s">
        <v>137</v>
      </c>
      <c r="C4" s="11"/>
      <c r="D4" s="11"/>
      <c r="E4" s="12" t="s">
        <v>99</v>
      </c>
      <c r="F4" s="12"/>
      <c r="G4" s="12"/>
      <c r="H4" s="12" t="s">
        <v>138</v>
      </c>
      <c r="I4" s="12"/>
      <c r="J4" s="12"/>
      <c r="K4" s="74"/>
      <c r="L4" s="75"/>
      <c r="M4" s="76"/>
      <c r="N4" s="76"/>
      <c r="O4" s="76"/>
      <c r="P4" s="76"/>
      <c r="Q4" s="76"/>
      <c r="R4" s="76"/>
      <c r="S4" s="76"/>
      <c r="T4" s="101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2"/>
    </row>
    <row r="6" ht="25" customHeight="1" spans="2:20">
      <c r="B6" s="15" t="s">
        <v>37</v>
      </c>
      <c r="C6" s="16"/>
      <c r="D6" s="17" t="s">
        <v>101</v>
      </c>
      <c r="E6" s="18" t="s">
        <v>102</v>
      </c>
      <c r="F6" s="18"/>
      <c r="G6" s="18" t="s">
        <v>45</v>
      </c>
      <c r="H6" s="18"/>
      <c r="I6" s="18" t="s">
        <v>103</v>
      </c>
      <c r="J6" s="18"/>
      <c r="K6" s="18" t="s">
        <v>104</v>
      </c>
      <c r="L6" s="18"/>
      <c r="M6" s="18" t="s">
        <v>105</v>
      </c>
      <c r="N6" s="18"/>
      <c r="O6" s="77" t="s">
        <v>106</v>
      </c>
      <c r="P6" s="77"/>
      <c r="Q6" s="77" t="s">
        <v>107</v>
      </c>
      <c r="R6" s="77"/>
      <c r="S6" s="17"/>
      <c r="T6" s="103"/>
    </row>
    <row r="7" ht="25" customHeight="1" spans="2:20">
      <c r="B7" s="19" t="s">
        <v>108</v>
      </c>
      <c r="C7" s="20"/>
      <c r="D7" s="21" t="s">
        <v>109</v>
      </c>
      <c r="E7" s="22">
        <v>50</v>
      </c>
      <c r="F7" s="22"/>
      <c r="G7" s="23">
        <v>20</v>
      </c>
      <c r="H7" s="23"/>
      <c r="I7" s="22">
        <v>1300</v>
      </c>
      <c r="J7" s="22"/>
      <c r="K7" s="78">
        <v>0.52</v>
      </c>
      <c r="L7" s="78"/>
      <c r="M7" s="78">
        <v>0.52</v>
      </c>
      <c r="N7" s="78"/>
      <c r="O7" s="79">
        <v>0.52</v>
      </c>
      <c r="P7" s="79"/>
      <c r="Q7" s="104">
        <v>0.9</v>
      </c>
      <c r="R7" s="104"/>
      <c r="S7" s="21"/>
      <c r="T7" s="105"/>
    </row>
    <row r="8" ht="25" customHeight="1" spans="2:20">
      <c r="B8" s="24" t="s">
        <v>110</v>
      </c>
      <c r="C8" s="25"/>
      <c r="D8" s="21" t="s">
        <v>111</v>
      </c>
      <c r="E8" s="22">
        <v>20</v>
      </c>
      <c r="F8" s="22"/>
      <c r="G8" s="23">
        <v>20</v>
      </c>
      <c r="H8" s="23"/>
      <c r="I8" s="22">
        <v>1000</v>
      </c>
      <c r="J8" s="22"/>
      <c r="K8" s="78">
        <v>0.4</v>
      </c>
      <c r="L8" s="78"/>
      <c r="M8" s="78">
        <v>0.4</v>
      </c>
      <c r="N8" s="78"/>
      <c r="O8" s="79">
        <v>0.4</v>
      </c>
      <c r="P8" s="79"/>
      <c r="Q8" s="104">
        <v>0.7</v>
      </c>
      <c r="R8" s="104"/>
      <c r="S8" s="25"/>
      <c r="T8" s="105"/>
    </row>
    <row r="9" ht="25" customHeight="1" spans="2:20">
      <c r="B9" s="24" t="s">
        <v>112</v>
      </c>
      <c r="C9" s="25"/>
      <c r="D9" s="21" t="s">
        <v>113</v>
      </c>
      <c r="E9" s="22">
        <v>5</v>
      </c>
      <c r="F9" s="22"/>
      <c r="G9" s="23">
        <v>5</v>
      </c>
      <c r="H9" s="23"/>
      <c r="I9" s="22">
        <v>200</v>
      </c>
      <c r="J9" s="22"/>
      <c r="K9" s="78">
        <v>0.08</v>
      </c>
      <c r="L9" s="78"/>
      <c r="M9" s="78">
        <v>0.08</v>
      </c>
      <c r="N9" s="78"/>
      <c r="O9" s="79">
        <v>0.08</v>
      </c>
      <c r="P9" s="79"/>
      <c r="Q9" s="79">
        <v>0.5</v>
      </c>
      <c r="R9" s="79"/>
      <c r="S9" s="21"/>
      <c r="T9" s="105"/>
    </row>
    <row r="10" ht="25" customHeight="1" spans="2:20">
      <c r="B10" s="24"/>
      <c r="C10" s="21"/>
      <c r="D10" s="21"/>
      <c r="E10" s="26">
        <f t="shared" ref="E10:I10" si="0">SUM(E7:E9)</f>
        <v>75</v>
      </c>
      <c r="F10" s="26"/>
      <c r="G10" s="27">
        <f t="shared" si="0"/>
        <v>45</v>
      </c>
      <c r="H10" s="27"/>
      <c r="I10" s="26">
        <f t="shared" si="0"/>
        <v>2500</v>
      </c>
      <c r="J10" s="26"/>
      <c r="K10" s="80"/>
      <c r="L10" s="80"/>
      <c r="M10" s="80"/>
      <c r="N10" s="80"/>
      <c r="O10" s="25"/>
      <c r="P10" s="25"/>
      <c r="Q10" s="25"/>
      <c r="R10" s="25"/>
      <c r="S10" s="21"/>
      <c r="T10" s="105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06"/>
    </row>
    <row r="12" ht="25" customHeight="1" spans="2:20">
      <c r="B12" s="30" t="s">
        <v>114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07"/>
    </row>
    <row r="13" ht="25" customHeight="1" spans="2:20">
      <c r="B13" s="33" t="s">
        <v>139</v>
      </c>
      <c r="C13" s="34" t="s">
        <v>140</v>
      </c>
      <c r="D13" s="35"/>
      <c r="E13" s="34" t="s">
        <v>141</v>
      </c>
      <c r="F13" s="34" t="s">
        <v>140</v>
      </c>
      <c r="G13" s="34"/>
      <c r="H13" s="34" t="s">
        <v>141</v>
      </c>
      <c r="I13" s="34" t="s">
        <v>140</v>
      </c>
      <c r="J13" s="34"/>
      <c r="K13" s="34" t="s">
        <v>141</v>
      </c>
      <c r="L13" s="34" t="s">
        <v>140</v>
      </c>
      <c r="M13" s="34"/>
      <c r="N13" s="34" t="s">
        <v>141</v>
      </c>
      <c r="O13" s="34" t="s">
        <v>140</v>
      </c>
      <c r="P13" s="34"/>
      <c r="Q13" s="34" t="s">
        <v>141</v>
      </c>
      <c r="R13" s="34" t="s">
        <v>140</v>
      </c>
      <c r="S13" s="34"/>
      <c r="T13" s="108" t="s">
        <v>141</v>
      </c>
    </row>
    <row r="14" ht="25" customHeight="1" spans="2:20">
      <c r="B14" s="36" t="s">
        <v>142</v>
      </c>
      <c r="C14" s="37">
        <v>191025000038</v>
      </c>
      <c r="D14" s="38"/>
      <c r="E14" s="39">
        <v>888787</v>
      </c>
      <c r="F14" s="37">
        <v>191025000038</v>
      </c>
      <c r="G14" s="37"/>
      <c r="H14" s="39">
        <v>888787</v>
      </c>
      <c r="I14" s="37">
        <v>191025000038</v>
      </c>
      <c r="J14" s="37"/>
      <c r="K14" s="39">
        <v>888787</v>
      </c>
      <c r="L14" s="37">
        <v>191025000038</v>
      </c>
      <c r="M14" s="37"/>
      <c r="N14" s="39">
        <v>888787</v>
      </c>
      <c r="O14" s="37">
        <v>191025000038</v>
      </c>
      <c r="P14" s="37"/>
      <c r="Q14" s="39">
        <v>888787</v>
      </c>
      <c r="R14" s="37">
        <v>191025000038</v>
      </c>
      <c r="S14" s="37"/>
      <c r="T14" s="109">
        <v>888787</v>
      </c>
    </row>
    <row r="15" ht="25" customHeight="1" spans="2:20">
      <c r="B15" s="40"/>
      <c r="C15" s="37">
        <v>190922000006</v>
      </c>
      <c r="D15" s="38"/>
      <c r="E15" s="39">
        <v>401</v>
      </c>
      <c r="F15" s="37">
        <v>190922000006</v>
      </c>
      <c r="G15" s="37"/>
      <c r="H15" s="39">
        <v>401</v>
      </c>
      <c r="I15" s="37">
        <v>190922000006</v>
      </c>
      <c r="J15" s="37"/>
      <c r="K15" s="39">
        <v>401</v>
      </c>
      <c r="L15" s="37">
        <v>190922000006</v>
      </c>
      <c r="M15" s="37"/>
      <c r="N15" s="39">
        <v>401</v>
      </c>
      <c r="O15" s="37">
        <v>190922000006</v>
      </c>
      <c r="P15" s="37"/>
      <c r="Q15" s="39">
        <v>401</v>
      </c>
      <c r="R15" s="37">
        <v>190922000006</v>
      </c>
      <c r="S15" s="37"/>
      <c r="T15" s="109">
        <v>401</v>
      </c>
    </row>
    <row r="16" ht="25" customHeight="1" spans="2:20">
      <c r="B16" s="40"/>
      <c r="C16" s="37">
        <v>190828000021</v>
      </c>
      <c r="D16" s="38"/>
      <c r="E16" s="39">
        <v>402</v>
      </c>
      <c r="F16" s="37">
        <v>190828000021</v>
      </c>
      <c r="G16" s="37"/>
      <c r="H16" s="39">
        <v>402</v>
      </c>
      <c r="I16" s="37">
        <v>190828000021</v>
      </c>
      <c r="J16" s="37"/>
      <c r="K16" s="39">
        <v>402</v>
      </c>
      <c r="L16" s="37">
        <v>190828000021</v>
      </c>
      <c r="M16" s="37"/>
      <c r="N16" s="39">
        <v>402</v>
      </c>
      <c r="O16" s="37">
        <v>190828000021</v>
      </c>
      <c r="P16" s="37"/>
      <c r="Q16" s="39">
        <v>402</v>
      </c>
      <c r="R16" s="37">
        <v>190828000021</v>
      </c>
      <c r="S16" s="37"/>
      <c r="T16" s="109">
        <v>402</v>
      </c>
    </row>
    <row r="17" ht="25" customHeight="1" spans="2:20">
      <c r="B17" s="40"/>
      <c r="C17" s="37">
        <v>191025000041</v>
      </c>
      <c r="D17" s="38"/>
      <c r="E17" s="39">
        <v>403</v>
      </c>
      <c r="F17" s="37">
        <v>191025000041</v>
      </c>
      <c r="G17" s="37"/>
      <c r="H17" s="39">
        <v>403</v>
      </c>
      <c r="I17" s="37">
        <v>191025000041</v>
      </c>
      <c r="J17" s="37"/>
      <c r="K17" s="39">
        <v>403</v>
      </c>
      <c r="L17" s="37">
        <v>191025000041</v>
      </c>
      <c r="M17" s="37"/>
      <c r="N17" s="39">
        <v>403</v>
      </c>
      <c r="O17" s="37">
        <v>191025000041</v>
      </c>
      <c r="P17" s="37"/>
      <c r="Q17" s="39">
        <v>403</v>
      </c>
      <c r="R17" s="37">
        <v>191025000041</v>
      </c>
      <c r="S17" s="37"/>
      <c r="T17" s="109">
        <v>403</v>
      </c>
    </row>
    <row r="18" ht="1" customHeight="1" spans="2:20">
      <c r="B18" s="41"/>
      <c r="C18" s="42"/>
      <c r="D18" s="43"/>
      <c r="E18" s="44"/>
      <c r="F18" s="42"/>
      <c r="G18" s="42"/>
      <c r="H18" s="44"/>
      <c r="I18" s="42"/>
      <c r="J18" s="42"/>
      <c r="K18" s="44"/>
      <c r="L18" s="42"/>
      <c r="M18" s="42"/>
      <c r="N18" s="44"/>
      <c r="O18" s="42"/>
      <c r="P18" s="42"/>
      <c r="Q18" s="44"/>
      <c r="R18" s="42"/>
      <c r="S18" s="42"/>
      <c r="T18" s="110"/>
    </row>
    <row r="19" ht="25" customHeight="1" spans="2:20">
      <c r="B19" s="36" t="s">
        <v>143</v>
      </c>
      <c r="C19" s="37">
        <v>191025000040</v>
      </c>
      <c r="D19" s="38"/>
      <c r="E19" s="39">
        <v>404</v>
      </c>
      <c r="F19" s="37">
        <v>191025000040</v>
      </c>
      <c r="G19" s="37"/>
      <c r="H19" s="39">
        <v>404</v>
      </c>
      <c r="I19" s="37">
        <v>191025000040</v>
      </c>
      <c r="J19" s="37"/>
      <c r="K19" s="39">
        <v>404</v>
      </c>
      <c r="L19" s="37">
        <v>191025000040</v>
      </c>
      <c r="M19" s="37"/>
      <c r="N19" s="39">
        <v>404</v>
      </c>
      <c r="O19" s="37">
        <v>191025000040</v>
      </c>
      <c r="P19" s="37"/>
      <c r="Q19" s="39">
        <v>404</v>
      </c>
      <c r="R19" s="37">
        <v>191025000040</v>
      </c>
      <c r="S19" s="37"/>
      <c r="T19" s="109">
        <v>404</v>
      </c>
    </row>
    <row r="20" ht="25" customHeight="1" spans="2:20">
      <c r="B20" s="40"/>
      <c r="C20" s="37">
        <v>191012000003</v>
      </c>
      <c r="D20" s="38"/>
      <c r="E20" s="39">
        <v>405</v>
      </c>
      <c r="F20" s="37">
        <v>191012000003</v>
      </c>
      <c r="G20" s="37"/>
      <c r="H20" s="39">
        <v>405</v>
      </c>
      <c r="I20" s="37">
        <v>191012000003</v>
      </c>
      <c r="J20" s="37"/>
      <c r="K20" s="39">
        <v>405</v>
      </c>
      <c r="L20" s="37">
        <v>191012000003</v>
      </c>
      <c r="M20" s="37"/>
      <c r="N20" s="39">
        <v>405</v>
      </c>
      <c r="O20" s="37">
        <v>191012000003</v>
      </c>
      <c r="P20" s="37"/>
      <c r="Q20" s="39">
        <v>405</v>
      </c>
      <c r="R20" s="37">
        <v>191012000003</v>
      </c>
      <c r="S20" s="37"/>
      <c r="T20" s="109">
        <v>405</v>
      </c>
    </row>
    <row r="21" ht="25" customHeight="1" spans="2:20">
      <c r="B21" s="40"/>
      <c r="C21" s="37">
        <v>191013000009</v>
      </c>
      <c r="D21" s="38"/>
      <c r="E21" s="39">
        <v>406</v>
      </c>
      <c r="F21" s="37">
        <v>191013000009</v>
      </c>
      <c r="G21" s="37"/>
      <c r="H21" s="39">
        <v>406</v>
      </c>
      <c r="I21" s="37">
        <v>191013000009</v>
      </c>
      <c r="J21" s="37"/>
      <c r="K21" s="39">
        <v>406</v>
      </c>
      <c r="L21" s="37">
        <v>191013000009</v>
      </c>
      <c r="M21" s="37"/>
      <c r="N21" s="39">
        <v>406</v>
      </c>
      <c r="O21" s="37">
        <v>191013000009</v>
      </c>
      <c r="P21" s="37"/>
      <c r="Q21" s="39">
        <v>406</v>
      </c>
      <c r="R21" s="37">
        <v>191013000009</v>
      </c>
      <c r="S21" s="37"/>
      <c r="T21" s="109">
        <v>406</v>
      </c>
    </row>
    <row r="22" ht="25" customHeight="1" spans="2:20">
      <c r="B22" s="40"/>
      <c r="C22" s="37">
        <v>190922000006</v>
      </c>
      <c r="D22" s="38"/>
      <c r="E22" s="39">
        <v>407</v>
      </c>
      <c r="F22" s="37">
        <v>190922000006</v>
      </c>
      <c r="G22" s="37"/>
      <c r="H22" s="39">
        <v>407</v>
      </c>
      <c r="I22" s="37">
        <v>190922000006</v>
      </c>
      <c r="J22" s="37"/>
      <c r="K22" s="39">
        <v>407</v>
      </c>
      <c r="L22" s="37">
        <v>190922000006</v>
      </c>
      <c r="M22" s="37"/>
      <c r="N22" s="39">
        <v>407</v>
      </c>
      <c r="O22" s="37">
        <v>190922000006</v>
      </c>
      <c r="P22" s="37"/>
      <c r="Q22" s="39">
        <v>407</v>
      </c>
      <c r="R22" s="37">
        <v>190922000006</v>
      </c>
      <c r="S22" s="37"/>
      <c r="T22" s="109">
        <v>407</v>
      </c>
    </row>
    <row r="23" ht="25" customHeight="1" spans="2:20">
      <c r="B23" s="40"/>
      <c r="C23" s="37">
        <v>190828000021</v>
      </c>
      <c r="D23" s="38"/>
      <c r="E23" s="39">
        <v>403</v>
      </c>
      <c r="F23" s="37">
        <v>190828000021</v>
      </c>
      <c r="G23" s="37"/>
      <c r="H23" s="39">
        <v>403</v>
      </c>
      <c r="I23" s="37">
        <v>190828000021</v>
      </c>
      <c r="J23" s="37"/>
      <c r="K23" s="39">
        <v>403</v>
      </c>
      <c r="L23" s="37">
        <v>190828000021</v>
      </c>
      <c r="M23" s="37"/>
      <c r="N23" s="39">
        <v>403</v>
      </c>
      <c r="O23" s="37">
        <v>190828000021</v>
      </c>
      <c r="P23" s="37"/>
      <c r="Q23" s="39">
        <v>403</v>
      </c>
      <c r="R23" s="37">
        <v>190828000021</v>
      </c>
      <c r="S23" s="37"/>
      <c r="T23" s="109">
        <v>403</v>
      </c>
    </row>
    <row r="24" ht="1" customHeight="1" spans="2:20">
      <c r="B24" s="41"/>
      <c r="C24" s="42"/>
      <c r="D24" s="43"/>
      <c r="E24" s="44"/>
      <c r="F24" s="42"/>
      <c r="G24" s="42"/>
      <c r="H24" s="44"/>
      <c r="I24" s="42"/>
      <c r="J24" s="42"/>
      <c r="K24" s="44"/>
      <c r="L24" s="42"/>
      <c r="M24" s="42"/>
      <c r="N24" s="44"/>
      <c r="O24" s="42"/>
      <c r="P24" s="42"/>
      <c r="Q24" s="44"/>
      <c r="R24" s="42"/>
      <c r="S24" s="42"/>
      <c r="T24" s="110"/>
    </row>
    <row r="25" ht="25" customHeight="1" spans="2:20">
      <c r="B25" s="36" t="s">
        <v>144</v>
      </c>
      <c r="C25" s="37">
        <v>191013000009</v>
      </c>
      <c r="D25" s="38"/>
      <c r="E25" s="39">
        <v>404</v>
      </c>
      <c r="F25" s="37">
        <v>191013000009</v>
      </c>
      <c r="G25" s="37"/>
      <c r="H25" s="39">
        <v>404</v>
      </c>
      <c r="I25" s="37">
        <v>191013000009</v>
      </c>
      <c r="J25" s="37"/>
      <c r="K25" s="39">
        <v>404</v>
      </c>
      <c r="L25" s="37">
        <v>191013000009</v>
      </c>
      <c r="M25" s="37"/>
      <c r="N25" s="39">
        <v>404</v>
      </c>
      <c r="O25" s="37">
        <v>191013000009</v>
      </c>
      <c r="P25" s="37"/>
      <c r="Q25" s="39">
        <v>404</v>
      </c>
      <c r="R25" s="37">
        <v>191013000009</v>
      </c>
      <c r="S25" s="37"/>
      <c r="T25" s="109">
        <v>404</v>
      </c>
    </row>
    <row r="26" ht="25" customHeight="1" spans="2:20">
      <c r="B26" s="45"/>
      <c r="C26" s="46"/>
      <c r="D26" s="46"/>
      <c r="E26" s="47">
        <f>SUM(E14:E25)</f>
        <v>892422</v>
      </c>
      <c r="F26" s="48"/>
      <c r="G26" s="48"/>
      <c r="H26" s="47">
        <f>SUM(H14:H25)</f>
        <v>892422</v>
      </c>
      <c r="I26" s="48"/>
      <c r="J26" s="48"/>
      <c r="K26" s="47">
        <f>SUM(K14:K25)</f>
        <v>892422</v>
      </c>
      <c r="L26" s="48"/>
      <c r="M26" s="48"/>
      <c r="N26" s="47">
        <f>SUM(N14:N25)</f>
        <v>892422</v>
      </c>
      <c r="O26" s="48"/>
      <c r="P26" s="48"/>
      <c r="Q26" s="47">
        <f>SUM(Q14:Q25)</f>
        <v>892422</v>
      </c>
      <c r="R26" s="48"/>
      <c r="S26" s="48"/>
      <c r="T26" s="111">
        <f>SUM(T14:T25)</f>
        <v>892422</v>
      </c>
    </row>
    <row r="27" ht="25" customHeight="1" spans="2:20">
      <c r="B27" s="49" t="s">
        <v>115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112"/>
    </row>
    <row r="28" ht="1" customHeight="1" spans="2:20">
      <c r="B28" s="51"/>
      <c r="C28" s="52"/>
      <c r="D28" s="52"/>
      <c r="E28" s="53"/>
      <c r="F28" s="52"/>
      <c r="G28" s="52"/>
      <c r="H28" s="53"/>
      <c r="I28" s="52"/>
      <c r="J28" s="52"/>
      <c r="K28" s="53"/>
      <c r="L28" s="52"/>
      <c r="M28" s="52"/>
      <c r="N28" s="53"/>
      <c r="O28" s="52"/>
      <c r="P28" s="52"/>
      <c r="Q28" s="53"/>
      <c r="R28" s="53"/>
      <c r="S28" s="53"/>
      <c r="T28" s="113"/>
    </row>
    <row r="29" ht="25" customHeight="1" spans="2:20">
      <c r="B29" s="30" t="s">
        <v>116</v>
      </c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107"/>
    </row>
    <row r="30" ht="25" customHeight="1" spans="2:20">
      <c r="B30" s="54" t="s">
        <v>145</v>
      </c>
      <c r="C30" s="55" t="s">
        <v>121</v>
      </c>
      <c r="D30" s="56"/>
      <c r="E30" s="55" t="s">
        <v>146</v>
      </c>
      <c r="F30" s="55" t="s">
        <v>121</v>
      </c>
      <c r="G30" s="34"/>
      <c r="H30" s="55" t="s">
        <v>146</v>
      </c>
      <c r="I30" s="55" t="s">
        <v>121</v>
      </c>
      <c r="J30" s="34"/>
      <c r="K30" s="55" t="s">
        <v>146</v>
      </c>
      <c r="L30" s="55" t="s">
        <v>121</v>
      </c>
      <c r="M30" s="34"/>
      <c r="N30" s="55" t="s">
        <v>146</v>
      </c>
      <c r="O30" s="55" t="s">
        <v>121</v>
      </c>
      <c r="P30" s="34"/>
      <c r="Q30" s="55" t="s">
        <v>146</v>
      </c>
      <c r="R30" s="55" t="s">
        <v>121</v>
      </c>
      <c r="S30" s="34"/>
      <c r="T30" s="114" t="s">
        <v>141</v>
      </c>
    </row>
    <row r="31" ht="25" customHeight="1" spans="2:20">
      <c r="B31" s="36" t="s">
        <v>142</v>
      </c>
      <c r="C31" s="37">
        <v>191025000038</v>
      </c>
      <c r="D31" s="38"/>
      <c r="E31" s="39">
        <v>888787</v>
      </c>
      <c r="F31" s="37">
        <v>191025000038</v>
      </c>
      <c r="G31" s="37"/>
      <c r="H31" s="39">
        <v>888787</v>
      </c>
      <c r="I31" s="37">
        <v>191025000038</v>
      </c>
      <c r="J31" s="37"/>
      <c r="K31" s="39">
        <v>888787</v>
      </c>
      <c r="L31" s="37">
        <v>191025000038</v>
      </c>
      <c r="M31" s="37"/>
      <c r="N31" s="39">
        <v>888787</v>
      </c>
      <c r="O31" s="37">
        <v>191025000038</v>
      </c>
      <c r="P31" s="37"/>
      <c r="Q31" s="39">
        <v>888787</v>
      </c>
      <c r="R31" s="37">
        <v>191025000038</v>
      </c>
      <c r="S31" s="37"/>
      <c r="T31" s="109">
        <v>888787</v>
      </c>
    </row>
    <row r="32" ht="25" customHeight="1" spans="2:20">
      <c r="B32" s="40"/>
      <c r="C32" s="37">
        <v>190922000006</v>
      </c>
      <c r="D32" s="38"/>
      <c r="E32" s="39">
        <v>401</v>
      </c>
      <c r="F32" s="37">
        <v>190922000006</v>
      </c>
      <c r="G32" s="37"/>
      <c r="H32" s="39">
        <v>401</v>
      </c>
      <c r="I32" s="37">
        <v>190922000006</v>
      </c>
      <c r="J32" s="37"/>
      <c r="K32" s="39">
        <v>401</v>
      </c>
      <c r="L32" s="37">
        <v>190922000006</v>
      </c>
      <c r="M32" s="37"/>
      <c r="N32" s="39">
        <v>401</v>
      </c>
      <c r="O32" s="37">
        <v>190922000006</v>
      </c>
      <c r="P32" s="37"/>
      <c r="Q32" s="39">
        <v>401</v>
      </c>
      <c r="R32" s="37">
        <v>190922000006</v>
      </c>
      <c r="S32" s="37"/>
      <c r="T32" s="109">
        <v>401</v>
      </c>
    </row>
    <row r="33" ht="25" customHeight="1" spans="2:20">
      <c r="B33" s="40"/>
      <c r="C33" s="37">
        <v>190828000021</v>
      </c>
      <c r="D33" s="38"/>
      <c r="E33" s="39">
        <v>402</v>
      </c>
      <c r="F33" s="37">
        <v>190828000021</v>
      </c>
      <c r="G33" s="37"/>
      <c r="H33" s="39">
        <v>402</v>
      </c>
      <c r="I33" s="37">
        <v>190828000021</v>
      </c>
      <c r="J33" s="37"/>
      <c r="K33" s="39">
        <v>402</v>
      </c>
      <c r="L33" s="37">
        <v>190828000021</v>
      </c>
      <c r="M33" s="37"/>
      <c r="N33" s="39">
        <v>402</v>
      </c>
      <c r="O33" s="37">
        <v>190828000021</v>
      </c>
      <c r="P33" s="37"/>
      <c r="Q33" s="39">
        <v>402</v>
      </c>
      <c r="R33" s="37">
        <v>190828000021</v>
      </c>
      <c r="S33" s="37"/>
      <c r="T33" s="109">
        <v>402</v>
      </c>
    </row>
    <row r="34" ht="25" customHeight="1" spans="2:20">
      <c r="B34" s="40"/>
      <c r="C34" s="37">
        <v>191025000041</v>
      </c>
      <c r="D34" s="38"/>
      <c r="E34" s="39">
        <v>403</v>
      </c>
      <c r="F34" s="37">
        <v>191025000041</v>
      </c>
      <c r="G34" s="37"/>
      <c r="H34" s="39">
        <v>403</v>
      </c>
      <c r="I34" s="37">
        <v>191025000041</v>
      </c>
      <c r="J34" s="37"/>
      <c r="K34" s="39">
        <v>403</v>
      </c>
      <c r="L34" s="37">
        <v>191025000041</v>
      </c>
      <c r="M34" s="37"/>
      <c r="N34" s="39">
        <v>403</v>
      </c>
      <c r="O34" s="37">
        <v>191025000041</v>
      </c>
      <c r="P34" s="37"/>
      <c r="Q34" s="39">
        <v>403</v>
      </c>
      <c r="R34" s="37">
        <v>191025000041</v>
      </c>
      <c r="S34" s="37"/>
      <c r="T34" s="109">
        <v>403</v>
      </c>
    </row>
    <row r="35" ht="1" customHeight="1" spans="2:20">
      <c r="B35" s="41"/>
      <c r="C35" s="42"/>
      <c r="D35" s="43"/>
      <c r="E35" s="44"/>
      <c r="F35" s="42"/>
      <c r="G35" s="42"/>
      <c r="H35" s="44"/>
      <c r="I35" s="42"/>
      <c r="J35" s="42"/>
      <c r="K35" s="44"/>
      <c r="L35" s="42"/>
      <c r="M35" s="42"/>
      <c r="N35" s="44"/>
      <c r="O35" s="42"/>
      <c r="P35" s="42"/>
      <c r="Q35" s="44"/>
      <c r="R35" s="42"/>
      <c r="S35" s="42"/>
      <c r="T35" s="110"/>
    </row>
    <row r="36" ht="25" customHeight="1" spans="2:20">
      <c r="B36" s="36" t="s">
        <v>143</v>
      </c>
      <c r="C36" s="37">
        <v>191025000040</v>
      </c>
      <c r="D36" s="38"/>
      <c r="E36" s="39">
        <v>404</v>
      </c>
      <c r="F36" s="37">
        <v>191025000040</v>
      </c>
      <c r="G36" s="37"/>
      <c r="H36" s="39">
        <v>404</v>
      </c>
      <c r="I36" s="37">
        <v>191025000040</v>
      </c>
      <c r="J36" s="37"/>
      <c r="K36" s="39">
        <v>404</v>
      </c>
      <c r="L36" s="37">
        <v>191025000040</v>
      </c>
      <c r="M36" s="37"/>
      <c r="N36" s="39">
        <v>404</v>
      </c>
      <c r="O36" s="37">
        <v>191025000040</v>
      </c>
      <c r="P36" s="37"/>
      <c r="Q36" s="39">
        <v>404</v>
      </c>
      <c r="R36" s="37">
        <v>191025000040</v>
      </c>
      <c r="S36" s="37"/>
      <c r="T36" s="109">
        <v>404</v>
      </c>
    </row>
    <row r="37" ht="25" customHeight="1" spans="2:20">
      <c r="B37" s="40"/>
      <c r="C37" s="37">
        <v>191012000003</v>
      </c>
      <c r="D37" s="38"/>
      <c r="E37" s="39">
        <v>405</v>
      </c>
      <c r="F37" s="37">
        <v>191012000003</v>
      </c>
      <c r="G37" s="37"/>
      <c r="H37" s="39">
        <v>405</v>
      </c>
      <c r="I37" s="37">
        <v>191012000003</v>
      </c>
      <c r="J37" s="37"/>
      <c r="K37" s="39">
        <v>405</v>
      </c>
      <c r="L37" s="37">
        <v>191012000003</v>
      </c>
      <c r="M37" s="37"/>
      <c r="N37" s="39">
        <v>405</v>
      </c>
      <c r="O37" s="37">
        <v>191012000003</v>
      </c>
      <c r="P37" s="37"/>
      <c r="Q37" s="39">
        <v>405</v>
      </c>
      <c r="R37" s="37">
        <v>191012000003</v>
      </c>
      <c r="S37" s="37"/>
      <c r="T37" s="109">
        <v>405</v>
      </c>
    </row>
    <row r="38" ht="25" customHeight="1" spans="2:20">
      <c r="B38" s="40"/>
      <c r="C38" s="37">
        <v>191013000009</v>
      </c>
      <c r="D38" s="38"/>
      <c r="E38" s="39">
        <v>406</v>
      </c>
      <c r="F38" s="37">
        <v>191013000009</v>
      </c>
      <c r="G38" s="37"/>
      <c r="H38" s="39">
        <v>406</v>
      </c>
      <c r="I38" s="37">
        <v>191013000009</v>
      </c>
      <c r="J38" s="37"/>
      <c r="K38" s="39">
        <v>406</v>
      </c>
      <c r="L38" s="37">
        <v>191013000009</v>
      </c>
      <c r="M38" s="37"/>
      <c r="N38" s="39">
        <v>406</v>
      </c>
      <c r="O38" s="37">
        <v>191013000009</v>
      </c>
      <c r="P38" s="37"/>
      <c r="Q38" s="39">
        <v>406</v>
      </c>
      <c r="R38" s="37">
        <v>191013000009</v>
      </c>
      <c r="S38" s="37"/>
      <c r="T38" s="109">
        <v>406</v>
      </c>
    </row>
    <row r="39" ht="25" customHeight="1" spans="2:20">
      <c r="B39" s="40"/>
      <c r="C39" s="37">
        <v>190922000006</v>
      </c>
      <c r="D39" s="38"/>
      <c r="E39" s="39">
        <v>407</v>
      </c>
      <c r="F39" s="37">
        <v>190922000006</v>
      </c>
      <c r="G39" s="37"/>
      <c r="H39" s="39">
        <v>407</v>
      </c>
      <c r="I39" s="37">
        <v>190922000006</v>
      </c>
      <c r="J39" s="37"/>
      <c r="K39" s="39">
        <v>407</v>
      </c>
      <c r="L39" s="37">
        <v>190922000006</v>
      </c>
      <c r="M39" s="37"/>
      <c r="N39" s="39">
        <v>407</v>
      </c>
      <c r="O39" s="37">
        <v>190922000006</v>
      </c>
      <c r="P39" s="37"/>
      <c r="Q39" s="39">
        <v>407</v>
      </c>
      <c r="R39" s="37">
        <v>190922000006</v>
      </c>
      <c r="S39" s="37"/>
      <c r="T39" s="109">
        <v>407</v>
      </c>
    </row>
    <row r="40" ht="25" customHeight="1" spans="2:20">
      <c r="B40" s="40"/>
      <c r="C40" s="37">
        <v>190828000021</v>
      </c>
      <c r="D40" s="38"/>
      <c r="E40" s="39">
        <v>403</v>
      </c>
      <c r="F40" s="37">
        <v>190828000021</v>
      </c>
      <c r="G40" s="37"/>
      <c r="H40" s="39">
        <v>403</v>
      </c>
      <c r="I40" s="37">
        <v>190828000021</v>
      </c>
      <c r="J40" s="37"/>
      <c r="K40" s="39">
        <v>403</v>
      </c>
      <c r="L40" s="37">
        <v>190828000021</v>
      </c>
      <c r="M40" s="37"/>
      <c r="N40" s="39">
        <v>403</v>
      </c>
      <c r="O40" s="37">
        <v>190828000021</v>
      </c>
      <c r="P40" s="37"/>
      <c r="Q40" s="39">
        <v>403</v>
      </c>
      <c r="R40" s="37">
        <v>190828000021</v>
      </c>
      <c r="S40" s="37"/>
      <c r="T40" s="109">
        <v>403</v>
      </c>
    </row>
    <row r="41" ht="1" customHeight="1" spans="2:20">
      <c r="B41" s="41"/>
      <c r="C41" s="42"/>
      <c r="D41" s="43"/>
      <c r="E41" s="44"/>
      <c r="F41" s="42"/>
      <c r="G41" s="42"/>
      <c r="H41" s="44"/>
      <c r="I41" s="42"/>
      <c r="J41" s="42"/>
      <c r="K41" s="44"/>
      <c r="L41" s="42"/>
      <c r="M41" s="42"/>
      <c r="N41" s="44"/>
      <c r="O41" s="42"/>
      <c r="P41" s="42"/>
      <c r="Q41" s="44"/>
      <c r="R41" s="42"/>
      <c r="S41" s="42"/>
      <c r="T41" s="110"/>
    </row>
    <row r="42" ht="25" customHeight="1" spans="2:20">
      <c r="B42" s="36" t="s">
        <v>144</v>
      </c>
      <c r="C42" s="37">
        <v>191013000009</v>
      </c>
      <c r="D42" s="38"/>
      <c r="E42" s="39">
        <v>404</v>
      </c>
      <c r="F42" s="37">
        <v>191013000009</v>
      </c>
      <c r="G42" s="37"/>
      <c r="H42" s="39">
        <v>404</v>
      </c>
      <c r="I42" s="37">
        <v>191013000009</v>
      </c>
      <c r="J42" s="37"/>
      <c r="K42" s="39">
        <v>404</v>
      </c>
      <c r="L42" s="37">
        <v>191013000009</v>
      </c>
      <c r="M42" s="37"/>
      <c r="N42" s="39">
        <v>404</v>
      </c>
      <c r="O42" s="37">
        <v>191013000009</v>
      </c>
      <c r="P42" s="37"/>
      <c r="Q42" s="39">
        <v>404</v>
      </c>
      <c r="R42" s="37">
        <v>191013000009</v>
      </c>
      <c r="S42" s="37"/>
      <c r="T42" s="109">
        <v>404</v>
      </c>
    </row>
    <row r="43" ht="25" customHeight="1" spans="2:20">
      <c r="B43" s="45"/>
      <c r="C43" s="46"/>
      <c r="D43" s="46"/>
      <c r="E43" s="57">
        <f>SUM(E31:E42)</f>
        <v>892422</v>
      </c>
      <c r="F43" s="48"/>
      <c r="G43" s="48"/>
      <c r="H43" s="57">
        <f>SUM(H31:H42)</f>
        <v>892422</v>
      </c>
      <c r="I43" s="48"/>
      <c r="J43" s="48"/>
      <c r="K43" s="57">
        <f>SUM(K31:K42)</f>
        <v>892422</v>
      </c>
      <c r="L43" s="48"/>
      <c r="M43" s="48"/>
      <c r="N43" s="57">
        <f>SUM(N31:N42)</f>
        <v>892422</v>
      </c>
      <c r="O43" s="48"/>
      <c r="P43" s="48"/>
      <c r="Q43" s="57">
        <f>SUM(Q31:Q42)</f>
        <v>892422</v>
      </c>
      <c r="R43" s="48"/>
      <c r="S43" s="48"/>
      <c r="T43" s="115">
        <f>SUM(T31:T42)</f>
        <v>892422</v>
      </c>
    </row>
    <row r="44" ht="25" customHeight="1" spans="2:20">
      <c r="B44" s="49" t="s">
        <v>117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112"/>
    </row>
    <row r="45" ht="1" customHeight="1" spans="2:20"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106"/>
    </row>
    <row r="46" ht="25" customHeight="1" spans="2:20">
      <c r="B46" s="58" t="s">
        <v>118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116"/>
    </row>
    <row r="47" ht="25" customHeight="1" spans="2:20">
      <c r="B47" s="60" t="s">
        <v>36</v>
      </c>
      <c r="C47" s="61" t="s">
        <v>174</v>
      </c>
      <c r="D47" s="61"/>
      <c r="E47" s="61"/>
      <c r="F47" s="61"/>
      <c r="G47" s="62" t="s">
        <v>121</v>
      </c>
      <c r="H47" s="62"/>
      <c r="I47" s="81" t="s">
        <v>122</v>
      </c>
      <c r="J47" s="81"/>
      <c r="K47" s="82" t="s">
        <v>123</v>
      </c>
      <c r="L47" s="82"/>
      <c r="M47" s="83" t="s">
        <v>124</v>
      </c>
      <c r="N47" s="83" t="s">
        <v>125</v>
      </c>
      <c r="O47" s="83"/>
      <c r="P47" s="84" t="s">
        <v>47</v>
      </c>
      <c r="Q47" s="117" t="s">
        <v>126</v>
      </c>
      <c r="R47" s="117"/>
      <c r="S47" s="117" t="s">
        <v>127</v>
      </c>
      <c r="T47" s="118"/>
    </row>
    <row r="48" ht="25" customHeight="1" spans="2:20">
      <c r="B48" s="63">
        <v>1</v>
      </c>
      <c r="C48" s="25" t="s">
        <v>147</v>
      </c>
      <c r="D48" s="25"/>
      <c r="E48" s="25"/>
      <c r="F48" s="25"/>
      <c r="G48" s="38" t="s">
        <v>148</v>
      </c>
      <c r="H48" s="38"/>
      <c r="I48" s="85" t="s">
        <v>149</v>
      </c>
      <c r="J48" s="85"/>
      <c r="K48" s="86">
        <v>30</v>
      </c>
      <c r="L48" s="86"/>
      <c r="M48" s="87">
        <v>2500</v>
      </c>
      <c r="N48" s="87">
        <v>75000</v>
      </c>
      <c r="O48" s="87"/>
      <c r="P48" s="88" t="s">
        <v>67</v>
      </c>
      <c r="Q48" s="119" t="s">
        <v>130</v>
      </c>
      <c r="R48" s="120"/>
      <c r="S48" s="121" t="s">
        <v>150</v>
      </c>
      <c r="T48" s="122"/>
    </row>
    <row r="49" ht="25" customHeight="1" spans="2:20">
      <c r="B49" s="64">
        <v>2</v>
      </c>
      <c r="C49" s="65" t="s">
        <v>151</v>
      </c>
      <c r="D49" s="66"/>
      <c r="E49" s="66"/>
      <c r="F49" s="66"/>
      <c r="G49" s="67" t="s">
        <v>148</v>
      </c>
      <c r="H49" s="67"/>
      <c r="I49" s="89" t="s">
        <v>152</v>
      </c>
      <c r="J49" s="89"/>
      <c r="K49" s="90">
        <v>350</v>
      </c>
      <c r="L49" s="90"/>
      <c r="M49" s="91">
        <v>1</v>
      </c>
      <c r="N49" s="91">
        <v>350</v>
      </c>
      <c r="O49" s="91"/>
      <c r="P49" s="92" t="s">
        <v>131</v>
      </c>
      <c r="Q49" s="123" t="s">
        <v>130</v>
      </c>
      <c r="R49" s="124"/>
      <c r="S49" s="125" t="s">
        <v>153</v>
      </c>
      <c r="T49" s="126"/>
    </row>
    <row r="50" ht="25" customHeight="1" spans="2:20">
      <c r="B50" s="63">
        <v>3</v>
      </c>
      <c r="C50" s="25" t="s">
        <v>154</v>
      </c>
      <c r="D50" s="25"/>
      <c r="E50" s="25"/>
      <c r="F50" s="25"/>
      <c r="G50" s="38" t="s">
        <v>148</v>
      </c>
      <c r="H50" s="38"/>
      <c r="I50" s="85" t="s">
        <v>155</v>
      </c>
      <c r="J50" s="85"/>
      <c r="K50" s="86">
        <v>30</v>
      </c>
      <c r="L50" s="86"/>
      <c r="M50" s="87">
        <v>1</v>
      </c>
      <c r="N50" s="87">
        <v>30</v>
      </c>
      <c r="O50" s="87"/>
      <c r="P50" s="93" t="s">
        <v>131</v>
      </c>
      <c r="Q50" s="119" t="s">
        <v>130</v>
      </c>
      <c r="R50" s="120"/>
      <c r="S50" s="121" t="s">
        <v>156</v>
      </c>
      <c r="T50" s="122"/>
    </row>
    <row r="51" ht="25" customHeight="1" spans="2:20">
      <c r="B51" s="64">
        <v>4</v>
      </c>
      <c r="C51" s="66" t="s">
        <v>154</v>
      </c>
      <c r="D51" s="66"/>
      <c r="E51" s="66"/>
      <c r="F51" s="66"/>
      <c r="G51" s="67" t="s">
        <v>148</v>
      </c>
      <c r="H51" s="67"/>
      <c r="I51" s="89" t="s">
        <v>157</v>
      </c>
      <c r="J51" s="89"/>
      <c r="K51" s="90">
        <v>30</v>
      </c>
      <c r="L51" s="90"/>
      <c r="M51" s="91">
        <v>1</v>
      </c>
      <c r="N51" s="91">
        <v>30</v>
      </c>
      <c r="O51" s="91"/>
      <c r="P51" s="92" t="s">
        <v>131</v>
      </c>
      <c r="Q51" s="123" t="s">
        <v>130</v>
      </c>
      <c r="R51" s="124"/>
      <c r="S51" s="125" t="s">
        <v>158</v>
      </c>
      <c r="T51" s="126"/>
    </row>
    <row r="52" ht="25" customHeight="1" spans="2:20">
      <c r="B52" s="63">
        <v>5</v>
      </c>
      <c r="C52" s="25" t="s">
        <v>154</v>
      </c>
      <c r="D52" s="25"/>
      <c r="E52" s="25"/>
      <c r="F52" s="25"/>
      <c r="G52" s="38" t="s">
        <v>148</v>
      </c>
      <c r="H52" s="38"/>
      <c r="I52" s="85" t="s">
        <v>159</v>
      </c>
      <c r="J52" s="85"/>
      <c r="K52" s="86">
        <v>30</v>
      </c>
      <c r="L52" s="86"/>
      <c r="M52" s="87">
        <v>2</v>
      </c>
      <c r="N52" s="87">
        <v>60</v>
      </c>
      <c r="O52" s="87"/>
      <c r="P52" s="93" t="s">
        <v>131</v>
      </c>
      <c r="Q52" s="119" t="s">
        <v>130</v>
      </c>
      <c r="R52" s="120"/>
      <c r="S52" s="121" t="s">
        <v>160</v>
      </c>
      <c r="T52" s="122"/>
    </row>
    <row r="53" ht="25" customHeight="1" spans="2:20">
      <c r="B53" s="64">
        <v>6</v>
      </c>
      <c r="C53" s="66" t="s">
        <v>154</v>
      </c>
      <c r="D53" s="66"/>
      <c r="E53" s="66"/>
      <c r="F53" s="66"/>
      <c r="G53" s="67">
        <v>190922000006</v>
      </c>
      <c r="H53" s="67"/>
      <c r="I53" s="89" t="s">
        <v>161</v>
      </c>
      <c r="J53" s="89"/>
      <c r="K53" s="90">
        <v>30</v>
      </c>
      <c r="L53" s="90"/>
      <c r="M53" s="91">
        <v>1</v>
      </c>
      <c r="N53" s="91">
        <v>30</v>
      </c>
      <c r="O53" s="91"/>
      <c r="P53" s="92" t="s">
        <v>131</v>
      </c>
      <c r="Q53" s="123" t="s">
        <v>130</v>
      </c>
      <c r="R53" s="124"/>
      <c r="S53" s="125" t="s">
        <v>162</v>
      </c>
      <c r="T53" s="126"/>
    </row>
    <row r="54" ht="25" customHeight="1" spans="2:20">
      <c r="B54" s="63">
        <v>7</v>
      </c>
      <c r="C54" s="25" t="s">
        <v>154</v>
      </c>
      <c r="D54" s="25"/>
      <c r="E54" s="25"/>
      <c r="F54" s="25"/>
      <c r="G54" s="38">
        <v>190922000006</v>
      </c>
      <c r="H54" s="38"/>
      <c r="I54" s="85" t="s">
        <v>163</v>
      </c>
      <c r="J54" s="85"/>
      <c r="K54" s="86">
        <v>30</v>
      </c>
      <c r="L54" s="86"/>
      <c r="M54" s="87">
        <v>2</v>
      </c>
      <c r="N54" s="87">
        <v>60</v>
      </c>
      <c r="O54" s="87"/>
      <c r="P54" s="93" t="s">
        <v>131</v>
      </c>
      <c r="Q54" s="119" t="s">
        <v>130</v>
      </c>
      <c r="R54" s="120"/>
      <c r="S54" s="121" t="s">
        <v>164</v>
      </c>
      <c r="T54" s="122"/>
    </row>
    <row r="55" ht="25" customHeight="1" spans="2:20">
      <c r="B55" s="64">
        <v>8</v>
      </c>
      <c r="C55" s="66" t="s">
        <v>154</v>
      </c>
      <c r="D55" s="66"/>
      <c r="E55" s="66"/>
      <c r="F55" s="66"/>
      <c r="G55" s="67">
        <v>191013000009</v>
      </c>
      <c r="H55" s="67"/>
      <c r="I55" s="89" t="s">
        <v>165</v>
      </c>
      <c r="J55" s="89"/>
      <c r="K55" s="90">
        <v>30</v>
      </c>
      <c r="L55" s="90"/>
      <c r="M55" s="91">
        <v>1</v>
      </c>
      <c r="N55" s="91">
        <v>30</v>
      </c>
      <c r="O55" s="91"/>
      <c r="P55" s="92" t="s">
        <v>131</v>
      </c>
      <c r="Q55" s="123" t="s">
        <v>130</v>
      </c>
      <c r="R55" s="124"/>
      <c r="S55" s="125" t="s">
        <v>166</v>
      </c>
      <c r="T55" s="126"/>
    </row>
    <row r="56" ht="25" customHeight="1" spans="2:20">
      <c r="B56" s="63">
        <v>9</v>
      </c>
      <c r="C56" s="25" t="s">
        <v>154</v>
      </c>
      <c r="D56" s="25"/>
      <c r="E56" s="25"/>
      <c r="F56" s="25"/>
      <c r="G56" s="38" t="s">
        <v>148</v>
      </c>
      <c r="H56" s="38"/>
      <c r="I56" s="85" t="s">
        <v>163</v>
      </c>
      <c r="J56" s="85"/>
      <c r="K56" s="86">
        <v>30</v>
      </c>
      <c r="L56" s="86"/>
      <c r="M56" s="87">
        <v>1</v>
      </c>
      <c r="N56" s="87">
        <v>30</v>
      </c>
      <c r="O56" s="87"/>
      <c r="P56" s="93" t="s">
        <v>131</v>
      </c>
      <c r="Q56" s="119" t="s">
        <v>130</v>
      </c>
      <c r="R56" s="120"/>
      <c r="S56" s="121" t="s">
        <v>167</v>
      </c>
      <c r="T56" s="122"/>
    </row>
    <row r="57" ht="25" customHeight="1" spans="2:20">
      <c r="B57" s="64">
        <v>10</v>
      </c>
      <c r="C57" s="66" t="s">
        <v>154</v>
      </c>
      <c r="D57" s="66"/>
      <c r="E57" s="66"/>
      <c r="F57" s="66"/>
      <c r="G57" s="67" t="s">
        <v>148</v>
      </c>
      <c r="H57" s="67"/>
      <c r="I57" s="89" t="s">
        <v>163</v>
      </c>
      <c r="J57" s="89"/>
      <c r="K57" s="90">
        <v>30</v>
      </c>
      <c r="L57" s="90"/>
      <c r="M57" s="91">
        <v>1</v>
      </c>
      <c r="N57" s="91">
        <v>30</v>
      </c>
      <c r="O57" s="91"/>
      <c r="P57" s="92" t="s">
        <v>131</v>
      </c>
      <c r="Q57" s="123" t="s">
        <v>130</v>
      </c>
      <c r="R57" s="124"/>
      <c r="S57" s="125" t="s">
        <v>168</v>
      </c>
      <c r="T57" s="126"/>
    </row>
    <row r="58" ht="25" customHeight="1" spans="2:20">
      <c r="B58" s="63">
        <v>11</v>
      </c>
      <c r="C58" s="25" t="s">
        <v>154</v>
      </c>
      <c r="D58" s="25"/>
      <c r="E58" s="25"/>
      <c r="F58" s="25"/>
      <c r="G58" s="38" t="s">
        <v>148</v>
      </c>
      <c r="H58" s="38"/>
      <c r="I58" s="85" t="s">
        <v>163</v>
      </c>
      <c r="J58" s="85"/>
      <c r="K58" s="86">
        <v>30</v>
      </c>
      <c r="L58" s="86"/>
      <c r="M58" s="87">
        <v>1</v>
      </c>
      <c r="N58" s="87">
        <v>30</v>
      </c>
      <c r="O58" s="87"/>
      <c r="P58" s="93" t="s">
        <v>169</v>
      </c>
      <c r="Q58" s="127" t="s">
        <v>170</v>
      </c>
      <c r="R58" s="127"/>
      <c r="S58" s="121" t="s">
        <v>171</v>
      </c>
      <c r="T58" s="122"/>
    </row>
    <row r="59" ht="25" customHeight="1" spans="2:20">
      <c r="B59" s="64">
        <v>12</v>
      </c>
      <c r="C59" s="66" t="s">
        <v>154</v>
      </c>
      <c r="D59" s="66"/>
      <c r="E59" s="66"/>
      <c r="F59" s="66"/>
      <c r="G59" s="67" t="s">
        <v>148</v>
      </c>
      <c r="H59" s="67"/>
      <c r="I59" s="89" t="s">
        <v>163</v>
      </c>
      <c r="J59" s="89"/>
      <c r="K59" s="89">
        <v>30</v>
      </c>
      <c r="L59" s="89"/>
      <c r="M59" s="91">
        <v>1</v>
      </c>
      <c r="N59" s="92">
        <v>30</v>
      </c>
      <c r="O59" s="92"/>
      <c r="P59" s="92" t="s">
        <v>169</v>
      </c>
      <c r="Q59" s="128" t="s">
        <v>172</v>
      </c>
      <c r="R59" s="128"/>
      <c r="S59" s="125" t="s">
        <v>173</v>
      </c>
      <c r="T59" s="126"/>
    </row>
    <row r="60" s="2" customFormat="1" ht="25" customHeight="1" spans="2:21">
      <c r="B60" s="68"/>
      <c r="C60" s="69"/>
      <c r="D60" s="69"/>
      <c r="E60" s="69"/>
      <c r="F60" s="69"/>
      <c r="G60" s="69"/>
      <c r="H60" s="70"/>
      <c r="I60" s="70"/>
      <c r="J60" s="70"/>
      <c r="K60" s="94"/>
      <c r="L60" s="95" t="s">
        <v>135</v>
      </c>
      <c r="M60" s="95"/>
      <c r="N60" s="96">
        <f>SUM(N48:N59)</f>
        <v>75710</v>
      </c>
      <c r="O60" s="96"/>
      <c r="P60" s="97"/>
      <c r="Q60" s="97"/>
      <c r="R60" s="129"/>
      <c r="S60" s="97"/>
      <c r="T60" s="130"/>
      <c r="U60" s="3"/>
    </row>
    <row r="61" ht="25" customHeight="1" spans="2:20">
      <c r="B61" s="71" t="s">
        <v>175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131"/>
    </row>
  </sheetData>
  <mergeCells count="296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H3"/>
    <mergeCell ref="I3:K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F13:G13"/>
    <mergeCell ref="I13:J13"/>
    <mergeCell ref="L13:M13"/>
    <mergeCell ref="O13:P13"/>
    <mergeCell ref="R13:S13"/>
    <mergeCell ref="C14:D14"/>
    <mergeCell ref="F14:G14"/>
    <mergeCell ref="I14:J14"/>
    <mergeCell ref="L14:M14"/>
    <mergeCell ref="O14:P14"/>
    <mergeCell ref="R14:S14"/>
    <mergeCell ref="C15:D15"/>
    <mergeCell ref="F15:G15"/>
    <mergeCell ref="I15:J15"/>
    <mergeCell ref="L15:M15"/>
    <mergeCell ref="O15:P15"/>
    <mergeCell ref="R15:S15"/>
    <mergeCell ref="C16:D16"/>
    <mergeCell ref="F16:G16"/>
    <mergeCell ref="I16:J16"/>
    <mergeCell ref="L16:M16"/>
    <mergeCell ref="O16:P16"/>
    <mergeCell ref="R16:S16"/>
    <mergeCell ref="C17:D17"/>
    <mergeCell ref="F17:G17"/>
    <mergeCell ref="I17:J17"/>
    <mergeCell ref="L17:M17"/>
    <mergeCell ref="O17:P17"/>
    <mergeCell ref="R17:S17"/>
    <mergeCell ref="C19:D19"/>
    <mergeCell ref="F19:G19"/>
    <mergeCell ref="I19:J19"/>
    <mergeCell ref="L19:M19"/>
    <mergeCell ref="O19:P19"/>
    <mergeCell ref="R19:S19"/>
    <mergeCell ref="C20:D20"/>
    <mergeCell ref="F20:G20"/>
    <mergeCell ref="I20:J20"/>
    <mergeCell ref="L20:M20"/>
    <mergeCell ref="O20:P20"/>
    <mergeCell ref="R20:S20"/>
    <mergeCell ref="C21:D21"/>
    <mergeCell ref="F21:G21"/>
    <mergeCell ref="I21:J21"/>
    <mergeCell ref="L21:M21"/>
    <mergeCell ref="O21:P21"/>
    <mergeCell ref="R21:S21"/>
    <mergeCell ref="C22:D22"/>
    <mergeCell ref="F22:G22"/>
    <mergeCell ref="I22:J22"/>
    <mergeCell ref="L22:M22"/>
    <mergeCell ref="O22:P22"/>
    <mergeCell ref="R22:S22"/>
    <mergeCell ref="C23:D23"/>
    <mergeCell ref="F23:G23"/>
    <mergeCell ref="I23:J23"/>
    <mergeCell ref="L23:M23"/>
    <mergeCell ref="O23:P23"/>
    <mergeCell ref="R23:S23"/>
    <mergeCell ref="C25:D25"/>
    <mergeCell ref="F25:G25"/>
    <mergeCell ref="I25:J25"/>
    <mergeCell ref="L25:M25"/>
    <mergeCell ref="O25:P25"/>
    <mergeCell ref="R25:S25"/>
    <mergeCell ref="B27:T27"/>
    <mergeCell ref="B29:T29"/>
    <mergeCell ref="C30:D30"/>
    <mergeCell ref="F30:G30"/>
    <mergeCell ref="I30:J30"/>
    <mergeCell ref="L30:M30"/>
    <mergeCell ref="O30:P30"/>
    <mergeCell ref="R30:S30"/>
    <mergeCell ref="C31:D31"/>
    <mergeCell ref="F31:G31"/>
    <mergeCell ref="I31:J31"/>
    <mergeCell ref="L31:M31"/>
    <mergeCell ref="O31:P31"/>
    <mergeCell ref="R31:S31"/>
    <mergeCell ref="C32:D32"/>
    <mergeCell ref="F32:G32"/>
    <mergeCell ref="I32:J32"/>
    <mergeCell ref="L32:M32"/>
    <mergeCell ref="O32:P32"/>
    <mergeCell ref="R32:S32"/>
    <mergeCell ref="C33:D33"/>
    <mergeCell ref="F33:G33"/>
    <mergeCell ref="I33:J33"/>
    <mergeCell ref="L33:M33"/>
    <mergeCell ref="O33:P33"/>
    <mergeCell ref="R33:S33"/>
    <mergeCell ref="C34:D34"/>
    <mergeCell ref="F34:G34"/>
    <mergeCell ref="I34:J34"/>
    <mergeCell ref="L34:M34"/>
    <mergeCell ref="O34:P34"/>
    <mergeCell ref="R34:S34"/>
    <mergeCell ref="C36:D36"/>
    <mergeCell ref="F36:G36"/>
    <mergeCell ref="I36:J36"/>
    <mergeCell ref="L36:M36"/>
    <mergeCell ref="O36:P36"/>
    <mergeCell ref="R36:S36"/>
    <mergeCell ref="C37:D37"/>
    <mergeCell ref="F37:G37"/>
    <mergeCell ref="I37:J37"/>
    <mergeCell ref="L37:M37"/>
    <mergeCell ref="O37:P37"/>
    <mergeCell ref="R37:S37"/>
    <mergeCell ref="C38:D38"/>
    <mergeCell ref="F38:G38"/>
    <mergeCell ref="I38:J38"/>
    <mergeCell ref="L38:M38"/>
    <mergeCell ref="O38:P38"/>
    <mergeCell ref="R38:S38"/>
    <mergeCell ref="C39:D39"/>
    <mergeCell ref="F39:G39"/>
    <mergeCell ref="I39:J39"/>
    <mergeCell ref="L39:M39"/>
    <mergeCell ref="O39:P39"/>
    <mergeCell ref="R39:S39"/>
    <mergeCell ref="C40:D40"/>
    <mergeCell ref="F40:G40"/>
    <mergeCell ref="I40:J40"/>
    <mergeCell ref="L40:M40"/>
    <mergeCell ref="O40:P40"/>
    <mergeCell ref="R40:S40"/>
    <mergeCell ref="C42:D42"/>
    <mergeCell ref="F42:G42"/>
    <mergeCell ref="I42:J42"/>
    <mergeCell ref="L42:M42"/>
    <mergeCell ref="O42:P42"/>
    <mergeCell ref="R42:S42"/>
    <mergeCell ref="B44:T44"/>
    <mergeCell ref="B45:T45"/>
    <mergeCell ref="B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C58:F58"/>
    <mergeCell ref="G58:H58"/>
    <mergeCell ref="I58:J58"/>
    <mergeCell ref="K58:L58"/>
    <mergeCell ref="N58:O58"/>
    <mergeCell ref="Q58:R58"/>
    <mergeCell ref="S58:T58"/>
    <mergeCell ref="C59:F59"/>
    <mergeCell ref="G59:H59"/>
    <mergeCell ref="I59:J59"/>
    <mergeCell ref="K59:L59"/>
    <mergeCell ref="N59:O59"/>
    <mergeCell ref="Q59:R59"/>
    <mergeCell ref="S59:T59"/>
    <mergeCell ref="L60:M60"/>
    <mergeCell ref="N60:O60"/>
    <mergeCell ref="B61:T61"/>
    <mergeCell ref="B14:B17"/>
    <mergeCell ref="B19:B23"/>
    <mergeCell ref="B31:B34"/>
    <mergeCell ref="B36:B40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成本列表</vt:lpstr>
      <vt:lpstr>录入 收起</vt:lpstr>
      <vt:lpstr>录入 展开</vt:lpstr>
      <vt:lpstr>查看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2022-06-20T15:18:26Z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CED7A5C15A9E4241AAE923A79AF36587</vt:lpwstr>
  </property>
</Properties>
</file>