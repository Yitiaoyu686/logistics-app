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列表" sheetId="1" r:id="rId1"/>
    <sheet name="变更对话框" sheetId="2" r:id="rId2"/>
    <sheet name="变更 汇率换算" sheetId="3" r:id="rId3"/>
    <sheet name="变更 编辑换算" sheetId="4" r:id="rId4"/>
    <sheet name="确认支付" sheetId="5" r:id="rId5"/>
    <sheet name="订单详情" sheetId="6" r:id="rId6"/>
    <sheet name="订单详情  展开" sheetId="7" r:id="rId7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K6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操作账号显示最新一次的账号，点击后可查看操作轨迹，按日期-账号-操作内容排列</t>
        </r>
      </text>
    </comment>
    <comment ref="L6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操作账号显示最新一次的账号，点击后可查看操作轨迹，按日期-账号-操作内容排列</t>
        </r>
      </text>
    </comment>
    <comment ref="K8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操作账号显示最新一次的账号，点击后可查看操作轨迹，按日期-账号-操作内容排列</t>
        </r>
      </text>
    </comment>
    <comment ref="L8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操作账号显示最新一次的账号，点击后可查看操作轨迹，按日期-账号-操作内容排列</t>
        </r>
      </text>
    </comment>
  </commentList>
</comments>
</file>

<file path=xl/comments2.xml><?xml version="1.0" encoding="utf-8"?>
<comments xmlns="http://schemas.openxmlformats.org/spreadsheetml/2006/main">
  <authors>
    <author>SamPao</author>
  </authors>
  <commentList>
    <comment ref="B4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点击用户名称可以显示最近发运的5个订单，点击订单号可查询详情</t>
        </r>
      </text>
    </comment>
    <comment ref="P18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只显示18字符，超过时移至这里浮显，前端备注可以选择录入也可以手动录入</t>
        </r>
      </text>
    </comment>
    <comment ref="E21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鼠标移至此处显示删除原因</t>
        </r>
      </text>
    </comment>
  </commentList>
</comments>
</file>

<file path=xl/comments3.xml><?xml version="1.0" encoding="utf-8"?>
<comments xmlns="http://schemas.openxmlformats.org/spreadsheetml/2006/main">
  <authors>
    <author>SamPao</author>
  </authors>
  <commentList>
    <comment ref="B4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点击用户名称可以显示最近发运的5个订单，点击订单号可查询详情</t>
        </r>
      </text>
    </comment>
    <comment ref="P18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只显示18字符，超过时移至这里浮显，前端备注可以选择录入也可以手动录入</t>
        </r>
      </text>
    </comment>
    <comment ref="E21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鼠标移至此处显示删除原因</t>
        </r>
      </text>
    </comment>
  </commentList>
</comments>
</file>

<file path=xl/sharedStrings.xml><?xml version="1.0" encoding="utf-8"?>
<sst xmlns="http://schemas.openxmlformats.org/spreadsheetml/2006/main" count="956" uniqueCount="265">
  <si>
    <t>全部</t>
  </si>
  <si>
    <t>尼日利亚</t>
  </si>
  <si>
    <t>加纳</t>
  </si>
  <si>
    <t>几内亚</t>
  </si>
  <si>
    <t>中国</t>
  </si>
  <si>
    <t>罗马尼亚</t>
  </si>
  <si>
    <t>泰国</t>
  </si>
  <si>
    <t>拉各斯</t>
  </si>
  <si>
    <t>卡诺</t>
  </si>
  <si>
    <t>阿布贾</t>
  </si>
  <si>
    <t>奥尼查</t>
  </si>
  <si>
    <t>选择年</t>
  </si>
  <si>
    <t>选择月份</t>
  </si>
  <si>
    <t>选择支付方式</t>
  </si>
  <si>
    <t>选择币种</t>
  </si>
  <si>
    <t>选择支付途径</t>
  </si>
  <si>
    <t>选择站点</t>
  </si>
  <si>
    <t>选择业务员</t>
  </si>
  <si>
    <t>输入订单号/JOB/电话/收发货人/业务员可查询</t>
  </si>
  <si>
    <t>序号</t>
  </si>
  <si>
    <t>运单编号</t>
  </si>
  <si>
    <t>业务员</t>
  </si>
  <si>
    <t>用户</t>
  </si>
  <si>
    <t>线路</t>
  </si>
  <si>
    <t>计费重量Kg</t>
  </si>
  <si>
    <t>币种</t>
  </si>
  <si>
    <t>应收</t>
  </si>
  <si>
    <t>支付方式/状态</t>
  </si>
  <si>
    <t>支付途径/日期</t>
  </si>
  <si>
    <t>变更审核</t>
  </si>
  <si>
    <t>支付审核</t>
  </si>
  <si>
    <t>操作</t>
  </si>
  <si>
    <t>更新日期</t>
  </si>
  <si>
    <t>SAMPAO</t>
  </si>
  <si>
    <t>辉色轨迹</t>
  </si>
  <si>
    <t>CAN.CHN→ACC.GHA</t>
  </si>
  <si>
    <t>USD</t>
  </si>
  <si>
    <r>
      <rPr>
        <sz val="9"/>
        <color theme="1"/>
        <rFont val="Microsoft JhengHei"/>
        <charset val="134"/>
      </rPr>
      <t>到付</t>
    </r>
    <r>
      <rPr>
        <sz val="9"/>
        <color theme="1"/>
        <rFont val="Arial"/>
        <charset val="134"/>
      </rPr>
      <t xml:space="preserve">  </t>
    </r>
    <r>
      <rPr>
        <sz val="9"/>
        <color theme="1"/>
        <rFont val="Microsoft JhengHei"/>
        <charset val="134"/>
      </rPr>
      <t>未付</t>
    </r>
  </si>
  <si>
    <r>
      <rPr>
        <sz val="8"/>
        <color theme="1"/>
        <rFont val="Arial"/>
        <charset val="134"/>
      </rPr>
      <t xml:space="preserve">COMPANY ACC 02765    2019/8/28 15:01:22  </t>
    </r>
    <r>
      <rPr>
        <sz val="8"/>
        <color rgb="FF0070C0"/>
        <rFont val="Microsoft JhengHei"/>
        <charset val="134"/>
      </rPr>
      <t>查看</t>
    </r>
  </si>
  <si>
    <r>
      <rPr>
        <sz val="8"/>
        <color theme="1"/>
        <rFont val="Microsoft JhengHei"/>
        <charset val="134"/>
      </rPr>
      <t>已审核</t>
    </r>
    <r>
      <rPr>
        <sz val="8"/>
        <color theme="1"/>
        <rFont val="Arial"/>
        <charset val="134"/>
      </rPr>
      <t xml:space="preserve"> CABSAMPAO                2019/10/27 13:14:04</t>
    </r>
  </si>
  <si>
    <t>变更 确认</t>
  </si>
  <si>
    <t>SMILE</t>
  </si>
  <si>
    <t>Bella Chan</t>
  </si>
  <si>
    <t>CAN.CHN→LAD.AGL</t>
  </si>
  <si>
    <t>CNY</t>
  </si>
  <si>
    <r>
      <rPr>
        <sz val="9"/>
        <color theme="1"/>
        <rFont val="Microsoft JhengHei"/>
        <charset val="134"/>
      </rPr>
      <t>到付→预付</t>
    </r>
    <r>
      <rPr>
        <sz val="9"/>
        <color theme="1"/>
        <rFont val="Arial"/>
        <charset val="134"/>
      </rPr>
      <t xml:space="preserve">  </t>
    </r>
    <r>
      <rPr>
        <sz val="9"/>
        <color theme="1"/>
        <rFont val="Microsoft JhengHei"/>
        <charset val="134"/>
      </rPr>
      <t>未付</t>
    </r>
  </si>
  <si>
    <r>
      <rPr>
        <sz val="8"/>
        <color theme="1"/>
        <rFont val="Microsoft JhengHei"/>
        <charset val="134"/>
      </rPr>
      <t>审核中</t>
    </r>
    <r>
      <rPr>
        <sz val="8"/>
        <color theme="1"/>
        <rFont val="Arial"/>
        <charset val="134"/>
      </rPr>
      <t xml:space="preserve">                          2019/10/27 13:14:05</t>
    </r>
  </si>
  <si>
    <t>变更 查看</t>
  </si>
  <si>
    <t>ANDI</t>
  </si>
  <si>
    <t>ying</t>
  </si>
  <si>
    <t>CAN.CHN→ABV.NGN</t>
  </si>
  <si>
    <r>
      <rPr>
        <sz val="8"/>
        <color theme="1"/>
        <rFont val="Microsoft JhengHei"/>
        <charset val="134"/>
      </rPr>
      <t>已驳回</t>
    </r>
    <r>
      <rPr>
        <sz val="8"/>
        <color theme="1"/>
        <rFont val="Arial"/>
        <charset val="134"/>
      </rPr>
      <t xml:space="preserve"> CABSAMPAO                2019/10/27 13:14:04</t>
    </r>
  </si>
  <si>
    <t>YING</t>
  </si>
  <si>
    <t>另一个</t>
  </si>
  <si>
    <t>无</t>
  </si>
  <si>
    <t>BELLA</t>
  </si>
  <si>
    <r>
      <rPr>
        <sz val="9"/>
        <color theme="1"/>
        <rFont val="Microsoft JhengHei"/>
        <charset val="134"/>
      </rPr>
      <t>预付</t>
    </r>
    <r>
      <rPr>
        <sz val="9"/>
        <color theme="1"/>
        <rFont val="Arial"/>
        <charset val="134"/>
      </rPr>
      <t xml:space="preserve">  </t>
    </r>
    <r>
      <rPr>
        <sz val="9"/>
        <color theme="1"/>
        <rFont val="Microsoft JhengHei"/>
        <charset val="134"/>
      </rPr>
      <t>未付</t>
    </r>
  </si>
  <si>
    <t>.LINMAO''''''</t>
  </si>
  <si>
    <t>变更支付方式</t>
  </si>
  <si>
    <t>CAN.CHN-LOS.NGN</t>
  </si>
  <si>
    <t>特快</t>
  </si>
  <si>
    <t>原支付方式：到付</t>
  </si>
  <si>
    <t>预付改到付  口       汇率换算  口       编辑换算  口</t>
  </si>
  <si>
    <r>
      <rPr>
        <sz val="9"/>
        <color theme="1"/>
        <rFont val="宋体"/>
        <charset val="134"/>
      </rPr>
      <t>业务员</t>
    </r>
    <r>
      <rPr>
        <sz val="9"/>
        <color theme="1"/>
        <rFont val="Arial"/>
        <charset val="134"/>
      </rPr>
      <t xml:space="preserve">:Sampao     </t>
    </r>
    <r>
      <rPr>
        <sz val="9"/>
        <color theme="1"/>
        <rFont val="宋体"/>
        <charset val="134"/>
      </rPr>
      <t>用户</t>
    </r>
    <r>
      <rPr>
        <sz val="9"/>
        <color theme="1"/>
        <rFont val="Arial"/>
        <charset val="134"/>
      </rPr>
      <t xml:space="preserve">:Smile     </t>
    </r>
    <r>
      <rPr>
        <sz val="9"/>
        <color theme="1"/>
        <rFont val="宋体"/>
        <charset val="134"/>
      </rPr>
      <t>订单日期</t>
    </r>
    <r>
      <rPr>
        <sz val="9"/>
        <color theme="1"/>
        <rFont val="Arial"/>
        <charset val="134"/>
      </rPr>
      <t xml:space="preserve"> 2019/10/27 13:14:04</t>
    </r>
  </si>
  <si>
    <r>
      <rPr>
        <b/>
        <sz val="11"/>
        <color theme="1"/>
        <rFont val="Microsoft JhengHei"/>
        <charset val="134"/>
      </rPr>
      <t>费用明细</t>
    </r>
  </si>
  <si>
    <r>
      <rPr>
        <sz val="9"/>
        <color theme="1"/>
        <rFont val="宋体"/>
        <charset val="134"/>
      </rPr>
      <t>序号</t>
    </r>
  </si>
  <si>
    <t>项目</t>
  </si>
  <si>
    <r>
      <rPr>
        <sz val="9"/>
        <color theme="1"/>
        <rFont val="宋体"/>
        <charset val="134"/>
      </rPr>
      <t>单价</t>
    </r>
    <r>
      <rPr>
        <sz val="9"/>
        <color theme="1"/>
        <rFont val="Arial"/>
        <charset val="134"/>
      </rPr>
      <t>USD</t>
    </r>
  </si>
  <si>
    <r>
      <rPr>
        <sz val="9"/>
        <color theme="1"/>
        <rFont val="宋体"/>
        <charset val="134"/>
      </rPr>
      <t>数量</t>
    </r>
  </si>
  <si>
    <r>
      <rPr>
        <sz val="9"/>
        <color theme="1"/>
        <rFont val="宋体"/>
        <charset val="134"/>
      </rPr>
      <t>小计</t>
    </r>
    <r>
      <rPr>
        <sz val="9"/>
        <color theme="1"/>
        <rFont val="Arial"/>
        <charset val="134"/>
      </rPr>
      <t>USD</t>
    </r>
  </si>
  <si>
    <r>
      <rPr>
        <sz val="9"/>
        <color theme="1"/>
        <rFont val="宋体"/>
        <charset val="134"/>
      </rPr>
      <t>录入日期</t>
    </r>
  </si>
  <si>
    <r>
      <rPr>
        <sz val="9"/>
        <color theme="1"/>
        <rFont val="宋体"/>
        <charset val="134"/>
      </rPr>
      <t>首重</t>
    </r>
  </si>
  <si>
    <t>CABSAMPAO                2019/10/27 13:14:04</t>
  </si>
  <si>
    <r>
      <rPr>
        <sz val="9"/>
        <color theme="1"/>
        <rFont val="宋体"/>
        <charset val="134"/>
      </rPr>
      <t>续重</t>
    </r>
  </si>
  <si>
    <t>CABSAMPAO                2019/10/27 13:14:05</t>
  </si>
  <si>
    <t>药品附加运费</t>
  </si>
  <si>
    <t>CABSAMPAO                2019/10/27 13:14:06</t>
  </si>
  <si>
    <t>进口报关费</t>
  </si>
  <si>
    <t>CABSAMPAO                2019/10/27 13:14:07</t>
  </si>
  <si>
    <t>到门费用</t>
  </si>
  <si>
    <t>CABSAMPAO                2019/10/27 13:14:08</t>
  </si>
  <si>
    <t>折扣</t>
  </si>
  <si>
    <t>CABSAMPAO                2019/10/27 13:14:09</t>
  </si>
  <si>
    <r>
      <rPr>
        <b/>
        <sz val="11"/>
        <color rgb="FFFF0000"/>
        <rFont val="宋体"/>
        <charset val="134"/>
      </rPr>
      <t>合计</t>
    </r>
    <r>
      <rPr>
        <b/>
        <sz val="11"/>
        <color rgb="FFFF0000"/>
        <rFont val="Arial"/>
        <charset val="134"/>
      </rPr>
      <t>USD</t>
    </r>
  </si>
  <si>
    <r>
      <rPr>
        <sz val="9"/>
        <color rgb="FFFF0000"/>
        <rFont val="宋体"/>
        <charset val="134"/>
      </rPr>
      <t>汇率</t>
    </r>
    <r>
      <rPr>
        <sz val="9"/>
        <color rgb="FFFF0000"/>
        <rFont val="Arial"/>
        <charset val="134"/>
      </rPr>
      <t xml:space="preserve"> USD1.00=NGN480</t>
    </r>
  </si>
  <si>
    <r>
      <rPr>
        <b/>
        <sz val="11"/>
        <color rgb="FFFF0000"/>
        <rFont val="宋体"/>
        <charset val="134"/>
      </rPr>
      <t>折合</t>
    </r>
    <r>
      <rPr>
        <b/>
        <sz val="11"/>
        <color rgb="FFFF0000"/>
        <rFont val="Arial"/>
        <charset val="134"/>
      </rPr>
      <t>NGN</t>
    </r>
  </si>
  <si>
    <r>
      <rPr>
        <b/>
        <sz val="9"/>
        <color rgb="FF0070C0"/>
        <rFont val="宋体"/>
        <charset val="134"/>
      </rPr>
      <t>展开运价列表</t>
    </r>
  </si>
  <si>
    <t>返回   提交</t>
  </si>
  <si>
    <t>191024000040</t>
  </si>
  <si>
    <t>原支付方式：预付</t>
  </si>
  <si>
    <r>
      <t>现支付方式：预付</t>
    </r>
    <r>
      <rPr>
        <b/>
        <sz val="11"/>
        <color theme="1"/>
        <rFont val="Arial"/>
        <charset val="134"/>
      </rPr>
      <t xml:space="preserve">     2019/10/27 13:14:04</t>
    </r>
  </si>
  <si>
    <r>
      <t>现支付方式：到付</t>
    </r>
    <r>
      <rPr>
        <b/>
        <sz val="11"/>
        <color theme="1"/>
        <rFont val="Arial"/>
        <charset val="134"/>
      </rPr>
      <t xml:space="preserve">     2019/10/27 13:14:04</t>
    </r>
  </si>
  <si>
    <r>
      <rPr>
        <b/>
        <sz val="11"/>
        <color theme="1"/>
        <rFont val="宋体"/>
        <charset val="134"/>
      </rPr>
      <t xml:space="preserve">到付→预付  </t>
    </r>
    <r>
      <rPr>
        <b/>
        <sz val="11"/>
        <color theme="1"/>
        <rFont val="Wingdings"/>
        <charset val="134"/>
      </rPr>
      <t>þ</t>
    </r>
    <r>
      <rPr>
        <b/>
        <sz val="11"/>
        <color theme="1"/>
        <rFont val="宋体"/>
        <charset val="134"/>
      </rPr>
      <t xml:space="preserve">       汇率换算  </t>
    </r>
    <r>
      <rPr>
        <b/>
        <sz val="11"/>
        <color theme="1"/>
        <rFont val="Wingdings"/>
        <charset val="134"/>
      </rPr>
      <t>þ</t>
    </r>
    <r>
      <rPr>
        <b/>
        <sz val="11"/>
        <color theme="1"/>
        <rFont val="宋体"/>
        <charset val="134"/>
      </rPr>
      <t xml:space="preserve">       编辑换算  口</t>
    </r>
  </si>
  <si>
    <r>
      <rPr>
        <b/>
        <sz val="11"/>
        <color theme="1"/>
        <rFont val="宋体"/>
        <charset val="134"/>
      </rPr>
      <t xml:space="preserve">预付→到付  </t>
    </r>
    <r>
      <rPr>
        <b/>
        <sz val="11"/>
        <color theme="1"/>
        <rFont val="Wingdings"/>
        <charset val="134"/>
      </rPr>
      <t>þ</t>
    </r>
    <r>
      <rPr>
        <b/>
        <sz val="11"/>
        <color theme="1"/>
        <rFont val="宋体"/>
        <charset val="134"/>
      </rPr>
      <t xml:space="preserve">       汇率换算  </t>
    </r>
    <r>
      <rPr>
        <b/>
        <sz val="11"/>
        <color theme="1"/>
        <rFont val="Wingdings"/>
        <charset val="134"/>
      </rPr>
      <t>þ</t>
    </r>
    <r>
      <rPr>
        <b/>
        <sz val="11"/>
        <color theme="1"/>
        <rFont val="宋体"/>
        <charset val="134"/>
      </rPr>
      <t xml:space="preserve">       编辑换算  口</t>
    </r>
  </si>
  <si>
    <r>
      <rPr>
        <sz val="9"/>
        <color theme="1"/>
        <rFont val="宋体"/>
        <charset val="134"/>
      </rPr>
      <t>单价</t>
    </r>
    <r>
      <rPr>
        <sz val="9"/>
        <color theme="1"/>
        <rFont val="Arial"/>
        <charset val="134"/>
      </rPr>
      <t>CNY</t>
    </r>
  </si>
  <si>
    <r>
      <rPr>
        <sz val="9"/>
        <color theme="1"/>
        <rFont val="宋体"/>
        <charset val="134"/>
      </rPr>
      <t>小计</t>
    </r>
    <r>
      <rPr>
        <sz val="9"/>
        <color theme="1"/>
        <rFont val="Arial"/>
        <charset val="134"/>
      </rPr>
      <t>CNY</t>
    </r>
  </si>
  <si>
    <t>合计CNY</t>
  </si>
  <si>
    <t>变更后费用明细</t>
  </si>
  <si>
    <t>变更日期</t>
  </si>
  <si>
    <r>
      <rPr>
        <sz val="9"/>
        <color rgb="FFFF0000"/>
        <rFont val="宋体"/>
        <charset val="134"/>
      </rPr>
      <t>汇率</t>
    </r>
    <r>
      <rPr>
        <sz val="9"/>
        <color rgb="FFFF0000"/>
        <rFont val="Arial"/>
        <charset val="134"/>
      </rPr>
      <t xml:space="preserve"> CNY6.60=CNY1.00</t>
    </r>
  </si>
  <si>
    <r>
      <rPr>
        <sz val="9"/>
        <color rgb="FFFF0000"/>
        <rFont val="宋体"/>
        <charset val="134"/>
      </rPr>
      <t>汇率</t>
    </r>
    <r>
      <rPr>
        <sz val="9"/>
        <color rgb="FFFF0000"/>
        <rFont val="Arial"/>
        <charset val="134"/>
      </rPr>
      <t xml:space="preserve"> USD1.00=CNY6.71</t>
    </r>
  </si>
  <si>
    <r>
      <rPr>
        <b/>
        <sz val="11"/>
        <color rgb="FFFF0000"/>
        <rFont val="宋体"/>
        <charset val="134"/>
      </rPr>
      <t>合计</t>
    </r>
    <r>
      <rPr>
        <b/>
        <sz val="11"/>
        <color rgb="FFFF0000"/>
        <rFont val="Arial"/>
        <charset val="134"/>
      </rPr>
      <t>CNY</t>
    </r>
  </si>
  <si>
    <r>
      <rPr>
        <b/>
        <sz val="11"/>
        <color theme="1"/>
        <rFont val="宋体"/>
        <charset val="134"/>
      </rPr>
      <t xml:space="preserve">到付改预付  </t>
    </r>
    <r>
      <rPr>
        <b/>
        <sz val="11"/>
        <color theme="1"/>
        <rFont val="Wingdings"/>
        <charset val="134"/>
      </rPr>
      <t>þ</t>
    </r>
    <r>
      <rPr>
        <b/>
        <sz val="11"/>
        <color theme="1"/>
        <rFont val="宋体"/>
        <charset val="134"/>
      </rPr>
      <t xml:space="preserve">       汇率换算  口       编辑换算  </t>
    </r>
    <r>
      <rPr>
        <b/>
        <sz val="11"/>
        <color theme="1"/>
        <rFont val="Wingdings"/>
        <charset val="134"/>
      </rPr>
      <t>þ</t>
    </r>
  </si>
  <si>
    <r>
      <rPr>
        <b/>
        <sz val="11"/>
        <color theme="1"/>
        <rFont val="宋体"/>
        <charset val="134"/>
      </rPr>
      <t xml:space="preserve">预付→到付  </t>
    </r>
    <r>
      <rPr>
        <b/>
        <sz val="11"/>
        <color theme="1"/>
        <rFont val="Wingdings"/>
        <charset val="134"/>
      </rPr>
      <t>þ</t>
    </r>
    <r>
      <rPr>
        <b/>
        <sz val="11"/>
        <color theme="1"/>
        <rFont val="宋体"/>
        <charset val="134"/>
      </rPr>
      <t xml:space="preserve">       汇率换算  口       编辑换算  </t>
    </r>
    <r>
      <rPr>
        <b/>
        <sz val="11"/>
        <color theme="1"/>
        <rFont val="Wingdings"/>
        <charset val="134"/>
      </rPr>
      <t>þ</t>
    </r>
  </si>
  <si>
    <r>
      <rPr>
        <sz val="9"/>
        <color theme="1"/>
        <rFont val="宋体"/>
        <charset val="134"/>
      </rPr>
      <t xml:space="preserve">项目  </t>
    </r>
    <r>
      <rPr>
        <sz val="8"/>
        <color rgb="FF0070C0"/>
        <rFont val="宋体"/>
        <charset val="134"/>
      </rPr>
      <t>+添加</t>
    </r>
  </si>
  <si>
    <r>
      <rPr>
        <sz val="9"/>
        <color theme="1"/>
        <rFont val="宋体"/>
        <charset val="134"/>
      </rPr>
      <t>首重</t>
    </r>
    <r>
      <rPr>
        <sz val="9"/>
        <color theme="1"/>
        <rFont val="Arial"/>
        <charset val="134"/>
      </rPr>
      <t xml:space="preserve">    </t>
    </r>
    <r>
      <rPr>
        <b/>
        <sz val="9"/>
        <color rgb="FFFF0000"/>
        <rFont val="Arial"/>
        <charset val="134"/>
      </rPr>
      <t>X</t>
    </r>
  </si>
  <si>
    <r>
      <rPr>
        <sz val="9"/>
        <color theme="1"/>
        <rFont val="宋体"/>
        <charset val="134"/>
      </rPr>
      <t>续重</t>
    </r>
    <r>
      <rPr>
        <sz val="9"/>
        <color theme="1"/>
        <rFont val="Arial"/>
        <charset val="134"/>
      </rPr>
      <t xml:space="preserve">    </t>
    </r>
    <r>
      <rPr>
        <b/>
        <sz val="9"/>
        <color rgb="FFFF0000"/>
        <rFont val="Arial"/>
        <charset val="134"/>
      </rPr>
      <t>X</t>
    </r>
  </si>
  <si>
    <r>
      <rPr>
        <sz val="9"/>
        <color theme="1"/>
        <rFont val="宋体"/>
        <charset val="134"/>
      </rPr>
      <t>药品附加运费</t>
    </r>
    <r>
      <rPr>
        <sz val="9"/>
        <color theme="1"/>
        <rFont val="Arial"/>
        <charset val="134"/>
      </rPr>
      <t xml:space="preserve">    </t>
    </r>
    <r>
      <rPr>
        <b/>
        <sz val="9"/>
        <color rgb="FFFF0000"/>
        <rFont val="Arial"/>
        <charset val="134"/>
      </rPr>
      <t>X</t>
    </r>
  </si>
  <si>
    <r>
      <rPr>
        <sz val="9"/>
        <color theme="1"/>
        <rFont val="宋体"/>
        <charset val="134"/>
      </rPr>
      <t>进口报关费</t>
    </r>
    <r>
      <rPr>
        <sz val="9"/>
        <color theme="1"/>
        <rFont val="Arial"/>
        <charset val="134"/>
      </rPr>
      <t xml:space="preserve">    </t>
    </r>
    <r>
      <rPr>
        <b/>
        <sz val="9"/>
        <color rgb="FFFF0000"/>
        <rFont val="Arial"/>
        <charset val="134"/>
      </rPr>
      <t>X</t>
    </r>
  </si>
  <si>
    <r>
      <rPr>
        <sz val="9"/>
        <color theme="1"/>
        <rFont val="宋体"/>
        <charset val="134"/>
      </rPr>
      <t>到门费用</t>
    </r>
    <r>
      <rPr>
        <sz val="9"/>
        <color theme="1"/>
        <rFont val="Arial"/>
        <charset val="134"/>
      </rPr>
      <t xml:space="preserve">    </t>
    </r>
    <r>
      <rPr>
        <b/>
        <sz val="9"/>
        <color rgb="FFFF0000"/>
        <rFont val="Arial"/>
        <charset val="134"/>
      </rPr>
      <t>X</t>
    </r>
  </si>
  <si>
    <r>
      <rPr>
        <sz val="9"/>
        <color theme="1"/>
        <rFont val="宋体"/>
        <charset val="134"/>
      </rPr>
      <t xml:space="preserve">选择    </t>
    </r>
    <r>
      <rPr>
        <b/>
        <sz val="9"/>
        <color rgb="FFFF0000"/>
        <rFont val="Arial"/>
        <charset val="134"/>
      </rPr>
      <t>X</t>
    </r>
  </si>
  <si>
    <t>录入</t>
  </si>
  <si>
    <t>CABSAMPAO                2019/10/27 13:14:10</t>
  </si>
  <si>
    <t>确认支付</t>
  </si>
  <si>
    <t>支付方式：到付</t>
  </si>
  <si>
    <r>
      <t>USD</t>
    </r>
    <r>
      <rPr>
        <b/>
        <sz val="11"/>
        <color theme="1"/>
        <rFont val="宋体"/>
        <charset val="134"/>
      </rPr>
      <t>现金</t>
    </r>
    <r>
      <rPr>
        <b/>
        <sz val="11"/>
        <color theme="1"/>
        <rFont val="Arial"/>
        <charset val="134"/>
      </rPr>
      <t xml:space="preserve">  </t>
    </r>
    <r>
      <rPr>
        <b/>
        <sz val="11"/>
        <color theme="1"/>
        <rFont val="宋体"/>
        <charset val="134"/>
      </rPr>
      <t>口</t>
    </r>
    <r>
      <rPr>
        <b/>
        <sz val="11"/>
        <color theme="1"/>
        <rFont val="Arial"/>
        <charset val="134"/>
      </rPr>
      <t xml:space="preserve">      USD</t>
    </r>
    <r>
      <rPr>
        <b/>
        <sz val="11"/>
        <color theme="1"/>
        <rFont val="宋体"/>
        <charset val="134"/>
      </rPr>
      <t>转账</t>
    </r>
    <r>
      <rPr>
        <b/>
        <sz val="11"/>
        <color theme="1"/>
        <rFont val="Arial"/>
        <charset val="134"/>
      </rPr>
      <t xml:space="preserve">  </t>
    </r>
    <r>
      <rPr>
        <b/>
        <sz val="11"/>
        <color theme="1"/>
        <rFont val="宋体"/>
        <charset val="134"/>
      </rPr>
      <t>口</t>
    </r>
    <r>
      <rPr>
        <b/>
        <sz val="11"/>
        <color theme="1"/>
        <rFont val="Arial"/>
        <charset val="134"/>
      </rPr>
      <t xml:space="preserve">       NGN</t>
    </r>
    <r>
      <rPr>
        <b/>
        <sz val="11"/>
        <color theme="1"/>
        <rFont val="宋体"/>
        <charset val="134"/>
      </rPr>
      <t>现金</t>
    </r>
    <r>
      <rPr>
        <b/>
        <sz val="11"/>
        <color theme="1"/>
        <rFont val="Arial"/>
        <charset val="134"/>
      </rPr>
      <t xml:space="preserve">  </t>
    </r>
    <r>
      <rPr>
        <b/>
        <sz val="11"/>
        <color theme="1"/>
        <rFont val="宋体"/>
        <charset val="134"/>
      </rPr>
      <t>口</t>
    </r>
    <r>
      <rPr>
        <b/>
        <sz val="11"/>
        <color theme="1"/>
        <rFont val="Arial"/>
        <charset val="134"/>
      </rPr>
      <t xml:space="preserve">       NGN</t>
    </r>
    <r>
      <rPr>
        <b/>
        <sz val="11"/>
        <color theme="1"/>
        <rFont val="宋体"/>
        <charset val="134"/>
      </rPr>
      <t>转账</t>
    </r>
    <r>
      <rPr>
        <b/>
        <sz val="11"/>
        <color theme="1"/>
        <rFont val="Arial"/>
        <charset val="134"/>
      </rPr>
      <t xml:space="preserve"> </t>
    </r>
    <r>
      <rPr>
        <b/>
        <sz val="11"/>
        <color theme="1"/>
        <rFont val="宋体"/>
        <charset val="134"/>
      </rPr>
      <t>口</t>
    </r>
  </si>
  <si>
    <r>
      <t>USD</t>
    </r>
    <r>
      <rPr>
        <b/>
        <sz val="11"/>
        <color theme="1"/>
        <rFont val="宋体"/>
        <charset val="134"/>
      </rPr>
      <t>现金</t>
    </r>
    <r>
      <rPr>
        <b/>
        <sz val="11"/>
        <color theme="1"/>
        <rFont val="Arial"/>
        <charset val="134"/>
      </rPr>
      <t xml:space="preserve">  </t>
    </r>
    <r>
      <rPr>
        <b/>
        <sz val="11"/>
        <color theme="1"/>
        <rFont val="宋体"/>
        <charset val="134"/>
      </rPr>
      <t>口</t>
    </r>
    <r>
      <rPr>
        <b/>
        <sz val="11"/>
        <color theme="1"/>
        <rFont val="Arial"/>
        <charset val="134"/>
      </rPr>
      <t xml:space="preserve">      USD</t>
    </r>
    <r>
      <rPr>
        <b/>
        <sz val="11"/>
        <color theme="1"/>
        <rFont val="宋体"/>
        <charset val="134"/>
      </rPr>
      <t>转账</t>
    </r>
    <r>
      <rPr>
        <b/>
        <sz val="11"/>
        <color theme="1"/>
        <rFont val="Arial"/>
        <charset val="134"/>
      </rPr>
      <t xml:space="preserve">  </t>
    </r>
    <r>
      <rPr>
        <b/>
        <sz val="11"/>
        <color theme="1"/>
        <rFont val="Wingdings"/>
        <charset val="134"/>
      </rPr>
      <t>þ</t>
    </r>
    <r>
      <rPr>
        <b/>
        <sz val="11"/>
        <color theme="1"/>
        <rFont val="Arial"/>
        <charset val="134"/>
      </rPr>
      <t xml:space="preserve">       NGN</t>
    </r>
    <r>
      <rPr>
        <b/>
        <sz val="11"/>
        <color theme="1"/>
        <rFont val="宋体"/>
        <charset val="134"/>
      </rPr>
      <t>现金</t>
    </r>
    <r>
      <rPr>
        <b/>
        <sz val="11"/>
        <color theme="1"/>
        <rFont val="Arial"/>
        <charset val="134"/>
      </rPr>
      <t xml:space="preserve">  </t>
    </r>
    <r>
      <rPr>
        <b/>
        <sz val="11"/>
        <color theme="1"/>
        <rFont val="宋体"/>
        <charset val="134"/>
      </rPr>
      <t>口</t>
    </r>
    <r>
      <rPr>
        <b/>
        <sz val="11"/>
        <color theme="1"/>
        <rFont val="Arial"/>
        <charset val="134"/>
      </rPr>
      <t xml:space="preserve">       NGN</t>
    </r>
    <r>
      <rPr>
        <b/>
        <sz val="11"/>
        <color theme="1"/>
        <rFont val="宋体"/>
        <charset val="134"/>
      </rPr>
      <t>转账</t>
    </r>
    <r>
      <rPr>
        <b/>
        <sz val="11"/>
        <color theme="1"/>
        <rFont val="Arial"/>
        <charset val="134"/>
      </rPr>
      <t xml:space="preserve"> </t>
    </r>
    <r>
      <rPr>
        <b/>
        <sz val="11"/>
        <color theme="1"/>
        <rFont val="宋体"/>
        <charset val="134"/>
      </rPr>
      <t>口</t>
    </r>
  </si>
  <si>
    <t>支付途径：</t>
  </si>
  <si>
    <t>选择</t>
  </si>
  <si>
    <t>申请账号：</t>
  </si>
  <si>
    <t>审核状态：</t>
  </si>
  <si>
    <t>待审核</t>
  </si>
  <si>
    <t>公账工行 2778</t>
  </si>
  <si>
    <t>Sampao</t>
  </si>
  <si>
    <t>已审核</t>
  </si>
  <si>
    <t>支付凭证：</t>
  </si>
  <si>
    <t>查看 上传</t>
  </si>
  <si>
    <t>申请日期：</t>
  </si>
  <si>
    <t>审核账号：</t>
  </si>
  <si>
    <t>查看</t>
  </si>
  <si>
    <t>CANSAMPAO</t>
  </si>
  <si>
    <t>支付日期：</t>
  </si>
  <si>
    <t>审核日期：</t>
  </si>
  <si>
    <r>
      <t>业务员</t>
    </r>
    <r>
      <rPr>
        <sz val="9"/>
        <color theme="1"/>
        <rFont val="Arial"/>
        <charset val="134"/>
      </rPr>
      <t xml:space="preserve">:Sampao     </t>
    </r>
    <r>
      <rPr>
        <sz val="9"/>
        <color theme="1"/>
        <rFont val="宋体"/>
        <charset val="134"/>
      </rPr>
      <t>用户</t>
    </r>
    <r>
      <rPr>
        <sz val="9"/>
        <color theme="1"/>
        <rFont val="Arial"/>
        <charset val="134"/>
      </rPr>
      <t xml:space="preserve">:Smile     </t>
    </r>
    <r>
      <rPr>
        <sz val="9"/>
        <color theme="1"/>
        <rFont val="宋体"/>
        <charset val="134"/>
      </rPr>
      <t>订单日期</t>
    </r>
    <r>
      <rPr>
        <sz val="9"/>
        <color theme="1"/>
        <rFont val="Arial"/>
        <charset val="134"/>
      </rPr>
      <t xml:space="preserve"> 2019/10/27 13:14:04</t>
    </r>
  </si>
  <si>
    <t>订单详情</t>
  </si>
  <si>
    <t>2341234567890</t>
  </si>
  <si>
    <r>
      <rPr>
        <b/>
        <sz val="11"/>
        <color theme="1"/>
        <rFont val="宋体"/>
        <charset val="134"/>
      </rPr>
      <t>业务员</t>
    </r>
    <r>
      <rPr>
        <b/>
        <sz val="11"/>
        <color theme="1"/>
        <rFont val="Arial"/>
        <charset val="134"/>
      </rPr>
      <t>:SAMPAO</t>
    </r>
  </si>
  <si>
    <t>打印面单</t>
  </si>
  <si>
    <t>下单日期：2019/8/28 15:01:22</t>
  </si>
  <si>
    <t>完成日期：2019/10/18 20:30:00</t>
  </si>
  <si>
    <t>支付方式/状态:到付  未付</t>
  </si>
  <si>
    <r>
      <rPr>
        <sz val="9"/>
        <color theme="1"/>
        <rFont val="宋体"/>
        <charset val="134"/>
      </rPr>
      <t xml:space="preserve">支付途径:微信2290 </t>
    </r>
    <r>
      <rPr>
        <sz val="9"/>
        <color rgb="FF0070C0"/>
        <rFont val="宋体"/>
        <charset val="134"/>
      </rPr>
      <t xml:space="preserve"> 查看</t>
    </r>
  </si>
  <si>
    <r>
      <rPr>
        <sz val="9"/>
        <color theme="1"/>
        <rFont val="宋体"/>
        <charset val="134"/>
      </rPr>
      <t>支付日期：</t>
    </r>
    <r>
      <rPr>
        <sz val="9"/>
        <color theme="1"/>
        <rFont val="Arial"/>
        <charset val="134"/>
      </rPr>
      <t>2019/10/18 20:30:00</t>
    </r>
  </si>
  <si>
    <r>
      <rPr>
        <sz val="9"/>
        <color theme="1"/>
        <rFont val="Microsoft JhengHei"/>
        <charset val="134"/>
      </rPr>
      <t>用户</t>
    </r>
    <r>
      <rPr>
        <sz val="9"/>
        <color theme="1"/>
        <rFont val="Arial"/>
        <charset val="134"/>
      </rPr>
      <t>:JohnnyAmy</t>
    </r>
  </si>
  <si>
    <r>
      <rPr>
        <sz val="9"/>
        <color theme="1"/>
        <rFont val="Microsoft JhengHei"/>
        <charset val="134"/>
      </rPr>
      <t>公司</t>
    </r>
    <r>
      <rPr>
        <sz val="9"/>
        <color theme="1"/>
        <rFont val="Arial"/>
        <charset val="134"/>
      </rPr>
      <t xml:space="preserve"> :Guangzhou Mailmail International Fowarding CO.,LTD</t>
    </r>
  </si>
  <si>
    <r>
      <rPr>
        <sz val="9"/>
        <color theme="1"/>
        <rFont val="Microsoft JhengHei"/>
        <charset val="134"/>
      </rPr>
      <t>邮箱</t>
    </r>
    <r>
      <rPr>
        <sz val="9"/>
        <color theme="1"/>
        <rFont val="Arial"/>
        <charset val="134"/>
      </rPr>
      <t>:Sampao@mailmailexp.com</t>
    </r>
  </si>
  <si>
    <r>
      <rPr>
        <sz val="9"/>
        <color theme="1"/>
        <rFont val="宋体"/>
        <charset val="134"/>
      </rPr>
      <t>电话：</t>
    </r>
    <r>
      <rPr>
        <sz val="9"/>
        <color theme="1"/>
        <rFont val="Arial"/>
        <charset val="134"/>
      </rPr>
      <t>+86 13570217212</t>
    </r>
  </si>
  <si>
    <t>发票信息：广州喵喵国际货运代理有限公司广州分公司</t>
  </si>
  <si>
    <r>
      <rPr>
        <sz val="9"/>
        <color theme="1"/>
        <rFont val="Microsoft JhengHei"/>
        <charset val="134"/>
      </rPr>
      <t>信用代码</t>
    </r>
    <r>
      <rPr>
        <sz val="9"/>
        <color theme="1"/>
        <rFont val="Arial"/>
        <charset val="134"/>
      </rPr>
      <t>:91440101MA59OXOJLW</t>
    </r>
  </si>
  <si>
    <t>联系人：李先生</t>
  </si>
  <si>
    <r>
      <rPr>
        <sz val="9"/>
        <color theme="1"/>
        <rFont val="Microsoft JhengHei"/>
        <charset val="134"/>
      </rPr>
      <t>地址：广东省广州市白云区黄石路江夏北二路</t>
    </r>
    <r>
      <rPr>
        <sz val="9"/>
        <color theme="1"/>
        <rFont val="Arial"/>
        <charset val="134"/>
      </rPr>
      <t>3</t>
    </r>
    <r>
      <rPr>
        <sz val="9"/>
        <color theme="1"/>
        <rFont val="Microsoft JhengHei"/>
        <charset val="134"/>
      </rPr>
      <t>号云商易城</t>
    </r>
    <r>
      <rPr>
        <sz val="9"/>
        <color theme="1"/>
        <rFont val="Arial"/>
        <charset val="134"/>
      </rPr>
      <t>B</t>
    </r>
    <r>
      <rPr>
        <sz val="9"/>
        <color theme="1"/>
        <rFont val="Microsoft JhengHei"/>
        <charset val="134"/>
      </rPr>
      <t>栋</t>
    </r>
    <r>
      <rPr>
        <sz val="9"/>
        <color theme="1"/>
        <rFont val="Arial"/>
        <charset val="134"/>
      </rPr>
      <t>110</t>
    </r>
  </si>
  <si>
    <t>开户行及账号：中国工商银行股份有限公司广州市同福中路支行 3602 0011 0920 1040 290</t>
  </si>
  <si>
    <t>CAN.CHN→LOS.NGN</t>
  </si>
  <si>
    <r>
      <rPr>
        <b/>
        <sz val="9"/>
        <color theme="1"/>
        <rFont val="Microsoft JhengHei"/>
        <charset val="134"/>
      </rPr>
      <t>发货人</t>
    </r>
  </si>
  <si>
    <r>
      <rPr>
        <b/>
        <sz val="9"/>
        <color theme="1"/>
        <rFont val="Microsoft JhengHei"/>
        <charset val="134"/>
      </rPr>
      <t>名字</t>
    </r>
  </si>
  <si>
    <r>
      <rPr>
        <b/>
        <sz val="9"/>
        <color theme="1"/>
        <rFont val="Microsoft JhengHei"/>
        <charset val="134"/>
      </rPr>
      <t>电话</t>
    </r>
  </si>
  <si>
    <r>
      <rPr>
        <b/>
        <sz val="9"/>
        <color theme="1"/>
        <rFont val="Microsoft JhengHei"/>
        <charset val="134"/>
      </rPr>
      <t>详细地址</t>
    </r>
  </si>
  <si>
    <r>
      <rPr>
        <b/>
        <sz val="9"/>
        <color theme="1"/>
        <rFont val="Microsoft JhengHei"/>
        <charset val="134"/>
      </rPr>
      <t>区</t>
    </r>
  </si>
  <si>
    <r>
      <rPr>
        <b/>
        <sz val="9"/>
        <color theme="1"/>
        <rFont val="Microsoft JhengHei"/>
        <charset val="134"/>
      </rPr>
      <t>城市</t>
    </r>
  </si>
  <si>
    <r>
      <rPr>
        <b/>
        <sz val="9"/>
        <color theme="1"/>
        <rFont val="Microsoft JhengHei"/>
        <charset val="134"/>
      </rPr>
      <t>国家</t>
    </r>
  </si>
  <si>
    <t>AkinGbolahan</t>
  </si>
  <si>
    <t>+233 0508319735</t>
  </si>
  <si>
    <r>
      <rPr>
        <sz val="9"/>
        <color theme="1"/>
        <rFont val="Microsoft JhengHei"/>
        <charset val="134"/>
      </rPr>
      <t>黄石路江夏北二路</t>
    </r>
    <r>
      <rPr>
        <sz val="9"/>
        <color theme="1"/>
        <rFont val="Arial"/>
        <charset val="134"/>
      </rPr>
      <t>3</t>
    </r>
    <r>
      <rPr>
        <sz val="9"/>
        <color theme="1"/>
        <rFont val="Microsoft JhengHei"/>
        <charset val="134"/>
      </rPr>
      <t>号云商易城</t>
    </r>
    <r>
      <rPr>
        <sz val="9"/>
        <color theme="1"/>
        <rFont val="Arial"/>
        <charset val="134"/>
      </rPr>
      <t>B</t>
    </r>
    <r>
      <rPr>
        <sz val="9"/>
        <color theme="1"/>
        <rFont val="Microsoft JhengHei"/>
        <charset val="134"/>
      </rPr>
      <t>栋</t>
    </r>
    <r>
      <rPr>
        <sz val="9"/>
        <color theme="1"/>
        <rFont val="Arial"/>
        <charset val="134"/>
      </rPr>
      <t>110</t>
    </r>
  </si>
  <si>
    <t>Baiyun</t>
  </si>
  <si>
    <t>GUANGZHOU</t>
  </si>
  <si>
    <t>CHINA</t>
  </si>
  <si>
    <r>
      <rPr>
        <b/>
        <sz val="9"/>
        <color theme="1"/>
        <rFont val="Microsoft JhengHei"/>
        <charset val="134"/>
      </rPr>
      <t>收货人</t>
    </r>
    <r>
      <rPr>
        <b/>
        <sz val="9"/>
        <color rgb="FFFF0000"/>
        <rFont val="Arial"/>
        <charset val="134"/>
      </rPr>
      <t>@</t>
    </r>
  </si>
  <si>
    <t>+233 501234567</t>
  </si>
  <si>
    <t>5 Mojidi Street (by Eco Bank) Off Toyin Street</t>
  </si>
  <si>
    <t>LUDO</t>
  </si>
  <si>
    <t>ACCARA</t>
  </si>
  <si>
    <t>GHANA</t>
  </si>
  <si>
    <t>展开状态栏</t>
  </si>
  <si>
    <t>订单初始信息</t>
  </si>
  <si>
    <r>
      <rPr>
        <b/>
        <sz val="9"/>
        <color theme="1"/>
        <rFont val="Microsoft JhengHei"/>
        <charset val="134"/>
      </rPr>
      <t>第三方运单</t>
    </r>
  </si>
  <si>
    <r>
      <rPr>
        <b/>
        <sz val="9"/>
        <color theme="1"/>
        <rFont val="Microsoft JhengHei"/>
        <charset val="134"/>
      </rPr>
      <t>状态</t>
    </r>
  </si>
  <si>
    <r>
      <rPr>
        <b/>
        <sz val="9"/>
        <color theme="1"/>
        <rFont val="Microsoft JhengHei"/>
        <charset val="134"/>
      </rPr>
      <t>更新日期</t>
    </r>
  </si>
  <si>
    <r>
      <rPr>
        <b/>
        <sz val="9"/>
        <color theme="1"/>
        <rFont val="Microsoft JhengHei"/>
        <charset val="134"/>
      </rPr>
      <t>品名</t>
    </r>
  </si>
  <si>
    <r>
      <rPr>
        <b/>
        <sz val="9"/>
        <color theme="1"/>
        <rFont val="Microsoft JhengHei"/>
        <charset val="134"/>
      </rPr>
      <t>类别</t>
    </r>
  </si>
  <si>
    <r>
      <rPr>
        <b/>
        <sz val="9"/>
        <color theme="1"/>
        <rFont val="Microsoft JhengHei"/>
        <charset val="134"/>
      </rPr>
      <t>说明</t>
    </r>
  </si>
  <si>
    <r>
      <rPr>
        <b/>
        <sz val="9"/>
        <color theme="1"/>
        <rFont val="Microsoft JhengHei"/>
        <charset val="134"/>
      </rPr>
      <t>重量</t>
    </r>
    <r>
      <rPr>
        <b/>
        <sz val="9"/>
        <color theme="1"/>
        <rFont val="Arial"/>
        <charset val="134"/>
      </rPr>
      <t>Kg</t>
    </r>
  </si>
  <si>
    <t>件数</t>
  </si>
  <si>
    <r>
      <rPr>
        <b/>
        <sz val="9"/>
        <color theme="1"/>
        <rFont val="Microsoft JhengHei"/>
        <charset val="134"/>
      </rPr>
      <t>货值</t>
    </r>
    <r>
      <rPr>
        <b/>
        <sz val="9"/>
        <color theme="1"/>
        <rFont val="Arial"/>
        <charset val="134"/>
      </rPr>
      <t>USD</t>
    </r>
  </si>
  <si>
    <r>
      <rPr>
        <b/>
        <sz val="9"/>
        <color theme="1"/>
        <rFont val="Microsoft JhengHei"/>
        <charset val="134"/>
      </rPr>
      <t>备注</t>
    </r>
  </si>
  <si>
    <r>
      <rPr>
        <sz val="9"/>
        <color theme="1"/>
        <rFont val="Microsoft JhengHei"/>
        <charset val="134"/>
      </rPr>
      <t>顺丰速运</t>
    </r>
    <r>
      <rPr>
        <sz val="9"/>
        <color theme="1"/>
        <rFont val="Arial"/>
        <charset val="134"/>
      </rPr>
      <t xml:space="preserve">  SF1012605193752</t>
    </r>
  </si>
  <si>
    <t>未签收</t>
  </si>
  <si>
    <t>Seat cushion</t>
  </si>
  <si>
    <r>
      <rPr>
        <sz val="9"/>
        <color theme="1"/>
        <rFont val="Microsoft JhengHei"/>
        <charset val="134"/>
      </rPr>
      <t>日用百货</t>
    </r>
  </si>
  <si>
    <r>
      <rPr>
        <sz val="9"/>
        <color theme="1"/>
        <rFont val="Microsoft JhengHei"/>
        <charset val="134"/>
      </rPr>
      <t>普货</t>
    </r>
  </si>
  <si>
    <r>
      <rPr>
        <sz val="9"/>
        <color theme="1"/>
        <rFont val="宋体"/>
        <charset val="134"/>
      </rPr>
      <t>我们一起去吃饭好不好啊</t>
    </r>
  </si>
  <si>
    <r>
      <rPr>
        <sz val="9"/>
        <color theme="1"/>
        <rFont val="Microsoft JhengHei"/>
        <charset val="134"/>
      </rPr>
      <t>韵达快递</t>
    </r>
    <r>
      <rPr>
        <sz val="9"/>
        <color theme="1"/>
        <rFont val="Arial"/>
        <charset val="134"/>
      </rPr>
      <t xml:space="preserve">  4301568788544</t>
    </r>
  </si>
  <si>
    <t>已签收</t>
  </si>
  <si>
    <t>maching parts</t>
  </si>
  <si>
    <r>
      <rPr>
        <sz val="9"/>
        <color theme="1"/>
        <rFont val="Microsoft JhengHei"/>
        <charset val="134"/>
      </rPr>
      <t>圆通速递</t>
    </r>
    <r>
      <rPr>
        <sz val="9"/>
        <color theme="1"/>
        <rFont val="Arial"/>
        <charset val="134"/>
      </rPr>
      <t xml:space="preserve">  YT4144353928655</t>
    </r>
  </si>
  <si>
    <r>
      <rPr>
        <sz val="9"/>
        <color theme="1"/>
        <rFont val="Microsoft JhengHei"/>
        <charset val="134"/>
      </rPr>
      <t>已入库</t>
    </r>
  </si>
  <si>
    <t>clothes</t>
  </si>
  <si>
    <r>
      <rPr>
        <sz val="9"/>
        <color theme="1"/>
        <rFont val="Microsoft JhengHei"/>
        <charset val="134"/>
      </rPr>
      <t>顺丰速运</t>
    </r>
    <r>
      <rPr>
        <sz val="9"/>
        <color theme="1"/>
        <rFont val="Arial"/>
        <charset val="134"/>
      </rPr>
      <t xml:space="preserve">  163262639592</t>
    </r>
  </si>
  <si>
    <r>
      <rPr>
        <sz val="9"/>
        <color theme="1"/>
        <rFont val="Microsoft JhengHei"/>
        <charset val="134"/>
      </rPr>
      <t>已删除</t>
    </r>
  </si>
  <si>
    <t>huoguolu</t>
  </si>
  <si>
    <r>
      <rPr>
        <sz val="9"/>
        <color rgb="FFFF0000"/>
        <rFont val="Microsoft JhengHei"/>
        <charset val="134"/>
      </rPr>
      <t>圆通速递</t>
    </r>
    <r>
      <rPr>
        <sz val="9"/>
        <color rgb="FFFF0000"/>
        <rFont val="Arial"/>
        <charset val="134"/>
      </rPr>
      <t xml:space="preserve">  YT4144353928655</t>
    </r>
  </si>
  <si>
    <r>
      <rPr>
        <sz val="9"/>
        <color rgb="FFFF0000"/>
        <rFont val="Microsoft JhengHei"/>
        <charset val="134"/>
      </rPr>
      <t>已删除</t>
    </r>
  </si>
  <si>
    <r>
      <rPr>
        <sz val="9"/>
        <color rgb="FFFF0000"/>
        <rFont val="Microsoft JhengHei"/>
        <charset val="134"/>
      </rPr>
      <t>日用百货</t>
    </r>
  </si>
  <si>
    <r>
      <rPr>
        <sz val="9"/>
        <color rgb="FFFF0000"/>
        <rFont val="Microsoft JhengHei"/>
        <charset val="134"/>
      </rPr>
      <t>普货</t>
    </r>
  </si>
  <si>
    <r>
      <rPr>
        <sz val="9"/>
        <color rgb="FFFF0000"/>
        <rFont val="Microsoft JhengHei"/>
        <charset val="134"/>
      </rPr>
      <t>顺丰速运</t>
    </r>
    <r>
      <rPr>
        <sz val="9"/>
        <color rgb="FFFF0000"/>
        <rFont val="Arial"/>
        <charset val="134"/>
      </rPr>
      <t xml:space="preserve">  163262639592</t>
    </r>
  </si>
  <si>
    <r>
      <rPr>
        <sz val="9"/>
        <color theme="9" tint="-0.25"/>
        <rFont val="Microsoft JhengHei"/>
        <charset val="134"/>
      </rPr>
      <t>韵达快递</t>
    </r>
    <r>
      <rPr>
        <sz val="9"/>
        <color theme="9" tint="-0.25"/>
        <rFont val="Arial"/>
        <charset val="134"/>
      </rPr>
      <t xml:space="preserve">  4301576169763</t>
    </r>
  </si>
  <si>
    <r>
      <rPr>
        <sz val="9"/>
        <color theme="9" tint="-0.25"/>
        <rFont val="Microsoft JhengHei"/>
        <charset val="134"/>
      </rPr>
      <t>已删除</t>
    </r>
  </si>
  <si>
    <t>Unkonw</t>
  </si>
  <si>
    <t>cylinder cover</t>
  </si>
  <si>
    <r>
      <rPr>
        <sz val="9"/>
        <color theme="9" tint="-0.25"/>
        <rFont val="Microsoft JhengHei"/>
        <charset val="134"/>
      </rPr>
      <t>日用百货</t>
    </r>
  </si>
  <si>
    <r>
      <rPr>
        <sz val="9"/>
        <color theme="9" tint="-0.25"/>
        <rFont val="Microsoft JhengHei"/>
        <charset val="134"/>
      </rPr>
      <t>普货</t>
    </r>
  </si>
  <si>
    <t>订单实际信息</t>
  </si>
  <si>
    <r>
      <rPr>
        <b/>
        <sz val="9"/>
        <color theme="1"/>
        <rFont val="Microsoft JhengHei"/>
        <charset val="134"/>
      </rPr>
      <t>订单号</t>
    </r>
  </si>
  <si>
    <r>
      <rPr>
        <b/>
        <sz val="9"/>
        <color theme="1"/>
        <rFont val="Microsoft JhengHei"/>
        <charset val="134"/>
      </rPr>
      <t>集装号</t>
    </r>
  </si>
  <si>
    <t>状态</t>
  </si>
  <si>
    <r>
      <rPr>
        <b/>
        <sz val="9"/>
        <color theme="1"/>
        <rFont val="Microsoft JhengHei"/>
        <charset val="134"/>
      </rPr>
      <t>尺寸</t>
    </r>
    <r>
      <rPr>
        <b/>
        <sz val="9"/>
        <color theme="1"/>
        <rFont val="Arial"/>
        <charset val="134"/>
      </rPr>
      <t>cm</t>
    </r>
  </si>
  <si>
    <r>
      <rPr>
        <b/>
        <sz val="9"/>
        <color theme="1"/>
        <rFont val="Microsoft JhengHei"/>
        <charset val="134"/>
      </rPr>
      <t>件数</t>
    </r>
  </si>
  <si>
    <r>
      <rPr>
        <b/>
        <sz val="9"/>
        <color theme="1"/>
        <rFont val="Microsoft JhengHei"/>
        <charset val="134"/>
      </rPr>
      <t>体积</t>
    </r>
    <r>
      <rPr>
        <b/>
        <sz val="9"/>
        <color theme="1"/>
        <rFont val="Arial"/>
        <charset val="134"/>
      </rPr>
      <t>CBM</t>
    </r>
  </si>
  <si>
    <r>
      <rPr>
        <b/>
        <sz val="9"/>
        <color theme="1"/>
        <rFont val="Microsoft JhengHei"/>
        <charset val="134"/>
      </rPr>
      <t>体积重</t>
    </r>
    <r>
      <rPr>
        <b/>
        <sz val="9"/>
        <color theme="1"/>
        <rFont val="Arial"/>
        <charset val="134"/>
      </rPr>
      <t>Kg</t>
    </r>
  </si>
  <si>
    <r>
      <rPr>
        <b/>
        <sz val="9"/>
        <color theme="1"/>
        <rFont val="Microsoft JhengHei"/>
        <charset val="134"/>
      </rPr>
      <t>毛重</t>
    </r>
    <r>
      <rPr>
        <b/>
        <sz val="9"/>
        <color theme="1"/>
        <rFont val="Arial"/>
        <charset val="134"/>
      </rPr>
      <t>Kg</t>
    </r>
  </si>
  <si>
    <t>顺丰速运  SF1012605193752</t>
  </si>
  <si>
    <t>190910000021</t>
  </si>
  <si>
    <t>AK1</t>
  </si>
  <si>
    <t>已集装</t>
  </si>
  <si>
    <t>24.5*20*17.5</t>
  </si>
  <si>
    <t>190910000021-1</t>
  </si>
  <si>
    <t>AK2</t>
  </si>
  <si>
    <t>18*11.5*9</t>
  </si>
  <si>
    <t>190910000021-2</t>
  </si>
  <si>
    <t>AK5</t>
  </si>
  <si>
    <t>29*18*10</t>
  </si>
  <si>
    <t>190910000021-3</t>
  </si>
  <si>
    <t>40*36*17</t>
  </si>
  <si>
    <t>应收明细</t>
  </si>
  <si>
    <r>
      <rPr>
        <b/>
        <sz val="9"/>
        <color theme="1"/>
        <rFont val="宋体"/>
        <charset val="134"/>
      </rPr>
      <t>单价</t>
    </r>
    <r>
      <rPr>
        <b/>
        <sz val="9"/>
        <color theme="1"/>
        <rFont val="Arial"/>
        <charset val="134"/>
      </rPr>
      <t>USD</t>
    </r>
  </si>
  <si>
    <t>数量</t>
  </si>
  <si>
    <r>
      <rPr>
        <b/>
        <sz val="9"/>
        <color theme="1"/>
        <rFont val="宋体"/>
        <charset val="134"/>
      </rPr>
      <t>小计</t>
    </r>
    <r>
      <rPr>
        <b/>
        <sz val="9"/>
        <color theme="1"/>
        <rFont val="Arial"/>
        <charset val="134"/>
      </rPr>
      <t>USD</t>
    </r>
  </si>
  <si>
    <t>录入账号/日期</t>
  </si>
  <si>
    <t>其它</t>
  </si>
  <si>
    <t>SAMPAO                                        2019/10/18 20:30:00</t>
  </si>
  <si>
    <t>预付→到付  已付</t>
  </si>
  <si>
    <r>
      <rPr>
        <sz val="9"/>
        <color theme="1"/>
        <rFont val="宋体"/>
        <charset val="134"/>
      </rPr>
      <t xml:space="preserve">公账工（7228） </t>
    </r>
    <r>
      <rPr>
        <sz val="9"/>
        <color rgb="FF0070C0"/>
        <rFont val="宋体"/>
        <charset val="134"/>
      </rPr>
      <t>查看</t>
    </r>
    <r>
      <rPr>
        <sz val="9"/>
        <color theme="1"/>
        <rFont val="宋体"/>
        <charset val="134"/>
      </rPr>
      <t xml:space="preserve">                 2019/10/18 20:30:00</t>
    </r>
  </si>
  <si>
    <t>SAMPAO                                        2019/10/18 20:30:01</t>
  </si>
  <si>
    <r>
      <rPr>
        <sz val="9"/>
        <color theme="1"/>
        <rFont val="宋体"/>
        <charset val="134"/>
      </rPr>
      <t>扣减运费</t>
    </r>
  </si>
  <si>
    <t>SAMPAO                                        2019/10/18 20:30:02</t>
  </si>
  <si>
    <t>运价列表</t>
  </si>
  <si>
    <r>
      <rPr>
        <sz val="9"/>
        <color theme="1"/>
        <rFont val="宋体"/>
        <charset val="134"/>
      </rPr>
      <t>进口报关费</t>
    </r>
  </si>
  <si>
    <t>SAMPAO                                        2019/10/18 20:30:03</t>
  </si>
  <si>
    <t>导出账单</t>
  </si>
  <si>
    <r>
      <rPr>
        <sz val="9"/>
        <color theme="1"/>
        <rFont val="宋体"/>
        <charset val="134"/>
      </rPr>
      <t>到门费用</t>
    </r>
  </si>
  <si>
    <t>SAMPAO                                        2019/10/18 20:30:04</t>
  </si>
  <si>
    <r>
      <rPr>
        <sz val="9"/>
        <color theme="1"/>
        <rFont val="宋体"/>
        <charset val="134"/>
      </rPr>
      <t>折扣</t>
    </r>
  </si>
  <si>
    <t>SAMPAO                                        2019/10/18 20:30:05</t>
  </si>
  <si>
    <r>
      <rPr>
        <b/>
        <sz val="11"/>
        <color rgb="FFFF0000"/>
        <rFont val="宋体"/>
        <charset val="134"/>
      </rPr>
      <t>汇率</t>
    </r>
    <r>
      <rPr>
        <b/>
        <sz val="11"/>
        <color rgb="FFFF0000"/>
        <rFont val="Arial"/>
        <charset val="134"/>
      </rPr>
      <t>:USD1.00=NGN535.00</t>
    </r>
  </si>
  <si>
    <r>
      <rPr>
        <b/>
        <sz val="11"/>
        <color rgb="FFFF0000"/>
        <rFont val="宋体"/>
        <charset val="134"/>
      </rPr>
      <t>折合当地货币</t>
    </r>
    <r>
      <rPr>
        <b/>
        <sz val="11"/>
        <color rgb="FFFF0000"/>
        <rFont val="Arial"/>
        <charset val="134"/>
      </rPr>
      <t>NGN</t>
    </r>
  </si>
  <si>
    <t>复制通知信息</t>
  </si>
  <si>
    <r>
      <rPr>
        <sz val="9"/>
        <color rgb="FF0070C0"/>
        <rFont val="宋体"/>
        <charset val="134"/>
      </rPr>
      <t>中文</t>
    </r>
    <r>
      <rPr>
        <sz val="9"/>
        <color rgb="FF0070C0"/>
        <rFont val="Arial"/>
        <charset val="134"/>
      </rPr>
      <t xml:space="preserve">    </t>
    </r>
    <r>
      <rPr>
        <sz val="9"/>
        <color rgb="FF0070C0"/>
        <rFont val="宋体"/>
        <charset val="134"/>
      </rPr>
      <t>英文</t>
    </r>
  </si>
  <si>
    <r>
      <rPr>
        <b/>
        <sz val="9"/>
        <color rgb="FF0070C0"/>
        <rFont val="宋体"/>
        <charset val="134"/>
      </rPr>
      <t>原应收明细</t>
    </r>
    <r>
      <rPr>
        <b/>
        <sz val="9"/>
        <color rgb="FF0070C0"/>
        <rFont val="Arial"/>
        <charset val="134"/>
      </rPr>
      <t xml:space="preserve">    </t>
    </r>
    <r>
      <rPr>
        <b/>
        <sz val="9"/>
        <color rgb="FF0070C0"/>
        <rFont val="宋体"/>
        <charset val="134"/>
      </rPr>
      <t>展开</t>
    </r>
  </si>
  <si>
    <t>返回</t>
  </si>
  <si>
    <t>我们一起去吃饭好不好啊</t>
  </si>
  <si>
    <r>
      <rPr>
        <b/>
        <sz val="11"/>
        <color rgb="FFFF0000"/>
        <rFont val="宋体"/>
        <charset val="134"/>
      </rPr>
      <t>汇率</t>
    </r>
    <r>
      <rPr>
        <b/>
        <sz val="11"/>
        <color rgb="FFFF0000"/>
        <rFont val="Arial"/>
        <charset val="134"/>
      </rPr>
      <t>:CNY1.00=USD6.71</t>
    </r>
  </si>
  <si>
    <r>
      <t>原应收明细</t>
    </r>
    <r>
      <rPr>
        <b/>
        <sz val="9"/>
        <color rgb="FF0070C0"/>
        <rFont val="Arial"/>
        <charset val="134"/>
      </rPr>
      <t xml:space="preserve">    </t>
    </r>
    <r>
      <rPr>
        <b/>
        <sz val="9"/>
        <color rgb="FF0070C0"/>
        <rFont val="宋体"/>
        <charset val="134"/>
      </rPr>
      <t>收起</t>
    </r>
  </si>
  <si>
    <r>
      <rPr>
        <b/>
        <sz val="9"/>
        <color theme="1"/>
        <rFont val="宋体"/>
        <charset val="134"/>
      </rPr>
      <t>单价</t>
    </r>
    <r>
      <rPr>
        <b/>
        <sz val="9"/>
        <color theme="1"/>
        <rFont val="Arial"/>
        <charset val="134"/>
      </rPr>
      <t>CNY</t>
    </r>
  </si>
  <si>
    <r>
      <rPr>
        <b/>
        <sz val="9"/>
        <color theme="1"/>
        <rFont val="宋体"/>
        <charset val="134"/>
      </rPr>
      <t>数量</t>
    </r>
  </si>
  <si>
    <r>
      <rPr>
        <b/>
        <sz val="9"/>
        <color theme="1"/>
        <rFont val="宋体"/>
        <charset val="134"/>
      </rPr>
      <t>小计</t>
    </r>
    <r>
      <rPr>
        <b/>
        <sz val="9"/>
        <color theme="1"/>
        <rFont val="Arial"/>
        <charset val="134"/>
      </rPr>
      <t>CNY</t>
    </r>
  </si>
  <si>
    <t>到付  未付</t>
  </si>
</sst>
</file>

<file path=xl/styles.xml><?xml version="1.0" encoding="utf-8"?>
<styleSheet xmlns="http://schemas.openxmlformats.org/spreadsheetml/2006/main">
  <numFmts count="9">
    <numFmt numFmtId="176" formatCode="0.00_ "/>
    <numFmt numFmtId="44" formatCode="_ &quot;￥&quot;* #,##0.00_ ;_ &quot;￥&quot;* \-#,##0.00_ ;_ &quot;￥&quot;* &quot;-&quot;??_ ;_ @_ "/>
    <numFmt numFmtId="177" formatCode="#,##0.00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8" formatCode="0_);\(0\)"/>
    <numFmt numFmtId="179" formatCode="0.00_);\(0.00\)"/>
    <numFmt numFmtId="180" formatCode="0_ "/>
  </numFmts>
  <fonts count="78">
    <font>
      <sz val="11"/>
      <color theme="1"/>
      <name val="宋体"/>
      <charset val="134"/>
      <scheme val="minor"/>
    </font>
    <font>
      <sz val="9"/>
      <color theme="1"/>
      <name val="Arial"/>
      <charset val="134"/>
    </font>
    <font>
      <b/>
      <sz val="14"/>
      <color theme="0"/>
      <name val="Microsoft JhengHei"/>
      <charset val="134"/>
    </font>
    <font>
      <b/>
      <sz val="14"/>
      <color theme="0"/>
      <name val="Arial"/>
      <charset val="134"/>
    </font>
    <font>
      <b/>
      <sz val="11"/>
      <color theme="1"/>
      <name val="Arial"/>
      <charset val="134"/>
    </font>
    <font>
      <b/>
      <sz val="11"/>
      <color rgb="FFFF0000"/>
      <name val="宋体"/>
      <charset val="134"/>
    </font>
    <font>
      <b/>
      <sz val="11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Microsoft JhengHei"/>
      <charset val="134"/>
    </font>
    <font>
      <b/>
      <sz val="9"/>
      <color theme="1"/>
      <name val="Arial"/>
      <charset val="134"/>
    </font>
    <font>
      <b/>
      <sz val="9"/>
      <color rgb="FF0070C0"/>
      <name val="宋体"/>
      <charset val="134"/>
    </font>
    <font>
      <sz val="9"/>
      <color theme="0"/>
      <name val="Arial"/>
      <charset val="134"/>
    </font>
    <font>
      <b/>
      <sz val="11"/>
      <color theme="1"/>
      <name val="Microsoft JhengHei"/>
      <charset val="134"/>
    </font>
    <font>
      <sz val="9"/>
      <color rgb="FFFF0000"/>
      <name val="Microsoft JhengHei"/>
      <charset val="134"/>
    </font>
    <font>
      <sz val="9"/>
      <color rgb="FFFF0000"/>
      <name val="Arial"/>
      <charset val="134"/>
    </font>
    <font>
      <sz val="9"/>
      <color theme="9" tint="-0.25"/>
      <name val="Microsoft JhengHei"/>
      <charset val="134"/>
    </font>
    <font>
      <sz val="9"/>
      <color theme="9" tint="-0.25"/>
      <name val="Arial"/>
      <charset val="134"/>
    </font>
    <font>
      <b/>
      <sz val="9"/>
      <color theme="1"/>
      <name val="宋体"/>
      <charset val="134"/>
    </font>
    <font>
      <b/>
      <sz val="9"/>
      <color theme="1"/>
      <name val="Microsoft JhengHei"/>
      <charset val="134"/>
    </font>
    <font>
      <sz val="9"/>
      <color rgb="FF0070C0"/>
      <name val="宋体"/>
      <charset val="134"/>
    </font>
    <font>
      <b/>
      <sz val="9"/>
      <color rgb="FF393939"/>
      <name val="宋体"/>
      <charset val="134"/>
    </font>
    <font>
      <b/>
      <sz val="10"/>
      <color rgb="FFFF0000"/>
      <name val="Arial"/>
      <charset val="134"/>
    </font>
    <font>
      <b/>
      <sz val="11"/>
      <color rgb="FFFF0000"/>
      <name val="Arial"/>
      <charset val="134"/>
    </font>
    <font>
      <b/>
      <sz val="9"/>
      <color rgb="FF0070C0"/>
      <name val="Arial"/>
      <charset val="134"/>
    </font>
    <font>
      <b/>
      <sz val="12"/>
      <color theme="0"/>
      <name val="宋体"/>
      <charset val="134"/>
    </font>
    <font>
      <b/>
      <sz val="12"/>
      <color theme="0"/>
      <name val="Arial"/>
      <charset val="134"/>
    </font>
    <font>
      <b/>
      <sz val="11"/>
      <color rgb="FF0070C0"/>
      <name val="宋体"/>
      <charset val="134"/>
    </font>
    <font>
      <sz val="8"/>
      <color theme="1"/>
      <name val="宋体"/>
      <charset val="134"/>
    </font>
    <font>
      <sz val="8"/>
      <color theme="1"/>
      <name val="Arial"/>
      <charset val="134"/>
    </font>
    <font>
      <sz val="9"/>
      <color rgb="FF393939"/>
      <name val="宋体"/>
      <charset val="134"/>
    </font>
    <font>
      <sz val="9"/>
      <color rgb="FF393939"/>
      <name val="Arial"/>
      <charset val="134"/>
    </font>
    <font>
      <sz val="9"/>
      <color rgb="FF0070C0"/>
      <name val="Arial"/>
      <charset val="134"/>
    </font>
    <font>
      <b/>
      <sz val="11"/>
      <color rgb="FF0070C0"/>
      <name val="Arial"/>
      <charset val="134"/>
    </font>
    <font>
      <b/>
      <sz val="14"/>
      <color theme="1"/>
      <name val="Microsoft JhengHei"/>
      <charset val="134"/>
    </font>
    <font>
      <b/>
      <sz val="14"/>
      <color theme="1"/>
      <name val="Arial"/>
      <charset val="134"/>
    </font>
    <font>
      <b/>
      <sz val="14"/>
      <color rgb="FFFF0000"/>
      <name val="Microsoft JhengHei"/>
      <charset val="134"/>
    </font>
    <font>
      <b/>
      <sz val="14"/>
      <color rgb="FFFF0000"/>
      <name val="宋体"/>
      <charset val="134"/>
    </font>
    <font>
      <b/>
      <sz val="10"/>
      <color theme="1"/>
      <name val="Arial"/>
      <charset val="134"/>
    </font>
    <font>
      <sz val="10"/>
      <color theme="1"/>
      <name val="宋体"/>
      <charset val="134"/>
    </font>
    <font>
      <sz val="10"/>
      <color theme="1"/>
      <name val="宋体"/>
      <charset val="134"/>
      <scheme val="minor"/>
    </font>
    <font>
      <sz val="10"/>
      <color rgb="FF0070C0"/>
      <name val="宋体"/>
      <charset val="134"/>
    </font>
    <font>
      <b/>
      <sz val="9"/>
      <color rgb="FFFF0000"/>
      <name val="Arial"/>
      <charset val="134"/>
    </font>
    <font>
      <sz val="10"/>
      <color theme="1"/>
      <name val="Arial"/>
      <charset val="134"/>
    </font>
    <font>
      <b/>
      <sz val="10"/>
      <color theme="1"/>
      <name val="宋体"/>
      <charset val="134"/>
    </font>
    <font>
      <sz val="9"/>
      <color rgb="FFFF0000"/>
      <name val="宋体"/>
      <charset val="134"/>
    </font>
    <font>
      <b/>
      <sz val="10"/>
      <color rgb="FFFF0000"/>
      <name val="宋体"/>
      <charset val="134"/>
    </font>
    <font>
      <b/>
      <sz val="10"/>
      <name val="Microsoft JhengHei"/>
      <charset val="134"/>
    </font>
    <font>
      <b/>
      <sz val="10"/>
      <color theme="1"/>
      <name val="宋体"/>
      <charset val="134"/>
      <scheme val="minor"/>
    </font>
    <font>
      <b/>
      <sz val="10"/>
      <color theme="1"/>
      <name val="Microsoft JhengHei"/>
      <charset val="134"/>
    </font>
    <font>
      <b/>
      <sz val="9"/>
      <color theme="0"/>
      <name val="宋体"/>
      <charset val="134"/>
    </font>
    <font>
      <b/>
      <sz val="10"/>
      <color theme="0"/>
      <name val="宋体"/>
      <charset val="134"/>
    </font>
    <font>
      <sz val="9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8"/>
      <color theme="1"/>
      <name val="Microsoft JhengHei"/>
      <charset val="134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Wingdings"/>
      <charset val="134"/>
    </font>
    <font>
      <sz val="8"/>
      <color rgb="FF0070C0"/>
      <name val="宋体"/>
      <charset val="134"/>
    </font>
    <font>
      <sz val="8"/>
      <color rgb="FF0070C0"/>
      <name val="Microsoft JhengHei"/>
      <charset val="134"/>
    </font>
    <font>
      <b/>
      <sz val="9"/>
      <name val="宋体"/>
      <charset val="134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4" fillId="11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0" fillId="23" borderId="11" applyNumberFormat="0" applyFont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5" fillId="0" borderId="12" applyNumberFormat="0" applyFill="0" applyAlignment="0" applyProtection="0">
      <alignment vertical="center"/>
    </xf>
    <xf numFmtId="0" fontId="66" fillId="0" borderId="12" applyNumberFormat="0" applyFill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60" fillId="0" borderId="13" applyNumberFormat="0" applyFill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67" fillId="29" borderId="14" applyNumberFormat="0" applyAlignment="0" applyProtection="0">
      <alignment vertical="center"/>
    </xf>
    <xf numFmtId="0" fontId="69" fillId="29" borderId="9" applyNumberFormat="0" applyAlignment="0" applyProtection="0">
      <alignment vertical="center"/>
    </xf>
    <xf numFmtId="0" fontId="70" fillId="31" borderId="15" applyNumberFormat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7" fillId="0" borderId="10" applyNumberFormat="0" applyFill="0" applyAlignment="0" applyProtection="0">
      <alignment vertical="center"/>
    </xf>
    <xf numFmtId="0" fontId="71" fillId="0" borderId="16" applyNumberFormat="0" applyFill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72" fillId="34" borderId="0" applyNumberFormat="0" applyBorder="0" applyAlignment="0" applyProtection="0">
      <alignment vertical="center"/>
    </xf>
    <xf numFmtId="0" fontId="56" fillId="37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6" fillId="38" borderId="0" applyNumberFormat="0" applyBorder="0" applyAlignment="0" applyProtection="0">
      <alignment vertical="center"/>
    </xf>
    <xf numFmtId="0" fontId="56" fillId="39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6" fillId="40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</cellStyleXfs>
  <cellXfs count="28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1" fillId="5" borderId="3" xfId="0" applyFont="1" applyFill="1" applyBorder="1" applyAlignment="1">
      <alignment vertical="center" wrapText="1"/>
    </xf>
    <xf numFmtId="0" fontId="1" fillId="5" borderId="0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9" fillId="6" borderId="0" xfId="0" applyFont="1" applyFill="1" applyBorder="1" applyAlignment="1">
      <alignment horizontal="center" vertical="center" wrapText="1"/>
    </xf>
    <xf numFmtId="0" fontId="9" fillId="6" borderId="0" xfId="0" applyFont="1" applyFill="1" applyBorder="1" applyAlignment="1">
      <alignment vertical="center" wrapText="1"/>
    </xf>
    <xf numFmtId="0" fontId="9" fillId="7" borderId="0" xfId="0" applyFont="1" applyFill="1" applyBorder="1" applyAlignment="1">
      <alignment horizontal="center" vertical="center" wrapText="1"/>
    </xf>
    <xf numFmtId="0" fontId="1" fillId="7" borderId="0" xfId="0" applyFont="1" applyFill="1" applyBorder="1" applyAlignment="1">
      <alignment horizontal="center" vertical="center" wrapText="1"/>
    </xf>
    <xf numFmtId="0" fontId="1" fillId="7" borderId="0" xfId="0" applyFont="1" applyFill="1" applyBorder="1" applyAlignment="1">
      <alignment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/>
    </xf>
    <xf numFmtId="0" fontId="11" fillId="5" borderId="0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left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1" fillId="6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22" fontId="1" fillId="2" borderId="0" xfId="0" applyNumberFormat="1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/>
    </xf>
    <xf numFmtId="0" fontId="14" fillId="6" borderId="0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 wrapText="1"/>
    </xf>
    <xf numFmtId="22" fontId="14" fillId="2" borderId="0" xfId="0" applyNumberFormat="1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horizontal="center" vertical="center" wrapText="1"/>
    </xf>
    <xf numFmtId="0" fontId="16" fillId="6" borderId="0" xfId="0" applyFont="1" applyFill="1" applyBorder="1" applyAlignment="1">
      <alignment horizontal="center" vertical="center" wrapText="1"/>
    </xf>
    <xf numFmtId="0" fontId="16" fillId="2" borderId="0" xfId="0" applyFont="1" applyFill="1" applyBorder="1" applyAlignment="1">
      <alignment horizontal="center" vertical="center" wrapText="1"/>
    </xf>
    <xf numFmtId="0" fontId="16" fillId="2" borderId="0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vertical="center" wrapText="1"/>
    </xf>
    <xf numFmtId="0" fontId="1" fillId="6" borderId="0" xfId="0" applyFont="1" applyFill="1" applyBorder="1" applyAlignment="1">
      <alignment vertical="center" wrapText="1"/>
    </xf>
    <xf numFmtId="0" fontId="17" fillId="2" borderId="3" xfId="0" applyFont="1" applyFill="1" applyBorder="1" applyAlignment="1">
      <alignment horizontal="left" vertical="center" wrapText="1"/>
    </xf>
    <xf numFmtId="0" fontId="17" fillId="2" borderId="0" xfId="0" applyFont="1" applyFill="1" applyBorder="1" applyAlignment="1">
      <alignment horizontal="left" vertical="center" wrapText="1"/>
    </xf>
    <xf numFmtId="0" fontId="18" fillId="6" borderId="0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22" fontId="19" fillId="2" borderId="0" xfId="0" applyNumberFormat="1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left" vertical="center" wrapText="1"/>
    </xf>
    <xf numFmtId="0" fontId="20" fillId="2" borderId="0" xfId="0" applyFont="1" applyFill="1" applyBorder="1" applyAlignment="1">
      <alignment horizontal="left" vertical="center" wrapText="1"/>
    </xf>
    <xf numFmtId="0" fontId="17" fillId="6" borderId="3" xfId="0" applyFont="1" applyFill="1" applyBorder="1" applyAlignment="1">
      <alignment horizontal="center" vertical="center"/>
    </xf>
    <xf numFmtId="0" fontId="17" fillId="6" borderId="0" xfId="0" applyFont="1" applyFill="1" applyBorder="1" applyAlignment="1">
      <alignment horizontal="center" vertical="center"/>
    </xf>
    <xf numFmtId="0" fontId="9" fillId="6" borderId="0" xfId="0" applyFont="1" applyFill="1" applyBorder="1" applyAlignment="1">
      <alignment horizontal="center" vertical="center"/>
    </xf>
    <xf numFmtId="176" fontId="1" fillId="2" borderId="0" xfId="0" applyNumberFormat="1" applyFont="1" applyFill="1" applyBorder="1" applyAlignment="1">
      <alignment horizontal="center" vertical="center"/>
    </xf>
    <xf numFmtId="0" fontId="21" fillId="6" borderId="3" xfId="0" applyFont="1" applyFill="1" applyBorder="1" applyAlignment="1">
      <alignment vertical="center"/>
    </xf>
    <xf numFmtId="0" fontId="5" fillId="6" borderId="0" xfId="0" applyFont="1" applyFill="1" applyAlignment="1">
      <alignment horizontal="center" vertical="center"/>
    </xf>
    <xf numFmtId="0" fontId="22" fillId="6" borderId="0" xfId="0" applyFont="1" applyFill="1" applyAlignment="1">
      <alignment horizontal="center" vertical="center"/>
    </xf>
    <xf numFmtId="0" fontId="21" fillId="6" borderId="0" xfId="0" applyFont="1" applyFill="1" applyBorder="1" applyAlignment="1">
      <alignment vertical="center"/>
    </xf>
    <xf numFmtId="0" fontId="5" fillId="6" borderId="0" xfId="0" applyFont="1" applyFill="1" applyBorder="1" applyAlignment="1">
      <alignment horizontal="right" vertical="center"/>
    </xf>
    <xf numFmtId="0" fontId="22" fillId="6" borderId="0" xfId="0" applyFont="1" applyFill="1" applyBorder="1" applyAlignment="1">
      <alignment horizontal="center" vertical="center"/>
    </xf>
    <xf numFmtId="0" fontId="22" fillId="6" borderId="0" xfId="0" applyFont="1" applyFill="1" applyBorder="1" applyAlignment="1">
      <alignment horizontal="right" vertical="center"/>
    </xf>
    <xf numFmtId="177" fontId="22" fillId="6" borderId="0" xfId="0" applyNumberFormat="1" applyFont="1" applyFill="1" applyBorder="1" applyAlignment="1">
      <alignment horizontal="center" vertical="center"/>
    </xf>
    <xf numFmtId="0" fontId="21" fillId="5" borderId="3" xfId="0" applyFont="1" applyFill="1" applyBorder="1" applyAlignment="1">
      <alignment vertical="center"/>
    </xf>
    <xf numFmtId="0" fontId="22" fillId="5" borderId="0" xfId="0" applyFont="1" applyFill="1" applyAlignment="1">
      <alignment horizontal="center" vertical="center"/>
    </xf>
    <xf numFmtId="0" fontId="22" fillId="5" borderId="0" xfId="0" applyFont="1" applyFill="1" applyAlignment="1">
      <alignment horizontal="right" vertical="center"/>
    </xf>
    <xf numFmtId="177" fontId="22" fillId="5" borderId="0" xfId="0" applyNumberFormat="1" applyFont="1" applyFill="1" applyAlignment="1">
      <alignment horizontal="center" vertical="center"/>
    </xf>
    <xf numFmtId="0" fontId="10" fillId="2" borderId="3" xfId="0" applyFont="1" applyFill="1" applyBorder="1" applyAlignment="1">
      <alignment horizontal="left" vertical="center"/>
    </xf>
    <xf numFmtId="0" fontId="23" fillId="2" borderId="0" xfId="0" applyFont="1" applyFill="1" applyAlignment="1">
      <alignment horizontal="left" vertical="center"/>
    </xf>
    <xf numFmtId="176" fontId="22" fillId="6" borderId="0" xfId="0" applyNumberFormat="1" applyFont="1" applyFill="1" applyBorder="1" applyAlignment="1">
      <alignment horizontal="center" vertical="center"/>
    </xf>
    <xf numFmtId="0" fontId="24" fillId="3" borderId="4" xfId="0" applyFont="1" applyFill="1" applyBorder="1" applyAlignment="1">
      <alignment horizontal="center" vertical="center" wrapText="1"/>
    </xf>
    <xf numFmtId="0" fontId="25" fillId="3" borderId="5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vertical="center" wrapText="1"/>
    </xf>
    <xf numFmtId="0" fontId="26" fillId="4" borderId="0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27" fillId="2" borderId="0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177" fontId="1" fillId="6" borderId="0" xfId="0" applyNumberFormat="1" applyFont="1" applyFill="1" applyBorder="1" applyAlignment="1">
      <alignment horizontal="center" vertical="center" wrapText="1"/>
    </xf>
    <xf numFmtId="0" fontId="17" fillId="6" borderId="0" xfId="0" applyFont="1" applyFill="1" applyBorder="1" applyAlignment="1">
      <alignment horizontal="center" vertical="center" wrapText="1"/>
    </xf>
    <xf numFmtId="0" fontId="28" fillId="2" borderId="0" xfId="0" applyFont="1" applyFill="1" applyBorder="1" applyAlignment="1">
      <alignment horizontal="center" vertical="center" wrapText="1"/>
    </xf>
    <xf numFmtId="22" fontId="29" fillId="2" borderId="0" xfId="0" applyNumberFormat="1" applyFont="1" applyFill="1" applyBorder="1" applyAlignment="1">
      <alignment horizontal="center" vertical="center" wrapText="1"/>
    </xf>
    <xf numFmtId="22" fontId="30" fillId="2" borderId="0" xfId="0" applyNumberFormat="1" applyFont="1" applyFill="1" applyBorder="1" applyAlignment="1">
      <alignment horizontal="center" vertical="center" wrapText="1"/>
    </xf>
    <xf numFmtId="22" fontId="7" fillId="2" borderId="0" xfId="0" applyNumberFormat="1" applyFont="1" applyFill="1" applyBorder="1" applyAlignment="1">
      <alignment horizontal="center" vertical="center" wrapText="1"/>
    </xf>
    <xf numFmtId="22" fontId="19" fillId="2" borderId="0" xfId="0" applyNumberFormat="1" applyFont="1" applyFill="1" applyAlignment="1">
      <alignment horizontal="center" vertical="center" wrapText="1"/>
    </xf>
    <xf numFmtId="0" fontId="31" fillId="6" borderId="0" xfId="0" applyFont="1" applyFill="1" applyBorder="1" applyAlignment="1">
      <alignment vertical="center" wrapText="1"/>
    </xf>
    <xf numFmtId="0" fontId="30" fillId="6" borderId="0" xfId="0" applyFont="1" applyFill="1" applyBorder="1" applyAlignment="1">
      <alignment vertical="center" wrapText="1"/>
    </xf>
    <xf numFmtId="0" fontId="31" fillId="6" borderId="0" xfId="0" applyFont="1" applyFill="1" applyBorder="1" applyAlignment="1">
      <alignment vertical="center"/>
    </xf>
    <xf numFmtId="0" fontId="19" fillId="6" borderId="0" xfId="0" applyFont="1" applyFill="1" applyAlignment="1">
      <alignment vertical="center" wrapText="1"/>
    </xf>
    <xf numFmtId="0" fontId="31" fillId="6" borderId="0" xfId="0" applyFont="1" applyFill="1" applyBorder="1" applyAlignment="1">
      <alignment horizontal="center" vertical="center" wrapText="1"/>
    </xf>
    <xf numFmtId="0" fontId="19" fillId="6" borderId="0" xfId="0" applyFont="1" applyFill="1" applyBorder="1" applyAlignment="1">
      <alignment horizontal="center" vertical="center" wrapText="1"/>
    </xf>
    <xf numFmtId="0" fontId="19" fillId="6" borderId="0" xfId="0" applyFont="1" applyFill="1" applyAlignment="1">
      <alignment horizontal="center" vertical="center" wrapText="1"/>
    </xf>
    <xf numFmtId="0" fontId="19" fillId="5" borderId="0" xfId="0" applyFont="1" applyFill="1" applyAlignment="1">
      <alignment vertical="center" wrapText="1"/>
    </xf>
    <xf numFmtId="0" fontId="31" fillId="5" borderId="0" xfId="0" applyFont="1" applyFill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32" fillId="4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8" fillId="2" borderId="7" xfId="0" applyFont="1" applyFill="1" applyBorder="1" applyAlignment="1">
      <alignment horizontal="left" vertical="center" wrapText="1"/>
    </xf>
    <xf numFmtId="0" fontId="1" fillId="5" borderId="7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left" vertical="center" wrapText="1"/>
    </xf>
    <xf numFmtId="176" fontId="1" fillId="2" borderId="7" xfId="0" applyNumberFormat="1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177" fontId="1" fillId="6" borderId="7" xfId="0" applyNumberFormat="1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left" vertical="center" wrapText="1"/>
    </xf>
    <xf numFmtId="22" fontId="19" fillId="2" borderId="7" xfId="0" applyNumberFormat="1" applyFont="1" applyFill="1" applyBorder="1" applyAlignment="1">
      <alignment horizontal="center" vertical="center" wrapText="1"/>
    </xf>
    <xf numFmtId="0" fontId="30" fillId="6" borderId="7" xfId="0" applyFont="1" applyFill="1" applyBorder="1" applyAlignment="1">
      <alignment vertical="center" wrapText="1"/>
    </xf>
    <xf numFmtId="0" fontId="19" fillId="6" borderId="7" xfId="0" applyFont="1" applyFill="1" applyBorder="1" applyAlignment="1">
      <alignment horizontal="center" vertical="center" wrapText="1"/>
    </xf>
    <xf numFmtId="0" fontId="31" fillId="5" borderId="7" xfId="0" applyFont="1" applyFill="1" applyBorder="1" applyAlignment="1">
      <alignment horizontal="center" vertical="center" wrapText="1"/>
    </xf>
    <xf numFmtId="0" fontId="23" fillId="2" borderId="7" xfId="0" applyFont="1" applyFill="1" applyBorder="1" applyAlignment="1">
      <alignment horizontal="left" vertical="center"/>
    </xf>
    <xf numFmtId="0" fontId="25" fillId="3" borderId="8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left" vertical="center" wrapText="1"/>
    </xf>
    <xf numFmtId="0" fontId="4" fillId="6" borderId="0" xfId="0" applyFont="1" applyFill="1" applyBorder="1" applyAlignment="1">
      <alignment horizontal="left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8" fillId="2" borderId="0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178" fontId="33" fillId="2" borderId="3" xfId="0" applyNumberFormat="1" applyFont="1" applyFill="1" applyBorder="1" applyAlignment="1">
      <alignment horizontal="center" vertical="center"/>
    </xf>
    <xf numFmtId="178" fontId="33" fillId="2" borderId="0" xfId="0" applyNumberFormat="1" applyFont="1" applyFill="1" applyBorder="1" applyAlignment="1">
      <alignment horizontal="center" vertical="center"/>
    </xf>
    <xf numFmtId="178" fontId="33" fillId="2" borderId="7" xfId="0" applyNumberFormat="1" applyFont="1" applyFill="1" applyBorder="1" applyAlignment="1">
      <alignment horizontal="center" vertical="center"/>
    </xf>
    <xf numFmtId="0" fontId="34" fillId="2" borderId="3" xfId="0" applyFont="1" applyFill="1" applyBorder="1" applyAlignment="1">
      <alignment horizontal="left" vertical="center"/>
    </xf>
    <xf numFmtId="0" fontId="34" fillId="2" borderId="0" xfId="0" applyFont="1" applyFill="1" applyBorder="1" applyAlignment="1">
      <alignment horizontal="left" vertical="center"/>
    </xf>
    <xf numFmtId="0" fontId="35" fillId="2" borderId="0" xfId="0" applyFont="1" applyFill="1" applyBorder="1" applyAlignment="1">
      <alignment horizontal="left" vertical="center"/>
    </xf>
    <xf numFmtId="0" fontId="36" fillId="2" borderId="0" xfId="0" applyFont="1" applyFill="1" applyBorder="1" applyAlignment="1">
      <alignment horizontal="left" vertical="center"/>
    </xf>
    <xf numFmtId="0" fontId="37" fillId="2" borderId="7" xfId="0" applyFont="1" applyFill="1" applyBorder="1" applyAlignment="1">
      <alignment horizontal="left" vertical="center" wrapText="1"/>
    </xf>
    <xf numFmtId="0" fontId="34" fillId="8" borderId="0" xfId="0" applyFont="1" applyFill="1" applyBorder="1" applyAlignment="1">
      <alignment horizontal="left" vertical="center"/>
    </xf>
    <xf numFmtId="0" fontId="34" fillId="8" borderId="0" xfId="0" applyFont="1" applyFill="1" applyAlignment="1">
      <alignment horizontal="left" vertical="center"/>
    </xf>
    <xf numFmtId="0" fontId="35" fillId="8" borderId="0" xfId="0" applyFont="1" applyFill="1" applyAlignment="1">
      <alignment horizontal="left" vertical="center"/>
    </xf>
    <xf numFmtId="0" fontId="36" fillId="8" borderId="0" xfId="0" applyFont="1" applyFill="1" applyAlignment="1">
      <alignment horizontal="left" vertical="center"/>
    </xf>
    <xf numFmtId="0" fontId="37" fillId="8" borderId="7" xfId="0" applyFont="1" applyFill="1" applyBorder="1" applyAlignment="1">
      <alignment horizontal="left" vertical="center" wrapText="1"/>
    </xf>
    <xf numFmtId="0" fontId="34" fillId="8" borderId="3" xfId="0" applyFont="1" applyFill="1" applyBorder="1" applyAlignment="1">
      <alignment horizontal="left" vertical="center"/>
    </xf>
    <xf numFmtId="0" fontId="12" fillId="2" borderId="0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5" fillId="2" borderId="0" xfId="0" applyFont="1" applyFill="1" applyAlignment="1">
      <alignment horizontal="left" vertical="center"/>
    </xf>
    <xf numFmtId="0" fontId="36" fillId="2" borderId="0" xfId="0" applyFont="1" applyFill="1" applyAlignment="1">
      <alignment horizontal="left" vertical="center"/>
    </xf>
    <xf numFmtId="0" fontId="34" fillId="2" borderId="0" xfId="0" applyFont="1" applyFill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38" fillId="2" borderId="3" xfId="0" applyFont="1" applyFill="1" applyBorder="1" applyAlignment="1">
      <alignment horizontal="right" vertical="center"/>
    </xf>
    <xf numFmtId="0" fontId="38" fillId="2" borderId="0" xfId="0" applyFont="1" applyFill="1" applyAlignment="1">
      <alignment horizontal="left" vertical="center"/>
    </xf>
    <xf numFmtId="0" fontId="38" fillId="2" borderId="0" xfId="0" applyFont="1" applyFill="1" applyBorder="1" applyAlignment="1">
      <alignment horizontal="right" vertical="center"/>
    </xf>
    <xf numFmtId="0" fontId="39" fillId="2" borderId="0" xfId="0" applyFont="1" applyFill="1" applyBorder="1">
      <alignment vertical="center"/>
    </xf>
    <xf numFmtId="0" fontId="39" fillId="9" borderId="7" xfId="0" applyFont="1" applyFill="1" applyBorder="1">
      <alignment vertical="center"/>
    </xf>
    <xf numFmtId="0" fontId="38" fillId="2" borderId="3" xfId="0" applyFont="1" applyFill="1" applyBorder="1" applyAlignment="1">
      <alignment horizontal="right" vertical="center"/>
    </xf>
    <xf numFmtId="0" fontId="40" fillId="2" borderId="0" xfId="0" applyFont="1" applyFill="1" applyAlignment="1">
      <alignment horizontal="left" vertical="center"/>
    </xf>
    <xf numFmtId="0" fontId="39" fillId="9" borderId="0" xfId="0" applyFont="1" applyFill="1" applyBorder="1">
      <alignment vertical="center"/>
    </xf>
    <xf numFmtId="0" fontId="38" fillId="2" borderId="7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7" fillId="5" borderId="3" xfId="0" applyFont="1" applyFill="1" applyBorder="1" applyAlignment="1">
      <alignment horizontal="left" vertical="center"/>
    </xf>
    <xf numFmtId="0" fontId="1" fillId="5" borderId="0" xfId="0" applyFont="1" applyFill="1" applyBorder="1" applyAlignment="1">
      <alignment horizontal="left" vertical="center"/>
    </xf>
    <xf numFmtId="0" fontId="1" fillId="5" borderId="7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22" fontId="28" fillId="2" borderId="7" xfId="0" applyNumberFormat="1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/>
    </xf>
    <xf numFmtId="0" fontId="41" fillId="6" borderId="3" xfId="0" applyFont="1" applyFill="1" applyBorder="1" applyAlignment="1">
      <alignment horizontal="center" vertical="center"/>
    </xf>
    <xf numFmtId="0" fontId="41" fillId="6" borderId="0" xfId="0" applyFont="1" applyFill="1" applyBorder="1" applyAlignment="1">
      <alignment horizontal="center" vertical="center"/>
    </xf>
    <xf numFmtId="176" fontId="1" fillId="6" borderId="7" xfId="0" applyNumberFormat="1" applyFont="1" applyFill="1" applyBorder="1" applyAlignment="1">
      <alignment horizontal="center" vertical="center"/>
    </xf>
    <xf numFmtId="0" fontId="14" fillId="6" borderId="0" xfId="0" applyFont="1" applyFill="1" applyBorder="1" applyAlignment="1">
      <alignment horizontal="center" vertical="center"/>
    </xf>
    <xf numFmtId="0" fontId="22" fillId="6" borderId="0" xfId="0" applyFont="1" applyFill="1" applyBorder="1" applyAlignment="1">
      <alignment vertical="center"/>
    </xf>
    <xf numFmtId="0" fontId="23" fillId="6" borderId="7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42" fillId="2" borderId="0" xfId="0" applyFont="1" applyFill="1" applyBorder="1">
      <alignment vertical="center"/>
    </xf>
    <xf numFmtId="22" fontId="42" fillId="2" borderId="0" xfId="0" applyNumberFormat="1" applyFont="1" applyFill="1" applyAlignment="1">
      <alignment horizontal="left" vertical="center"/>
    </xf>
    <xf numFmtId="0" fontId="42" fillId="2" borderId="7" xfId="0" applyFont="1" applyFill="1" applyBorder="1" applyAlignment="1">
      <alignment horizontal="left" vertical="center"/>
    </xf>
    <xf numFmtId="22" fontId="42" fillId="2" borderId="7" xfId="0" applyNumberFormat="1" applyFont="1" applyFill="1" applyBorder="1" applyAlignment="1">
      <alignment horizontal="left" vertical="center"/>
    </xf>
    <xf numFmtId="179" fontId="33" fillId="2" borderId="3" xfId="0" applyNumberFormat="1" applyFont="1" applyFill="1" applyBorder="1" applyAlignment="1">
      <alignment horizontal="center" vertical="center"/>
    </xf>
    <xf numFmtId="179" fontId="33" fillId="2" borderId="0" xfId="0" applyNumberFormat="1" applyFont="1" applyFill="1" applyBorder="1" applyAlignment="1">
      <alignment horizontal="center" vertical="center"/>
    </xf>
    <xf numFmtId="179" fontId="33" fillId="2" borderId="7" xfId="0" applyNumberFormat="1" applyFont="1" applyFill="1" applyBorder="1" applyAlignment="1">
      <alignment horizontal="center" vertical="center"/>
    </xf>
    <xf numFmtId="0" fontId="37" fillId="2" borderId="0" xfId="0" applyFont="1" applyFill="1" applyAlignment="1">
      <alignment horizontal="left" vertical="center"/>
    </xf>
    <xf numFmtId="0" fontId="43" fillId="2" borderId="0" xfId="0" applyFont="1" applyFill="1" applyAlignment="1">
      <alignment horizontal="left" vertical="center"/>
    </xf>
    <xf numFmtId="0" fontId="0" fillId="0" borderId="0" xfId="0" applyFont="1">
      <alignment vertical="center"/>
    </xf>
    <xf numFmtId="0" fontId="12" fillId="2" borderId="0" xfId="0" applyFont="1" applyFill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  <xf numFmtId="0" fontId="41" fillId="5" borderId="3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4" fillId="5" borderId="0" xfId="0" applyFont="1" applyFill="1" applyBorder="1" applyAlignment="1">
      <alignment horizontal="center" vertical="center"/>
    </xf>
    <xf numFmtId="0" fontId="22" fillId="5" borderId="0" xfId="0" applyFont="1" applyFill="1" applyBorder="1" applyAlignment="1">
      <alignment vertical="center"/>
    </xf>
    <xf numFmtId="0" fontId="22" fillId="5" borderId="0" xfId="0" applyFont="1" applyFill="1" applyBorder="1" applyAlignment="1">
      <alignment horizontal="right" vertical="center"/>
    </xf>
    <xf numFmtId="177" fontId="22" fillId="5" borderId="0" xfId="0" applyNumberFormat="1" applyFont="1" applyFill="1" applyBorder="1" applyAlignment="1">
      <alignment horizontal="center" vertical="center"/>
    </xf>
    <xf numFmtId="0" fontId="23" fillId="5" borderId="7" xfId="0" applyFont="1" applyFill="1" applyBorder="1" applyAlignment="1">
      <alignment horizontal="center" vertical="center"/>
    </xf>
    <xf numFmtId="0" fontId="41" fillId="2" borderId="3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176" fontId="7" fillId="2" borderId="0" xfId="0" applyNumberFormat="1" applyFont="1" applyFill="1" applyBorder="1" applyAlignment="1">
      <alignment horizontal="center" vertical="center"/>
    </xf>
    <xf numFmtId="0" fontId="44" fillId="6" borderId="0" xfId="0" applyFont="1" applyFill="1" applyBorder="1" applyAlignment="1">
      <alignment horizontal="center" vertical="center"/>
    </xf>
    <xf numFmtId="0" fontId="45" fillId="2" borderId="0" xfId="0" applyFont="1" applyFill="1" applyAlignment="1">
      <alignment horizontal="left" vertical="center"/>
    </xf>
    <xf numFmtId="177" fontId="1" fillId="2" borderId="0" xfId="0" applyNumberFormat="1" applyFont="1" applyFill="1" applyBorder="1" applyAlignment="1">
      <alignment horizontal="center" vertical="center"/>
    </xf>
    <xf numFmtId="0" fontId="41" fillId="5" borderId="0" xfId="0" applyFont="1" applyFill="1" applyBorder="1" applyAlignment="1">
      <alignment horizontal="center" vertical="center"/>
    </xf>
    <xf numFmtId="176" fontId="22" fillId="5" borderId="0" xfId="0" applyNumberFormat="1" applyFont="1" applyFill="1" applyBorder="1" applyAlignment="1">
      <alignment horizontal="center" vertical="center"/>
    </xf>
    <xf numFmtId="176" fontId="1" fillId="5" borderId="7" xfId="0" applyNumberFormat="1" applyFont="1" applyFill="1" applyBorder="1" applyAlignment="1">
      <alignment horizontal="center" vertical="center"/>
    </xf>
    <xf numFmtId="0" fontId="22" fillId="2" borderId="0" xfId="0" applyFont="1" applyFill="1" applyBorder="1" applyAlignment="1">
      <alignment vertical="center"/>
    </xf>
    <xf numFmtId="0" fontId="22" fillId="2" borderId="0" xfId="0" applyFont="1" applyFill="1" applyBorder="1" applyAlignment="1">
      <alignment horizontal="right" vertical="center"/>
    </xf>
    <xf numFmtId="177" fontId="22" fillId="2" borderId="0" xfId="0" applyNumberFormat="1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vertical="center"/>
    </xf>
    <xf numFmtId="0" fontId="21" fillId="2" borderId="0" xfId="0" applyFont="1" applyFill="1" applyAlignment="1">
      <alignment horizontal="left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1" fillId="2" borderId="0" xfId="0" applyFont="1" applyFill="1" applyBorder="1" applyAlignment="1">
      <alignment horizontal="center" vertical="center"/>
    </xf>
    <xf numFmtId="176" fontId="22" fillId="2" borderId="0" xfId="0" applyNumberFormat="1" applyFont="1" applyFill="1" applyBorder="1" applyAlignment="1">
      <alignment horizontal="center" vertical="center"/>
    </xf>
    <xf numFmtId="176" fontId="1" fillId="2" borderId="7" xfId="0" applyNumberFormat="1" applyFont="1" applyFill="1" applyBorder="1" applyAlignment="1">
      <alignment horizontal="center" vertical="center"/>
    </xf>
    <xf numFmtId="0" fontId="0" fillId="0" borderId="0" xfId="0" applyFont="1">
      <alignment vertical="center"/>
    </xf>
    <xf numFmtId="177" fontId="0" fillId="0" borderId="0" xfId="0" applyNumberFormat="1">
      <alignment vertical="center"/>
    </xf>
    <xf numFmtId="0" fontId="46" fillId="10" borderId="0" xfId="0" applyFont="1" applyFill="1" applyAlignment="1">
      <alignment vertical="center"/>
    </xf>
    <xf numFmtId="0" fontId="46" fillId="3" borderId="0" xfId="0" applyFont="1" applyFill="1" applyAlignment="1">
      <alignment horizontal="center" vertical="center"/>
    </xf>
    <xf numFmtId="0" fontId="46" fillId="10" borderId="0" xfId="0" applyFont="1" applyFill="1" applyBorder="1" applyAlignment="1">
      <alignment horizontal="center" vertical="center"/>
    </xf>
    <xf numFmtId="177" fontId="47" fillId="0" borderId="0" xfId="0" applyNumberFormat="1" applyFont="1">
      <alignment vertical="center"/>
    </xf>
    <xf numFmtId="0" fontId="46" fillId="3" borderId="0" xfId="0" applyFont="1" applyFill="1" applyAlignment="1">
      <alignment vertical="center"/>
    </xf>
    <xf numFmtId="0" fontId="46" fillId="10" borderId="0" xfId="0" applyFont="1" applyFill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177" fontId="48" fillId="0" borderId="0" xfId="0" applyNumberFormat="1" applyFont="1" applyAlignment="1">
      <alignment horizontal="center" vertical="center"/>
    </xf>
    <xf numFmtId="0" fontId="48" fillId="0" borderId="0" xfId="0" applyFont="1" applyAlignment="1">
      <alignment vertical="center"/>
    </xf>
    <xf numFmtId="0" fontId="49" fillId="3" borderId="1" xfId="0" applyFont="1" applyFill="1" applyBorder="1" applyAlignment="1">
      <alignment horizontal="center" vertical="center"/>
    </xf>
    <xf numFmtId="0" fontId="49" fillId="3" borderId="2" xfId="0" applyFont="1" applyFill="1" applyBorder="1" applyAlignment="1">
      <alignment horizontal="center" vertical="center"/>
    </xf>
    <xf numFmtId="0" fontId="50" fillId="3" borderId="2" xfId="0" applyFont="1" applyFill="1" applyBorder="1" applyAlignment="1">
      <alignment horizontal="center" vertical="center"/>
    </xf>
    <xf numFmtId="177" fontId="49" fillId="3" borderId="2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180" fontId="8" fillId="2" borderId="0" xfId="0" applyNumberFormat="1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177" fontId="8" fillId="2" borderId="0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180" fontId="8" fillId="6" borderId="0" xfId="0" applyNumberFormat="1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center" vertical="center"/>
    </xf>
    <xf numFmtId="177" fontId="8" fillId="6" borderId="0" xfId="0" applyNumberFormat="1" applyFont="1" applyFill="1" applyBorder="1" applyAlignment="1">
      <alignment horizontal="center" vertical="center"/>
    </xf>
    <xf numFmtId="177" fontId="13" fillId="2" borderId="0" xfId="0" applyNumberFormat="1" applyFont="1" applyFill="1" applyBorder="1" applyAlignment="1">
      <alignment horizontal="center" vertical="center"/>
    </xf>
    <xf numFmtId="0" fontId="51" fillId="3" borderId="4" xfId="0" applyFont="1" applyFill="1" applyBorder="1" applyAlignment="1">
      <alignment vertical="center"/>
    </xf>
    <xf numFmtId="0" fontId="51" fillId="3" borderId="5" xfId="0" applyFont="1" applyFill="1" applyBorder="1" applyAlignment="1">
      <alignment vertical="center"/>
    </xf>
    <xf numFmtId="177" fontId="51" fillId="3" borderId="5" xfId="0" applyNumberFormat="1" applyFont="1" applyFill="1" applyBorder="1" applyAlignment="1">
      <alignment vertical="center"/>
    </xf>
    <xf numFmtId="0" fontId="52" fillId="0" borderId="0" xfId="0" applyFont="1">
      <alignment vertical="center"/>
    </xf>
    <xf numFmtId="0" fontId="5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49" fillId="3" borderId="6" xfId="0" applyFont="1" applyFill="1" applyBorder="1" applyAlignment="1">
      <alignment horizontal="center" vertical="center"/>
    </xf>
    <xf numFmtId="22" fontId="13" fillId="2" borderId="7" xfId="0" applyNumberFormat="1" applyFont="1" applyFill="1" applyBorder="1" applyAlignment="1">
      <alignment horizontal="center" vertical="center"/>
    </xf>
    <xf numFmtId="0" fontId="28" fillId="6" borderId="0" xfId="0" applyFont="1" applyFill="1" applyBorder="1" applyAlignment="1">
      <alignment horizontal="center" vertical="center" wrapText="1"/>
    </xf>
    <xf numFmtId="0" fontId="53" fillId="6" borderId="0" xfId="0" applyFont="1" applyFill="1" applyBorder="1" applyAlignment="1">
      <alignment horizontal="center" vertical="center" wrapText="1"/>
    </xf>
    <xf numFmtId="22" fontId="13" fillId="6" borderId="7" xfId="0" applyNumberFormat="1" applyFont="1" applyFill="1" applyBorder="1" applyAlignment="1">
      <alignment horizontal="center" vertical="center"/>
    </xf>
    <xf numFmtId="0" fontId="8" fillId="7" borderId="0" xfId="0" applyFont="1" applyFill="1" applyBorder="1" applyAlignment="1">
      <alignment horizontal="center" vertical="center"/>
    </xf>
    <xf numFmtId="0" fontId="53" fillId="2" borderId="0" xfId="0" applyFont="1" applyFill="1" applyBorder="1" applyAlignment="1">
      <alignment horizontal="center" vertical="center" wrapText="1"/>
    </xf>
    <xf numFmtId="22" fontId="13" fillId="6" borderId="0" xfId="0" applyNumberFormat="1" applyFont="1" applyFill="1" applyBorder="1" applyAlignment="1">
      <alignment horizontal="center" vertical="center"/>
    </xf>
    <xf numFmtId="22" fontId="13" fillId="2" borderId="0" xfId="0" applyNumberFormat="1" applyFont="1" applyFill="1" applyBorder="1" applyAlignment="1">
      <alignment horizontal="center" vertical="center"/>
    </xf>
    <xf numFmtId="0" fontId="51" fillId="3" borderId="8" xfId="0" applyFont="1" applyFill="1" applyBorder="1" applyAlignment="1">
      <alignment vertical="center"/>
    </xf>
    <xf numFmtId="179" fontId="33" fillId="2" borderId="3" xfId="0" applyNumberFormat="1" applyFont="1" applyFill="1" applyBorder="1" applyAlignment="1" quotePrefix="1">
      <alignment horizontal="center" vertical="center"/>
    </xf>
    <xf numFmtId="0" fontId="4" fillId="4" borderId="3" xfId="0" applyFont="1" applyFill="1" applyBorder="1" applyAlignment="1" quotePrefix="1">
      <alignment horizontal="center" vertical="center" wrapText="1"/>
    </xf>
    <xf numFmtId="0" fontId="1" fillId="7" borderId="0" xfId="0" applyFont="1" applyFill="1" applyBorder="1" applyAlignment="1" quotePrefix="1">
      <alignment horizontal="center" vertical="center" wrapText="1"/>
    </xf>
    <xf numFmtId="0" fontId="1" fillId="2" borderId="0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0</xdr:colOff>
      <xdr:row>3</xdr:row>
      <xdr:rowOff>171450</xdr:rowOff>
    </xdr:to>
    <xdr:sp>
      <xdr:nvSpPr>
        <xdr:cNvPr id="1025" name="Host Control  1"/>
        <xdr:cNvSpPr/>
      </xdr:nvSpPr>
      <xdr:spPr>
        <a:xfrm>
          <a:off x="0" y="1143000"/>
          <a:ext cx="0" cy="171450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tabSelected="1" workbookViewId="0">
      <selection activeCell="J6" sqref="J6"/>
    </sheetView>
  </sheetViews>
  <sheetFormatPr defaultColWidth="9" defaultRowHeight="13.5"/>
  <cols>
    <col min="1" max="1" width="5.625" customWidth="1"/>
    <col min="2" max="4" width="15.625" customWidth="1"/>
    <col min="5" max="5" width="20.625" customWidth="1"/>
    <col min="6" max="7" width="15.625" customWidth="1"/>
    <col min="8" max="8" width="15.625" style="239" customWidth="1"/>
    <col min="9" max="12" width="20.625" customWidth="1"/>
    <col min="13" max="14" width="15.625" customWidth="1"/>
  </cols>
  <sheetData>
    <row r="1" ht="30" customHeight="1" spans="1:14">
      <c r="A1" s="240" t="s">
        <v>0</v>
      </c>
      <c r="B1" s="241" t="s">
        <v>1</v>
      </c>
      <c r="C1" s="242" t="s">
        <v>2</v>
      </c>
      <c r="D1" s="242" t="s">
        <v>3</v>
      </c>
      <c r="E1" s="242" t="s">
        <v>4</v>
      </c>
      <c r="F1" s="242" t="s">
        <v>5</v>
      </c>
      <c r="G1" s="242" t="s">
        <v>6</v>
      </c>
      <c r="H1" s="243"/>
      <c r="I1" s="266"/>
      <c r="J1" s="266"/>
      <c r="K1" s="266"/>
      <c r="L1" s="266"/>
      <c r="M1" s="266"/>
      <c r="N1" s="266"/>
    </row>
    <row r="2" ht="30" customHeight="1" spans="1:14">
      <c r="A2" s="244" t="s">
        <v>0</v>
      </c>
      <c r="B2" s="245" t="s">
        <v>7</v>
      </c>
      <c r="C2" s="245" t="s">
        <v>8</v>
      </c>
      <c r="D2" s="245" t="s">
        <v>9</v>
      </c>
      <c r="E2" s="245" t="s">
        <v>10</v>
      </c>
      <c r="F2" s="245"/>
      <c r="G2" s="245"/>
      <c r="H2" s="243"/>
      <c r="I2" s="266"/>
      <c r="J2" s="266"/>
      <c r="K2" s="266"/>
      <c r="L2" s="266"/>
      <c r="M2" s="266"/>
      <c r="N2" s="266"/>
    </row>
    <row r="3" ht="30" customHeight="1" spans="1:14">
      <c r="A3" s="246" t="s">
        <v>11</v>
      </c>
      <c r="B3" s="246"/>
      <c r="C3" s="246" t="s">
        <v>12</v>
      </c>
      <c r="D3" s="247" t="s">
        <v>13</v>
      </c>
      <c r="E3" s="247" t="s">
        <v>14</v>
      </c>
      <c r="F3" s="247" t="s">
        <v>15</v>
      </c>
      <c r="G3" s="247" t="s">
        <v>16</v>
      </c>
      <c r="H3" s="248" t="s">
        <v>17</v>
      </c>
      <c r="I3" s="267"/>
      <c r="J3" s="267"/>
      <c r="K3" s="267"/>
      <c r="L3" s="267"/>
      <c r="M3" s="267"/>
      <c r="N3" s="267"/>
    </row>
    <row r="4" ht="30" customHeight="1" spans="1:14">
      <c r="A4" s="249" t="s">
        <v>18</v>
      </c>
      <c r="B4" s="249"/>
      <c r="C4" s="249"/>
      <c r="D4" s="249"/>
      <c r="E4" s="249"/>
      <c r="F4" s="247"/>
      <c r="G4" s="247"/>
      <c r="H4" s="248"/>
      <c r="I4" s="268"/>
      <c r="J4" s="268"/>
      <c r="K4" s="269"/>
      <c r="L4" s="269"/>
      <c r="M4" s="269"/>
      <c r="N4" s="269"/>
    </row>
    <row r="5" s="238" customFormat="1" ht="30" customHeight="1" spans="1:14">
      <c r="A5" s="250" t="s">
        <v>19</v>
      </c>
      <c r="B5" s="251" t="s">
        <v>20</v>
      </c>
      <c r="C5" s="251" t="s">
        <v>21</v>
      </c>
      <c r="D5" s="251" t="s">
        <v>22</v>
      </c>
      <c r="E5" s="251" t="s">
        <v>23</v>
      </c>
      <c r="F5" s="251" t="s">
        <v>24</v>
      </c>
      <c r="G5" s="252" t="s">
        <v>25</v>
      </c>
      <c r="H5" s="253" t="s">
        <v>26</v>
      </c>
      <c r="I5" s="252" t="s">
        <v>27</v>
      </c>
      <c r="J5" s="251" t="s">
        <v>28</v>
      </c>
      <c r="K5" s="251" t="s">
        <v>29</v>
      </c>
      <c r="L5" s="251" t="s">
        <v>30</v>
      </c>
      <c r="M5" s="251" t="s">
        <v>31</v>
      </c>
      <c r="N5" s="270" t="s">
        <v>32</v>
      </c>
    </row>
    <row r="6" ht="35" customHeight="1" spans="1:14">
      <c r="A6" s="254">
        <v>1</v>
      </c>
      <c r="B6" s="255">
        <v>191028000015</v>
      </c>
      <c r="C6" s="256" t="s">
        <v>33</v>
      </c>
      <c r="D6" s="256" t="s">
        <v>34</v>
      </c>
      <c r="E6" s="256" t="s">
        <v>35</v>
      </c>
      <c r="F6" s="256">
        <v>5.84</v>
      </c>
      <c r="G6" s="256" t="s">
        <v>36</v>
      </c>
      <c r="H6" s="257">
        <v>57.7</v>
      </c>
      <c r="I6" s="256" t="s">
        <v>37</v>
      </c>
      <c r="J6" s="93" t="s">
        <v>38</v>
      </c>
      <c r="K6" s="93" t="s">
        <v>39</v>
      </c>
      <c r="L6" s="93" t="s">
        <v>39</v>
      </c>
      <c r="M6" s="256" t="s">
        <v>40</v>
      </c>
      <c r="N6" s="271">
        <v>43756.8541666667</v>
      </c>
    </row>
    <row r="7" ht="35" customHeight="1" spans="1:14">
      <c r="A7" s="258">
        <v>2</v>
      </c>
      <c r="B7" s="259">
        <v>191026000007</v>
      </c>
      <c r="C7" s="260" t="s">
        <v>41</v>
      </c>
      <c r="D7" s="260" t="s">
        <v>42</v>
      </c>
      <c r="E7" s="260" t="s">
        <v>43</v>
      </c>
      <c r="F7" s="260">
        <v>13.96</v>
      </c>
      <c r="G7" s="260" t="s">
        <v>44</v>
      </c>
      <c r="H7" s="261">
        <v>168000</v>
      </c>
      <c r="I7" s="260" t="s">
        <v>45</v>
      </c>
      <c r="J7" s="272" t="s">
        <v>38</v>
      </c>
      <c r="K7" s="273" t="s">
        <v>46</v>
      </c>
      <c r="L7" s="273" t="s">
        <v>46</v>
      </c>
      <c r="M7" s="260" t="s">
        <v>47</v>
      </c>
      <c r="N7" s="274">
        <v>43756.8541666667</v>
      </c>
    </row>
    <row r="8" ht="35" customHeight="1" spans="1:14">
      <c r="A8" s="254">
        <v>3</v>
      </c>
      <c r="B8" s="255">
        <v>191026000022</v>
      </c>
      <c r="C8" s="256" t="s">
        <v>48</v>
      </c>
      <c r="D8" s="256" t="s">
        <v>49</v>
      </c>
      <c r="E8" s="256" t="s">
        <v>50</v>
      </c>
      <c r="F8" s="256">
        <v>1.82</v>
      </c>
      <c r="G8" s="256" t="s">
        <v>36</v>
      </c>
      <c r="H8" s="262">
        <v>25</v>
      </c>
      <c r="I8" s="275" t="s">
        <v>37</v>
      </c>
      <c r="J8" s="93" t="s">
        <v>38</v>
      </c>
      <c r="K8" s="276" t="s">
        <v>51</v>
      </c>
      <c r="L8" s="276" t="s">
        <v>51</v>
      </c>
      <c r="M8" s="256" t="s">
        <v>40</v>
      </c>
      <c r="N8" s="271">
        <v>43756.8541666667</v>
      </c>
    </row>
    <row r="9" ht="35" customHeight="1" spans="1:14">
      <c r="A9" s="258">
        <v>4</v>
      </c>
      <c r="B9" s="259">
        <v>191026000033</v>
      </c>
      <c r="C9" s="260" t="s">
        <v>52</v>
      </c>
      <c r="D9" s="260" t="s">
        <v>53</v>
      </c>
      <c r="E9" s="260" t="s">
        <v>35</v>
      </c>
      <c r="F9" s="260">
        <v>20.9</v>
      </c>
      <c r="G9" s="260" t="s">
        <v>44</v>
      </c>
      <c r="H9" s="261">
        <v>0</v>
      </c>
      <c r="I9" s="260" t="s">
        <v>37</v>
      </c>
      <c r="J9" s="272" t="s">
        <v>38</v>
      </c>
      <c r="K9" s="277" t="s">
        <v>54</v>
      </c>
      <c r="L9" s="184" t="s">
        <v>54</v>
      </c>
      <c r="M9" s="260" t="s">
        <v>40</v>
      </c>
      <c r="N9" s="274">
        <v>43756.8541666667</v>
      </c>
    </row>
    <row r="10" ht="35" customHeight="1" spans="1:14">
      <c r="A10" s="254">
        <v>5</v>
      </c>
      <c r="B10" s="255">
        <v>191020000004</v>
      </c>
      <c r="C10" s="256" t="s">
        <v>55</v>
      </c>
      <c r="D10" s="256" t="s">
        <v>49</v>
      </c>
      <c r="E10" s="256" t="s">
        <v>35</v>
      </c>
      <c r="F10" s="256">
        <v>2.1</v>
      </c>
      <c r="G10" s="256" t="s">
        <v>44</v>
      </c>
      <c r="H10" s="257">
        <v>0</v>
      </c>
      <c r="I10" s="275" t="s">
        <v>56</v>
      </c>
      <c r="J10" s="93" t="s">
        <v>38</v>
      </c>
      <c r="K10" s="278" t="s">
        <v>54</v>
      </c>
      <c r="L10" s="256" t="s">
        <v>54</v>
      </c>
      <c r="M10" s="256" t="s">
        <v>40</v>
      </c>
      <c r="N10" s="271">
        <v>43756.8541666667</v>
      </c>
    </row>
    <row r="11" ht="35" customHeight="1" spans="1:14">
      <c r="A11" s="258">
        <v>6</v>
      </c>
      <c r="B11" s="259">
        <v>191022000020</v>
      </c>
      <c r="C11" s="260" t="s">
        <v>33</v>
      </c>
      <c r="D11" s="260" t="s">
        <v>57</v>
      </c>
      <c r="E11" s="260" t="s">
        <v>35</v>
      </c>
      <c r="F11" s="260">
        <v>1.14</v>
      </c>
      <c r="G11" s="260" t="s">
        <v>44</v>
      </c>
      <c r="H11" s="261">
        <v>0</v>
      </c>
      <c r="I11" s="260" t="s">
        <v>37</v>
      </c>
      <c r="J11" s="272" t="s">
        <v>38</v>
      </c>
      <c r="K11" s="277" t="s">
        <v>54</v>
      </c>
      <c r="L11" s="184" t="s">
        <v>54</v>
      </c>
      <c r="M11" s="260" t="s">
        <v>40</v>
      </c>
      <c r="N11" s="274">
        <v>43756.8541666667</v>
      </c>
    </row>
    <row r="12" ht="35" customHeight="1" spans="1:14">
      <c r="A12" s="254">
        <v>7</v>
      </c>
      <c r="B12" s="255">
        <v>191025000020</v>
      </c>
      <c r="C12" s="256" t="s">
        <v>41</v>
      </c>
      <c r="D12" s="256" t="s">
        <v>42</v>
      </c>
      <c r="E12" s="256" t="s">
        <v>35</v>
      </c>
      <c r="F12" s="256">
        <v>3.66</v>
      </c>
      <c r="G12" s="256" t="s">
        <v>36</v>
      </c>
      <c r="H12" s="257">
        <v>0</v>
      </c>
      <c r="I12" s="275" t="s">
        <v>56</v>
      </c>
      <c r="J12" s="93" t="s">
        <v>38</v>
      </c>
      <c r="K12" s="278" t="s">
        <v>54</v>
      </c>
      <c r="L12" s="256" t="s">
        <v>54</v>
      </c>
      <c r="M12" s="256" t="s">
        <v>40</v>
      </c>
      <c r="N12" s="271">
        <v>43756.8541666667</v>
      </c>
    </row>
    <row r="13" ht="35" customHeight="1" spans="1:14">
      <c r="A13" s="258">
        <v>8</v>
      </c>
      <c r="B13" s="259">
        <v>191028000015</v>
      </c>
      <c r="C13" s="260" t="s">
        <v>48</v>
      </c>
      <c r="D13" s="260" t="s">
        <v>34</v>
      </c>
      <c r="E13" s="260" t="s">
        <v>35</v>
      </c>
      <c r="F13" s="260">
        <v>5.84</v>
      </c>
      <c r="G13" s="260" t="s">
        <v>44</v>
      </c>
      <c r="H13" s="261">
        <v>0</v>
      </c>
      <c r="I13" s="260" t="s">
        <v>37</v>
      </c>
      <c r="J13" s="272" t="s">
        <v>38</v>
      </c>
      <c r="K13" s="277" t="s">
        <v>54</v>
      </c>
      <c r="L13" s="184" t="s">
        <v>54</v>
      </c>
      <c r="M13" s="260" t="s">
        <v>40</v>
      </c>
      <c r="N13" s="274">
        <v>43756.8541666667</v>
      </c>
    </row>
    <row r="14" ht="35" customHeight="1" spans="1:14">
      <c r="A14" s="254">
        <v>9</v>
      </c>
      <c r="B14" s="255">
        <v>191026000007</v>
      </c>
      <c r="C14" s="256" t="s">
        <v>52</v>
      </c>
      <c r="D14" s="256" t="s">
        <v>42</v>
      </c>
      <c r="E14" s="256" t="s">
        <v>43</v>
      </c>
      <c r="F14" s="256">
        <v>13.96</v>
      </c>
      <c r="G14" s="256" t="s">
        <v>36</v>
      </c>
      <c r="H14" s="257">
        <v>0</v>
      </c>
      <c r="I14" s="275" t="s">
        <v>37</v>
      </c>
      <c r="J14" s="93" t="s">
        <v>38</v>
      </c>
      <c r="K14" s="278" t="s">
        <v>54</v>
      </c>
      <c r="L14" s="256" t="s">
        <v>54</v>
      </c>
      <c r="M14" s="256" t="s">
        <v>40</v>
      </c>
      <c r="N14" s="271">
        <v>43756.8541666667</v>
      </c>
    </row>
    <row r="15" ht="35" customHeight="1" spans="1:14">
      <c r="A15" s="258">
        <v>10</v>
      </c>
      <c r="B15" s="259">
        <v>191026000022</v>
      </c>
      <c r="C15" s="260" t="s">
        <v>55</v>
      </c>
      <c r="D15" s="260" t="s">
        <v>49</v>
      </c>
      <c r="E15" s="260" t="s">
        <v>50</v>
      </c>
      <c r="F15" s="260">
        <v>1.82</v>
      </c>
      <c r="G15" s="260" t="s">
        <v>44</v>
      </c>
      <c r="H15" s="261">
        <v>25</v>
      </c>
      <c r="I15" s="260" t="s">
        <v>37</v>
      </c>
      <c r="J15" s="272" t="s">
        <v>38</v>
      </c>
      <c r="K15" s="277" t="s">
        <v>54</v>
      </c>
      <c r="L15" s="184" t="s">
        <v>54</v>
      </c>
      <c r="M15" s="260" t="s">
        <v>40</v>
      </c>
      <c r="N15" s="274">
        <v>43756.8541666667</v>
      </c>
    </row>
    <row r="16" ht="35" customHeight="1" spans="1:14">
      <c r="A16" s="254">
        <v>11</v>
      </c>
      <c r="B16" s="255">
        <v>191026000033</v>
      </c>
      <c r="C16" s="256" t="s">
        <v>33</v>
      </c>
      <c r="D16" s="256" t="s">
        <v>53</v>
      </c>
      <c r="E16" s="256" t="s">
        <v>35</v>
      </c>
      <c r="F16" s="256">
        <v>20.9</v>
      </c>
      <c r="G16" s="256" t="s">
        <v>44</v>
      </c>
      <c r="H16" s="257">
        <v>200.2</v>
      </c>
      <c r="I16" s="275" t="s">
        <v>37</v>
      </c>
      <c r="J16" s="93" t="s">
        <v>38</v>
      </c>
      <c r="K16" s="278" t="s">
        <v>54</v>
      </c>
      <c r="L16" s="256" t="s">
        <v>54</v>
      </c>
      <c r="M16" s="256" t="s">
        <v>40</v>
      </c>
      <c r="N16" s="271">
        <v>43756.8541666667</v>
      </c>
    </row>
    <row r="17" ht="35" customHeight="1" spans="1:14">
      <c r="A17" s="258">
        <v>12</v>
      </c>
      <c r="B17" s="259">
        <v>191020000004</v>
      </c>
      <c r="C17" s="260" t="s">
        <v>41</v>
      </c>
      <c r="D17" s="260" t="s">
        <v>49</v>
      </c>
      <c r="E17" s="260" t="s">
        <v>35</v>
      </c>
      <c r="F17" s="260">
        <v>2.1</v>
      </c>
      <c r="G17" s="260" t="s">
        <v>44</v>
      </c>
      <c r="H17" s="261">
        <v>24.45</v>
      </c>
      <c r="I17" s="260" t="s">
        <v>37</v>
      </c>
      <c r="J17" s="272" t="s">
        <v>38</v>
      </c>
      <c r="K17" s="277" t="s">
        <v>54</v>
      </c>
      <c r="L17" s="184" t="s">
        <v>54</v>
      </c>
      <c r="M17" s="260" t="s">
        <v>40</v>
      </c>
      <c r="N17" s="274">
        <v>43756.8541666667</v>
      </c>
    </row>
    <row r="18" ht="35" customHeight="1" spans="1:14">
      <c r="A18" s="254">
        <v>13</v>
      </c>
      <c r="B18" s="255">
        <v>191022000020</v>
      </c>
      <c r="C18" s="256" t="s">
        <v>48</v>
      </c>
      <c r="D18" s="256" t="s">
        <v>57</v>
      </c>
      <c r="E18" s="256" t="s">
        <v>35</v>
      </c>
      <c r="F18" s="256">
        <v>1.14</v>
      </c>
      <c r="G18" s="256" t="s">
        <v>36</v>
      </c>
      <c r="H18" s="257">
        <v>17.49</v>
      </c>
      <c r="I18" s="275" t="s">
        <v>37</v>
      </c>
      <c r="J18" s="93" t="s">
        <v>38</v>
      </c>
      <c r="K18" s="278" t="s">
        <v>54</v>
      </c>
      <c r="L18" s="256" t="s">
        <v>54</v>
      </c>
      <c r="M18" s="256" t="s">
        <v>40</v>
      </c>
      <c r="N18" s="271">
        <v>43756.8541666667</v>
      </c>
    </row>
    <row r="19" ht="35" customHeight="1" spans="1:14">
      <c r="A19" s="258">
        <v>14</v>
      </c>
      <c r="B19" s="259">
        <v>191025000020</v>
      </c>
      <c r="C19" s="260" t="s">
        <v>52</v>
      </c>
      <c r="D19" s="260" t="s">
        <v>42</v>
      </c>
      <c r="E19" s="260" t="s">
        <v>35</v>
      </c>
      <c r="F19" s="260">
        <v>3.66</v>
      </c>
      <c r="G19" s="260" t="s">
        <v>44</v>
      </c>
      <c r="H19" s="261">
        <v>43.45</v>
      </c>
      <c r="I19" s="260" t="s">
        <v>37</v>
      </c>
      <c r="J19" s="272" t="s">
        <v>38</v>
      </c>
      <c r="K19" s="277" t="s">
        <v>54</v>
      </c>
      <c r="L19" s="184" t="s">
        <v>54</v>
      </c>
      <c r="M19" s="260" t="s">
        <v>40</v>
      </c>
      <c r="N19" s="274">
        <v>43756.8541666667</v>
      </c>
    </row>
    <row r="20" ht="35" customHeight="1" spans="1:14">
      <c r="A20" s="254">
        <v>15</v>
      </c>
      <c r="B20" s="255">
        <v>191028000015</v>
      </c>
      <c r="C20" s="256" t="s">
        <v>55</v>
      </c>
      <c r="D20" s="256" t="s">
        <v>34</v>
      </c>
      <c r="E20" s="256" t="s">
        <v>35</v>
      </c>
      <c r="F20" s="256">
        <v>5.84</v>
      </c>
      <c r="G20" s="256" t="s">
        <v>36</v>
      </c>
      <c r="H20" s="257">
        <v>57.7</v>
      </c>
      <c r="I20" s="275" t="s">
        <v>37</v>
      </c>
      <c r="J20" s="93" t="s">
        <v>38</v>
      </c>
      <c r="K20" s="278" t="s">
        <v>54</v>
      </c>
      <c r="L20" s="256" t="s">
        <v>54</v>
      </c>
      <c r="M20" s="256" t="s">
        <v>40</v>
      </c>
      <c r="N20" s="271">
        <v>43756.8541666667</v>
      </c>
    </row>
    <row r="21" ht="35" customHeight="1" spans="1:14">
      <c r="A21" s="258">
        <v>16</v>
      </c>
      <c r="B21" s="259">
        <v>191026000007</v>
      </c>
      <c r="C21" s="260" t="s">
        <v>52</v>
      </c>
      <c r="D21" s="260" t="s">
        <v>42</v>
      </c>
      <c r="E21" s="260" t="s">
        <v>43</v>
      </c>
      <c r="F21" s="260">
        <v>13.96</v>
      </c>
      <c r="G21" s="260" t="s">
        <v>44</v>
      </c>
      <c r="H21" s="261">
        <v>168</v>
      </c>
      <c r="I21" s="260" t="s">
        <v>37</v>
      </c>
      <c r="J21" s="272" t="s">
        <v>38</v>
      </c>
      <c r="K21" s="277" t="s">
        <v>54</v>
      </c>
      <c r="L21" s="184" t="s">
        <v>54</v>
      </c>
      <c r="M21" s="260" t="s">
        <v>40</v>
      </c>
      <c r="N21" s="274">
        <v>43756.8541666667</v>
      </c>
    </row>
    <row r="22" ht="35" customHeight="1" spans="1:14">
      <c r="A22" s="254">
        <v>17</v>
      </c>
      <c r="B22" s="255">
        <v>191026000022</v>
      </c>
      <c r="C22" s="256" t="s">
        <v>55</v>
      </c>
      <c r="D22" s="256" t="s">
        <v>49</v>
      </c>
      <c r="E22" s="256" t="s">
        <v>50</v>
      </c>
      <c r="F22" s="256">
        <v>1.82</v>
      </c>
      <c r="G22" s="256" t="s">
        <v>44</v>
      </c>
      <c r="H22" s="257">
        <v>25</v>
      </c>
      <c r="I22" s="275" t="s">
        <v>37</v>
      </c>
      <c r="J22" s="93" t="s">
        <v>38</v>
      </c>
      <c r="K22" s="278" t="s">
        <v>54</v>
      </c>
      <c r="L22" s="256" t="s">
        <v>54</v>
      </c>
      <c r="M22" s="256" t="s">
        <v>40</v>
      </c>
      <c r="N22" s="271">
        <v>43756.8541666667</v>
      </c>
    </row>
    <row r="23" ht="35" customHeight="1" spans="1:14">
      <c r="A23" s="258">
        <v>18</v>
      </c>
      <c r="B23" s="259">
        <v>191026000033</v>
      </c>
      <c r="C23" s="260" t="s">
        <v>33</v>
      </c>
      <c r="D23" s="260" t="s">
        <v>53</v>
      </c>
      <c r="E23" s="260" t="s">
        <v>35</v>
      </c>
      <c r="F23" s="260">
        <v>20.9</v>
      </c>
      <c r="G23" s="260" t="s">
        <v>44</v>
      </c>
      <c r="H23" s="261">
        <v>200.2</v>
      </c>
      <c r="I23" s="260" t="s">
        <v>37</v>
      </c>
      <c r="J23" s="272" t="s">
        <v>38</v>
      </c>
      <c r="K23" s="277" t="s">
        <v>54</v>
      </c>
      <c r="L23" s="184" t="s">
        <v>54</v>
      </c>
      <c r="M23" s="260" t="s">
        <v>40</v>
      </c>
      <c r="N23" s="274">
        <v>43756.8541666667</v>
      </c>
    </row>
    <row r="24" ht="35" customHeight="1" spans="1:14">
      <c r="A24" s="254">
        <v>19</v>
      </c>
      <c r="B24" s="255">
        <v>191020000004</v>
      </c>
      <c r="C24" s="256" t="s">
        <v>33</v>
      </c>
      <c r="D24" s="256" t="s">
        <v>49</v>
      </c>
      <c r="E24" s="256" t="s">
        <v>35</v>
      </c>
      <c r="F24" s="256">
        <v>2.1</v>
      </c>
      <c r="G24" s="256" t="s">
        <v>36</v>
      </c>
      <c r="H24" s="257">
        <v>24.45</v>
      </c>
      <c r="I24" s="275" t="s">
        <v>37</v>
      </c>
      <c r="J24" s="93" t="s">
        <v>38</v>
      </c>
      <c r="K24" s="278" t="s">
        <v>54</v>
      </c>
      <c r="L24" s="256" t="s">
        <v>54</v>
      </c>
      <c r="M24" s="256" t="s">
        <v>40</v>
      </c>
      <c r="N24" s="271">
        <v>43756.8541666667</v>
      </c>
    </row>
    <row r="25" ht="35" customHeight="1" spans="1:14">
      <c r="A25" s="258">
        <v>20</v>
      </c>
      <c r="B25" s="259">
        <v>191022000020</v>
      </c>
      <c r="C25" s="260" t="s">
        <v>33</v>
      </c>
      <c r="D25" s="260" t="s">
        <v>57</v>
      </c>
      <c r="E25" s="260" t="s">
        <v>35</v>
      </c>
      <c r="F25" s="260">
        <v>1.14</v>
      </c>
      <c r="G25" s="260" t="s">
        <v>44</v>
      </c>
      <c r="H25" s="261">
        <v>17.49</v>
      </c>
      <c r="I25" s="260" t="s">
        <v>37</v>
      </c>
      <c r="J25" s="272" t="s">
        <v>38</v>
      </c>
      <c r="K25" s="277" t="s">
        <v>54</v>
      </c>
      <c r="L25" s="184" t="s">
        <v>54</v>
      </c>
      <c r="M25" s="260" t="s">
        <v>40</v>
      </c>
      <c r="N25" s="274">
        <v>43756.8541666667</v>
      </c>
    </row>
    <row r="26" ht="30" customHeight="1" spans="1:14">
      <c r="A26" s="263"/>
      <c r="B26" s="264"/>
      <c r="C26" s="264"/>
      <c r="D26" s="264"/>
      <c r="E26" s="264"/>
      <c r="F26" s="264"/>
      <c r="G26" s="264"/>
      <c r="H26" s="265"/>
      <c r="I26" s="264"/>
      <c r="J26" s="264"/>
      <c r="K26" s="264"/>
      <c r="L26" s="264"/>
      <c r="M26" s="264"/>
      <c r="N26" s="279"/>
    </row>
  </sheetData>
  <mergeCells count="3">
    <mergeCell ref="A3:B3"/>
    <mergeCell ref="G4:H4"/>
    <mergeCell ref="I4:J4"/>
  </mergeCells>
  <pageMargins left="0.75" right="0.75" top="1" bottom="1" header="0.5" footer="0.5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workbookViewId="0">
      <selection activeCell="G14" sqref="G14"/>
    </sheetView>
  </sheetViews>
  <sheetFormatPr defaultColWidth="9" defaultRowHeight="13.5" outlineLevelCol="5"/>
  <cols>
    <col min="1" max="1" width="10.625" customWidth="1"/>
    <col min="2" max="6" width="20.625" customWidth="1"/>
  </cols>
  <sheetData>
    <row r="1" ht="30" customHeight="1" spans="1:6">
      <c r="A1" s="141" t="s">
        <v>58</v>
      </c>
      <c r="B1" s="142"/>
      <c r="C1" s="142"/>
      <c r="D1" s="142"/>
      <c r="E1" s="142"/>
      <c r="F1" s="143"/>
    </row>
    <row r="2" ht="30" customHeight="1" spans="1:6">
      <c r="A2" s="144">
        <v>191024000040</v>
      </c>
      <c r="B2" s="145"/>
      <c r="C2" s="145"/>
      <c r="D2" s="145"/>
      <c r="E2" s="145"/>
      <c r="F2" s="146"/>
    </row>
    <row r="3" ht="30" customHeight="1" spans="1:6">
      <c r="A3" s="147" t="s">
        <v>59</v>
      </c>
      <c r="B3" s="148"/>
      <c r="C3" s="149" t="s">
        <v>60</v>
      </c>
      <c r="D3" s="150"/>
      <c r="E3" s="148"/>
      <c r="F3" s="151"/>
    </row>
    <row r="4" ht="30" customHeight="1" spans="1:6">
      <c r="A4" s="158" t="s">
        <v>61</v>
      </c>
      <c r="B4" s="159"/>
      <c r="C4" s="160"/>
      <c r="D4" s="161"/>
      <c r="E4" s="162"/>
      <c r="F4" s="151"/>
    </row>
    <row r="5" ht="30" customHeight="1" spans="1:6">
      <c r="A5" s="207" t="s">
        <v>62</v>
      </c>
      <c r="B5" s="208"/>
      <c r="C5" s="208"/>
      <c r="D5" s="208"/>
      <c r="E5" s="208"/>
      <c r="F5" s="209"/>
    </row>
    <row r="6" ht="30" customHeight="1" spans="1:6">
      <c r="A6" s="175" t="s">
        <v>63</v>
      </c>
      <c r="B6" s="176"/>
      <c r="C6" s="176"/>
      <c r="D6" s="176"/>
      <c r="E6" s="176"/>
      <c r="F6" s="177"/>
    </row>
    <row r="7" ht="1" customHeight="1" spans="1:6">
      <c r="A7" s="178"/>
      <c r="B7" s="179"/>
      <c r="C7" s="179"/>
      <c r="D7" s="179"/>
      <c r="E7" s="179"/>
      <c r="F7" s="180"/>
    </row>
    <row r="8" ht="30" customHeight="1" spans="1:6">
      <c r="A8" s="232" t="s">
        <v>64</v>
      </c>
      <c r="B8" s="233"/>
      <c r="C8" s="233"/>
      <c r="D8" s="233"/>
      <c r="E8" s="233"/>
      <c r="F8" s="234"/>
    </row>
    <row r="9" ht="30" customHeight="1" spans="1:6">
      <c r="A9" s="53" t="s">
        <v>65</v>
      </c>
      <c r="B9" s="184" t="s">
        <v>66</v>
      </c>
      <c r="C9" s="54" t="s">
        <v>67</v>
      </c>
      <c r="D9" s="54" t="s">
        <v>68</v>
      </c>
      <c r="E9" s="54" t="s">
        <v>69</v>
      </c>
      <c r="F9" s="121" t="s">
        <v>70</v>
      </c>
    </row>
    <row r="10" ht="30" customHeight="1" spans="1:6">
      <c r="A10" s="53">
        <v>1</v>
      </c>
      <c r="B10" s="36" t="s">
        <v>71</v>
      </c>
      <c r="C10" s="61">
        <v>8.6</v>
      </c>
      <c r="D10" s="36">
        <v>1</v>
      </c>
      <c r="E10" s="61">
        <v>8.6</v>
      </c>
      <c r="F10" s="185" t="s">
        <v>72</v>
      </c>
    </row>
    <row r="11" ht="30" customHeight="1" spans="1:6">
      <c r="A11" s="53">
        <v>2</v>
      </c>
      <c r="B11" s="36" t="s">
        <v>73</v>
      </c>
      <c r="C11" s="61">
        <v>7.9</v>
      </c>
      <c r="D11" s="36">
        <v>20</v>
      </c>
      <c r="E11" s="61">
        <v>158</v>
      </c>
      <c r="F11" s="185" t="s">
        <v>74</v>
      </c>
    </row>
    <row r="12" ht="30" customHeight="1" spans="1:6">
      <c r="A12" s="53">
        <v>3</v>
      </c>
      <c r="B12" s="186" t="s">
        <v>75</v>
      </c>
      <c r="C12" s="61">
        <v>100</v>
      </c>
      <c r="D12" s="36">
        <v>1</v>
      </c>
      <c r="E12" s="61">
        <v>100</v>
      </c>
      <c r="F12" s="185" t="s">
        <v>76</v>
      </c>
    </row>
    <row r="13" ht="30" customHeight="1" spans="1:6">
      <c r="A13" s="53">
        <v>4</v>
      </c>
      <c r="B13" s="186" t="s">
        <v>77</v>
      </c>
      <c r="C13" s="61">
        <v>300</v>
      </c>
      <c r="D13" s="36">
        <v>1</v>
      </c>
      <c r="E13" s="61">
        <v>300</v>
      </c>
      <c r="F13" s="185" t="s">
        <v>78</v>
      </c>
    </row>
    <row r="14" ht="30" customHeight="1" spans="1:6">
      <c r="A14" s="53">
        <v>5</v>
      </c>
      <c r="B14" s="186" t="s">
        <v>79</v>
      </c>
      <c r="C14" s="61">
        <v>39</v>
      </c>
      <c r="D14" s="36">
        <v>1</v>
      </c>
      <c r="E14" s="61">
        <v>39</v>
      </c>
      <c r="F14" s="185" t="s">
        <v>80</v>
      </c>
    </row>
    <row r="15" ht="30" customHeight="1" spans="1:6">
      <c r="A15" s="53">
        <v>6</v>
      </c>
      <c r="B15" s="186" t="s">
        <v>81</v>
      </c>
      <c r="C15" s="61">
        <v>0</v>
      </c>
      <c r="D15" s="36">
        <v>0</v>
      </c>
      <c r="E15" s="61">
        <v>0</v>
      </c>
      <c r="F15" s="185" t="s">
        <v>82</v>
      </c>
    </row>
    <row r="16" ht="30" customHeight="1" spans="1:6">
      <c r="A16" s="187"/>
      <c r="B16" s="235"/>
      <c r="C16" s="227" t="s">
        <v>83</v>
      </c>
      <c r="D16" s="227"/>
      <c r="E16" s="236">
        <v>605.6</v>
      </c>
      <c r="F16" s="237"/>
    </row>
    <row r="17" ht="30" customHeight="1" spans="1:6">
      <c r="A17" s="187"/>
      <c r="B17" s="190" t="s">
        <v>84</v>
      </c>
      <c r="C17" s="191"/>
      <c r="D17" s="68" t="s">
        <v>85</v>
      </c>
      <c r="E17" s="69">
        <v>41786.4</v>
      </c>
      <c r="F17" s="192" t="s">
        <v>86</v>
      </c>
    </row>
    <row r="18" ht="30" customHeight="1" spans="1:6">
      <c r="A18" s="193" t="s">
        <v>87</v>
      </c>
      <c r="B18" s="194"/>
      <c r="C18" s="194"/>
      <c r="D18" s="194"/>
      <c r="E18" s="194"/>
      <c r="F18" s="195"/>
    </row>
  </sheetData>
  <mergeCells count="8">
    <mergeCell ref="A1:F1"/>
    <mergeCell ref="A2:F2"/>
    <mergeCell ref="A3:B3"/>
    <mergeCell ref="A5:F5"/>
    <mergeCell ref="A6:F6"/>
    <mergeCell ref="A8:F8"/>
    <mergeCell ref="C16:D16"/>
    <mergeCell ref="A18:F1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9"/>
  <sheetViews>
    <sheetView workbookViewId="0">
      <selection activeCell="D14" sqref="D14"/>
    </sheetView>
  </sheetViews>
  <sheetFormatPr defaultColWidth="9" defaultRowHeight="13.5"/>
  <cols>
    <col min="1" max="1" width="10.625" customWidth="1"/>
    <col min="2" max="6" width="20.625" customWidth="1"/>
    <col min="8" max="8" width="10.625" customWidth="1"/>
    <col min="9" max="13" width="20.625" customWidth="1"/>
  </cols>
  <sheetData>
    <row r="1" ht="30" customHeight="1" spans="1:13">
      <c r="A1" s="141" t="s">
        <v>58</v>
      </c>
      <c r="B1" s="142"/>
      <c r="C1" s="142"/>
      <c r="D1" s="142"/>
      <c r="E1" s="142"/>
      <c r="F1" s="143"/>
      <c r="H1" s="141" t="s">
        <v>58</v>
      </c>
      <c r="I1" s="142"/>
      <c r="J1" s="142"/>
      <c r="K1" s="142"/>
      <c r="L1" s="142"/>
      <c r="M1" s="143"/>
    </row>
    <row r="2" ht="30" customHeight="1" spans="1:13">
      <c r="A2" s="280" t="s">
        <v>88</v>
      </c>
      <c r="B2" s="201"/>
      <c r="C2" s="201"/>
      <c r="D2" s="201"/>
      <c r="E2" s="201"/>
      <c r="F2" s="202"/>
      <c r="H2" s="280" t="s">
        <v>88</v>
      </c>
      <c r="I2" s="201"/>
      <c r="J2" s="201"/>
      <c r="K2" s="201"/>
      <c r="L2" s="201"/>
      <c r="M2" s="202"/>
    </row>
    <row r="3" ht="30" customHeight="1" spans="1:13">
      <c r="A3" s="147" t="s">
        <v>59</v>
      </c>
      <c r="B3" s="148"/>
      <c r="C3" s="149" t="s">
        <v>60</v>
      </c>
      <c r="D3" s="150"/>
      <c r="E3" s="148"/>
      <c r="F3" s="151"/>
      <c r="H3" s="147" t="s">
        <v>59</v>
      </c>
      <c r="I3" s="148"/>
      <c r="J3" s="149" t="s">
        <v>60</v>
      </c>
      <c r="K3" s="150"/>
      <c r="L3" s="148"/>
      <c r="M3" s="151"/>
    </row>
    <row r="4" ht="1" customHeight="1" spans="1:13">
      <c r="A4" s="157"/>
      <c r="B4" s="153"/>
      <c r="C4" s="154"/>
      <c r="D4" s="155"/>
      <c r="E4" s="153"/>
      <c r="F4" s="156"/>
      <c r="H4" s="157"/>
      <c r="I4" s="153"/>
      <c r="J4" s="154"/>
      <c r="K4" s="155"/>
      <c r="L4" s="153"/>
      <c r="M4" s="156"/>
    </row>
    <row r="5" ht="30" customHeight="1" spans="1:13">
      <c r="A5" s="163" t="s">
        <v>61</v>
      </c>
      <c r="B5" s="159"/>
      <c r="C5" s="203"/>
      <c r="D5" s="221"/>
      <c r="E5" s="203"/>
      <c r="F5" s="151"/>
      <c r="H5" s="163" t="s">
        <v>89</v>
      </c>
      <c r="I5" s="159"/>
      <c r="J5" s="231"/>
      <c r="K5" s="221"/>
      <c r="L5" s="203"/>
      <c r="M5" s="151"/>
    </row>
    <row r="6" ht="30" customHeight="1" spans="1:13">
      <c r="A6" s="163" t="s">
        <v>90</v>
      </c>
      <c r="B6" s="159"/>
      <c r="C6" s="203"/>
      <c r="D6" s="221"/>
      <c r="E6" s="203"/>
      <c r="F6" s="151"/>
      <c r="H6" s="163" t="s">
        <v>91</v>
      </c>
      <c r="I6" s="159"/>
      <c r="J6" s="231"/>
      <c r="K6" s="221"/>
      <c r="L6" s="203"/>
      <c r="M6" s="151"/>
    </row>
    <row r="7" ht="30" customHeight="1" spans="1:13">
      <c r="A7" s="207" t="s">
        <v>92</v>
      </c>
      <c r="B7" s="208"/>
      <c r="C7" s="208"/>
      <c r="D7" s="208"/>
      <c r="E7" s="208"/>
      <c r="F7" s="209"/>
      <c r="H7" s="207" t="s">
        <v>93</v>
      </c>
      <c r="I7" s="208"/>
      <c r="J7" s="208"/>
      <c r="K7" s="208"/>
      <c r="L7" s="208"/>
      <c r="M7" s="209"/>
    </row>
    <row r="8" ht="30" customHeight="1" spans="1:13">
      <c r="A8" s="175" t="s">
        <v>63</v>
      </c>
      <c r="B8" s="176"/>
      <c r="C8" s="176"/>
      <c r="D8" s="176"/>
      <c r="E8" s="176"/>
      <c r="F8" s="177"/>
      <c r="H8" s="175" t="s">
        <v>63</v>
      </c>
      <c r="I8" s="176"/>
      <c r="J8" s="176"/>
      <c r="K8" s="176"/>
      <c r="L8" s="176"/>
      <c r="M8" s="177"/>
    </row>
    <row r="9" ht="1" customHeight="1" spans="1:13">
      <c r="A9" s="178"/>
      <c r="B9" s="179"/>
      <c r="C9" s="179"/>
      <c r="D9" s="179"/>
      <c r="E9" s="179"/>
      <c r="F9" s="180"/>
      <c r="H9" s="178"/>
      <c r="I9" s="179"/>
      <c r="J9" s="179"/>
      <c r="K9" s="179"/>
      <c r="L9" s="179"/>
      <c r="M9" s="180"/>
    </row>
    <row r="10" ht="30" customHeight="1" spans="1:13">
      <c r="A10" s="181" t="s">
        <v>64</v>
      </c>
      <c r="B10" s="182"/>
      <c r="C10" s="182"/>
      <c r="D10" s="182"/>
      <c r="E10" s="182"/>
      <c r="F10" s="183"/>
      <c r="H10" s="181" t="s">
        <v>64</v>
      </c>
      <c r="I10" s="182"/>
      <c r="J10" s="182"/>
      <c r="K10" s="182"/>
      <c r="L10" s="182"/>
      <c r="M10" s="183"/>
    </row>
    <row r="11" ht="30" customHeight="1" spans="1:13">
      <c r="A11" s="53" t="s">
        <v>65</v>
      </c>
      <c r="B11" s="184" t="s">
        <v>66</v>
      </c>
      <c r="C11" s="54" t="s">
        <v>67</v>
      </c>
      <c r="D11" s="54" t="s">
        <v>68</v>
      </c>
      <c r="E11" s="54" t="s">
        <v>69</v>
      </c>
      <c r="F11" s="121" t="s">
        <v>70</v>
      </c>
      <c r="H11" s="53" t="s">
        <v>65</v>
      </c>
      <c r="I11" s="184" t="s">
        <v>66</v>
      </c>
      <c r="J11" s="184" t="s">
        <v>94</v>
      </c>
      <c r="K11" s="54" t="s">
        <v>68</v>
      </c>
      <c r="L11" s="184" t="s">
        <v>95</v>
      </c>
      <c r="M11" s="121" t="s">
        <v>70</v>
      </c>
    </row>
    <row r="12" ht="30" customHeight="1" spans="1:13">
      <c r="A12" s="53">
        <v>1</v>
      </c>
      <c r="B12" s="36" t="s">
        <v>71</v>
      </c>
      <c r="C12" s="61">
        <v>8.6</v>
      </c>
      <c r="D12" s="222">
        <v>1</v>
      </c>
      <c r="E12" s="222">
        <v>8.6</v>
      </c>
      <c r="F12" s="185" t="s">
        <v>72</v>
      </c>
      <c r="H12" s="53">
        <v>1</v>
      </c>
      <c r="I12" s="36" t="s">
        <v>71</v>
      </c>
      <c r="J12" s="61">
        <v>57.62</v>
      </c>
      <c r="K12" s="222">
        <v>1</v>
      </c>
      <c r="L12" s="222">
        <v>57.62</v>
      </c>
      <c r="M12" s="185" t="s">
        <v>72</v>
      </c>
    </row>
    <row r="13" ht="30" customHeight="1" spans="1:13">
      <c r="A13" s="53">
        <v>2</v>
      </c>
      <c r="B13" s="36" t="s">
        <v>73</v>
      </c>
      <c r="C13" s="61">
        <v>7.9</v>
      </c>
      <c r="D13" s="222">
        <v>20</v>
      </c>
      <c r="E13" s="222">
        <v>158</v>
      </c>
      <c r="F13" s="185" t="s">
        <v>74</v>
      </c>
      <c r="H13" s="53">
        <v>2</v>
      </c>
      <c r="I13" s="36" t="s">
        <v>73</v>
      </c>
      <c r="J13" s="61">
        <v>52.93</v>
      </c>
      <c r="K13" s="222">
        <v>20</v>
      </c>
      <c r="L13" s="222">
        <v>1058.6</v>
      </c>
      <c r="M13" s="185" t="s">
        <v>74</v>
      </c>
    </row>
    <row r="14" ht="30" customHeight="1" spans="1:13">
      <c r="A14" s="53">
        <v>3</v>
      </c>
      <c r="B14" s="186" t="s">
        <v>75</v>
      </c>
      <c r="C14" s="61">
        <v>100</v>
      </c>
      <c r="D14" s="222">
        <v>1</v>
      </c>
      <c r="E14" s="222">
        <v>100</v>
      </c>
      <c r="F14" s="185" t="s">
        <v>76</v>
      </c>
      <c r="H14" s="53">
        <v>3</v>
      </c>
      <c r="I14" s="186" t="s">
        <v>75</v>
      </c>
      <c r="J14" s="61">
        <v>670</v>
      </c>
      <c r="K14" s="222">
        <v>1</v>
      </c>
      <c r="L14" s="222">
        <v>670</v>
      </c>
      <c r="M14" s="185" t="s">
        <v>76</v>
      </c>
    </row>
    <row r="15" ht="30" customHeight="1" spans="1:13">
      <c r="A15" s="53">
        <v>4</v>
      </c>
      <c r="B15" s="186" t="s">
        <v>77</v>
      </c>
      <c r="C15" s="61">
        <v>300</v>
      </c>
      <c r="D15" s="222">
        <v>1</v>
      </c>
      <c r="E15" s="222">
        <v>300</v>
      </c>
      <c r="F15" s="185" t="s">
        <v>78</v>
      </c>
      <c r="H15" s="53">
        <v>4</v>
      </c>
      <c r="I15" s="186" t="s">
        <v>77</v>
      </c>
      <c r="J15" s="61">
        <v>2010</v>
      </c>
      <c r="K15" s="222">
        <v>1</v>
      </c>
      <c r="L15" s="222">
        <v>2010</v>
      </c>
      <c r="M15" s="185" t="s">
        <v>78</v>
      </c>
    </row>
    <row r="16" ht="30" customHeight="1" spans="1:13">
      <c r="A16" s="53">
        <v>5</v>
      </c>
      <c r="B16" s="186" t="s">
        <v>79</v>
      </c>
      <c r="C16" s="61">
        <v>39</v>
      </c>
      <c r="D16" s="222">
        <v>1</v>
      </c>
      <c r="E16" s="222">
        <v>39</v>
      </c>
      <c r="F16" s="185" t="s">
        <v>80</v>
      </c>
      <c r="H16" s="53">
        <v>5</v>
      </c>
      <c r="I16" s="186" t="s">
        <v>79</v>
      </c>
      <c r="J16" s="61">
        <v>261.3</v>
      </c>
      <c r="K16" s="222">
        <v>1</v>
      </c>
      <c r="L16" s="222">
        <v>261.3</v>
      </c>
      <c r="M16" s="185" t="s">
        <v>80</v>
      </c>
    </row>
    <row r="17" ht="30" customHeight="1" spans="1:13">
      <c r="A17" s="187"/>
      <c r="B17" s="188"/>
      <c r="C17" s="68" t="s">
        <v>83</v>
      </c>
      <c r="D17" s="68"/>
      <c r="E17" s="69">
        <v>605.6</v>
      </c>
      <c r="F17" s="189"/>
      <c r="H17" s="187"/>
      <c r="I17" s="188"/>
      <c r="J17" s="191"/>
      <c r="K17" s="68" t="s">
        <v>96</v>
      </c>
      <c r="L17" s="69">
        <f>SUM(L12:L16)</f>
        <v>4057.52</v>
      </c>
      <c r="M17" s="192" t="s">
        <v>86</v>
      </c>
    </row>
    <row r="18" ht="1" customHeight="1" spans="1:13">
      <c r="A18" s="187"/>
      <c r="B18" s="188"/>
      <c r="C18" s="68"/>
      <c r="D18" s="68"/>
      <c r="E18" s="69"/>
      <c r="F18" s="189"/>
      <c r="H18" s="210"/>
      <c r="I18" s="223"/>
      <c r="J18" s="214"/>
      <c r="K18" s="214"/>
      <c r="L18" s="224"/>
      <c r="M18" s="225"/>
    </row>
    <row r="19" ht="30" customHeight="1" spans="1:13">
      <c r="A19" s="187"/>
      <c r="B19" s="190" t="s">
        <v>84</v>
      </c>
      <c r="C19" s="191"/>
      <c r="D19" s="68" t="s">
        <v>85</v>
      </c>
      <c r="E19" s="69">
        <v>41786.4</v>
      </c>
      <c r="F19" s="192" t="s">
        <v>86</v>
      </c>
      <c r="H19" s="211" t="s">
        <v>97</v>
      </c>
      <c r="I19" s="182"/>
      <c r="J19" s="182"/>
      <c r="K19" s="182"/>
      <c r="L19" s="182"/>
      <c r="M19" s="183"/>
    </row>
    <row r="20" ht="1" customHeight="1" spans="1:13">
      <c r="A20" s="210"/>
      <c r="B20" s="212"/>
      <c r="C20" s="213"/>
      <c r="D20" s="214"/>
      <c r="E20" s="215"/>
      <c r="F20" s="216"/>
      <c r="H20" s="217"/>
      <c r="I20" s="43"/>
      <c r="J20" s="226"/>
      <c r="K20" s="227"/>
      <c r="L20" s="228"/>
      <c r="M20" s="229"/>
    </row>
    <row r="21" ht="30" customHeight="1" spans="1:13">
      <c r="A21" s="211" t="s">
        <v>97</v>
      </c>
      <c r="B21" s="182"/>
      <c r="C21" s="182"/>
      <c r="D21" s="182"/>
      <c r="E21" s="182"/>
      <c r="F21" s="183"/>
      <c r="H21" s="53" t="s">
        <v>65</v>
      </c>
      <c r="I21" s="184" t="s">
        <v>66</v>
      </c>
      <c r="J21" s="54" t="s">
        <v>67</v>
      </c>
      <c r="K21" s="54" t="s">
        <v>68</v>
      </c>
      <c r="L21" s="54" t="s">
        <v>69</v>
      </c>
      <c r="M21" s="218" t="s">
        <v>98</v>
      </c>
    </row>
    <row r="22" ht="30" customHeight="1" spans="1:13">
      <c r="A22" s="53" t="s">
        <v>65</v>
      </c>
      <c r="B22" s="184" t="s">
        <v>66</v>
      </c>
      <c r="C22" s="184" t="s">
        <v>94</v>
      </c>
      <c r="D22" s="54" t="s">
        <v>68</v>
      </c>
      <c r="E22" s="184" t="s">
        <v>95</v>
      </c>
      <c r="F22" s="218" t="s">
        <v>98</v>
      </c>
      <c r="H22" s="53">
        <v>1</v>
      </c>
      <c r="I22" s="36" t="s">
        <v>71</v>
      </c>
      <c r="J22" s="61">
        <v>8.6</v>
      </c>
      <c r="K22" s="222">
        <v>1</v>
      </c>
      <c r="L22" s="61">
        <v>8.6</v>
      </c>
      <c r="M22" s="185" t="s">
        <v>72</v>
      </c>
    </row>
    <row r="23" ht="30" customHeight="1" spans="1:13">
      <c r="A23" s="53">
        <v>1</v>
      </c>
      <c r="B23" s="36" t="s">
        <v>71</v>
      </c>
      <c r="C23" s="61">
        <v>57.62</v>
      </c>
      <c r="D23" s="222">
        <v>1</v>
      </c>
      <c r="E23" s="222">
        <v>57.62</v>
      </c>
      <c r="F23" s="185" t="s">
        <v>72</v>
      </c>
      <c r="H23" s="53">
        <v>2</v>
      </c>
      <c r="I23" s="36" t="s">
        <v>73</v>
      </c>
      <c r="J23" s="61">
        <v>7.9</v>
      </c>
      <c r="K23" s="222">
        <v>20</v>
      </c>
      <c r="L23" s="61">
        <v>158</v>
      </c>
      <c r="M23" s="185" t="s">
        <v>74</v>
      </c>
    </row>
    <row r="24" ht="30" customHeight="1" spans="1:13">
      <c r="A24" s="53">
        <v>2</v>
      </c>
      <c r="B24" s="36" t="s">
        <v>73</v>
      </c>
      <c r="C24" s="61">
        <v>52.93</v>
      </c>
      <c r="D24" s="222">
        <v>20</v>
      </c>
      <c r="E24" s="222">
        <v>1058.6</v>
      </c>
      <c r="F24" s="185" t="s">
        <v>74</v>
      </c>
      <c r="H24" s="53">
        <v>3</v>
      </c>
      <c r="I24" s="186" t="s">
        <v>75</v>
      </c>
      <c r="J24" s="61">
        <v>100</v>
      </c>
      <c r="K24" s="222">
        <v>1</v>
      </c>
      <c r="L24" s="61">
        <v>100</v>
      </c>
      <c r="M24" s="185" t="s">
        <v>76</v>
      </c>
    </row>
    <row r="25" ht="30" customHeight="1" spans="1:13">
      <c r="A25" s="53">
        <v>3</v>
      </c>
      <c r="B25" s="186" t="s">
        <v>75</v>
      </c>
      <c r="C25" s="61">
        <v>670</v>
      </c>
      <c r="D25" s="222">
        <v>1</v>
      </c>
      <c r="E25" s="222">
        <v>670</v>
      </c>
      <c r="F25" s="185" t="s">
        <v>76</v>
      </c>
      <c r="H25" s="53">
        <v>4</v>
      </c>
      <c r="I25" s="186" t="s">
        <v>77</v>
      </c>
      <c r="J25" s="61">
        <v>300</v>
      </c>
      <c r="K25" s="222">
        <v>1</v>
      </c>
      <c r="L25" s="61">
        <v>300</v>
      </c>
      <c r="M25" s="185" t="s">
        <v>78</v>
      </c>
    </row>
    <row r="26" ht="30" customHeight="1" spans="1:13">
      <c r="A26" s="53">
        <v>4</v>
      </c>
      <c r="B26" s="186" t="s">
        <v>77</v>
      </c>
      <c r="C26" s="61">
        <v>2010</v>
      </c>
      <c r="D26" s="222">
        <v>1</v>
      </c>
      <c r="E26" s="222">
        <v>2010</v>
      </c>
      <c r="F26" s="185" t="s">
        <v>78</v>
      </c>
      <c r="H26" s="53">
        <v>5</v>
      </c>
      <c r="I26" s="186" t="s">
        <v>79</v>
      </c>
      <c r="J26" s="61">
        <v>39</v>
      </c>
      <c r="K26" s="222">
        <v>1</v>
      </c>
      <c r="L26" s="61">
        <v>39</v>
      </c>
      <c r="M26" s="185" t="s">
        <v>80</v>
      </c>
    </row>
    <row r="27" ht="30" customHeight="1" spans="1:13">
      <c r="A27" s="53">
        <v>5</v>
      </c>
      <c r="B27" s="186" t="s">
        <v>79</v>
      </c>
      <c r="C27" s="61">
        <v>261.3</v>
      </c>
      <c r="D27" s="222">
        <v>1</v>
      </c>
      <c r="E27" s="222">
        <v>261.3</v>
      </c>
      <c r="F27" s="185" t="s">
        <v>80</v>
      </c>
      <c r="H27" s="187"/>
      <c r="I27" s="220" t="s">
        <v>99</v>
      </c>
      <c r="J27" s="68" t="s">
        <v>83</v>
      </c>
      <c r="K27" s="68"/>
      <c r="L27" s="76">
        <v>605.6</v>
      </c>
      <c r="M27" s="189"/>
    </row>
    <row r="28" ht="30" customHeight="1" spans="1:13">
      <c r="A28" s="187"/>
      <c r="B28" s="220" t="s">
        <v>100</v>
      </c>
      <c r="C28" s="230"/>
      <c r="D28" s="66" t="s">
        <v>101</v>
      </c>
      <c r="E28" s="69">
        <v>4057.52</v>
      </c>
      <c r="F28" s="189"/>
      <c r="H28" s="187"/>
      <c r="I28" s="190" t="s">
        <v>84</v>
      </c>
      <c r="J28" s="191"/>
      <c r="K28" s="68" t="s">
        <v>85</v>
      </c>
      <c r="L28" s="69">
        <v>41786.4</v>
      </c>
      <c r="M28" s="192"/>
    </row>
    <row r="29" ht="30" customHeight="1" spans="1:13">
      <c r="A29" s="193" t="s">
        <v>87</v>
      </c>
      <c r="B29" s="194"/>
      <c r="C29" s="194"/>
      <c r="D29" s="194"/>
      <c r="E29" s="194"/>
      <c r="F29" s="195"/>
      <c r="H29" s="193" t="s">
        <v>87</v>
      </c>
      <c r="I29" s="194"/>
      <c r="J29" s="194"/>
      <c r="K29" s="194"/>
      <c r="L29" s="194"/>
      <c r="M29" s="195"/>
    </row>
  </sheetData>
  <mergeCells count="18">
    <mergeCell ref="A1:F1"/>
    <mergeCell ref="H1:M1"/>
    <mergeCell ref="A2:F2"/>
    <mergeCell ref="H2:M2"/>
    <mergeCell ref="A3:B3"/>
    <mergeCell ref="H3:I3"/>
    <mergeCell ref="A7:F7"/>
    <mergeCell ref="H7:M7"/>
    <mergeCell ref="A8:F8"/>
    <mergeCell ref="H8:M8"/>
    <mergeCell ref="A10:F10"/>
    <mergeCell ref="H10:M10"/>
    <mergeCell ref="C17:D17"/>
    <mergeCell ref="H19:M19"/>
    <mergeCell ref="A21:F21"/>
    <mergeCell ref="J27:K27"/>
    <mergeCell ref="A29:F29"/>
    <mergeCell ref="H29:M29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1"/>
  <sheetViews>
    <sheetView workbookViewId="0">
      <selection activeCell="J13" sqref="J13"/>
    </sheetView>
  </sheetViews>
  <sheetFormatPr defaultColWidth="9" defaultRowHeight="13.5"/>
  <cols>
    <col min="1" max="1" width="10.625" customWidth="1"/>
    <col min="2" max="6" width="20.625" customWidth="1"/>
    <col min="8" max="8" width="10.625" customWidth="1"/>
    <col min="9" max="13" width="20.625" customWidth="1"/>
  </cols>
  <sheetData>
    <row r="1" ht="30" customHeight="1" spans="1:13">
      <c r="A1" s="141" t="s">
        <v>58</v>
      </c>
      <c r="B1" s="142"/>
      <c r="C1" s="142"/>
      <c r="D1" s="142"/>
      <c r="E1" s="142"/>
      <c r="F1" s="143"/>
      <c r="H1" s="141" t="s">
        <v>58</v>
      </c>
      <c r="I1" s="142"/>
      <c r="J1" s="142"/>
      <c r="K1" s="142"/>
      <c r="L1" s="142"/>
      <c r="M1" s="143"/>
    </row>
    <row r="2" ht="30" customHeight="1" spans="1:13">
      <c r="A2" s="280" t="s">
        <v>88</v>
      </c>
      <c r="B2" s="201"/>
      <c r="C2" s="201"/>
      <c r="D2" s="201"/>
      <c r="E2" s="201"/>
      <c r="F2" s="202"/>
      <c r="H2" s="280" t="s">
        <v>88</v>
      </c>
      <c r="I2" s="201"/>
      <c r="J2" s="201"/>
      <c r="K2" s="201"/>
      <c r="L2" s="201"/>
      <c r="M2" s="202"/>
    </row>
    <row r="3" ht="30" customHeight="1" spans="1:13">
      <c r="A3" s="147" t="s">
        <v>59</v>
      </c>
      <c r="B3" s="148"/>
      <c r="C3" s="149" t="s">
        <v>60</v>
      </c>
      <c r="D3" s="150"/>
      <c r="E3" s="148"/>
      <c r="F3" s="151"/>
      <c r="H3" s="147" t="s">
        <v>59</v>
      </c>
      <c r="I3" s="148"/>
      <c r="J3" s="149" t="s">
        <v>60</v>
      </c>
      <c r="K3" s="150"/>
      <c r="L3" s="148"/>
      <c r="M3" s="151"/>
    </row>
    <row r="4" ht="1" customHeight="1" spans="1:13">
      <c r="A4" s="152"/>
      <c r="B4" s="153"/>
      <c r="C4" s="154"/>
      <c r="D4" s="155"/>
      <c r="E4" s="153"/>
      <c r="F4" s="156"/>
      <c r="H4" s="157"/>
      <c r="I4" s="153"/>
      <c r="J4" s="154"/>
      <c r="K4" s="155"/>
      <c r="L4" s="153"/>
      <c r="M4" s="156"/>
    </row>
    <row r="5" ht="30" customHeight="1" spans="1:13">
      <c r="A5" s="158" t="s">
        <v>61</v>
      </c>
      <c r="B5" s="159"/>
      <c r="C5" s="203"/>
      <c r="D5" s="204"/>
      <c r="E5" s="203"/>
      <c r="F5" s="151"/>
      <c r="G5" s="205"/>
      <c r="H5" s="163" t="s">
        <v>89</v>
      </c>
      <c r="I5" s="159"/>
      <c r="J5" s="203"/>
      <c r="K5" s="221"/>
      <c r="L5" s="203"/>
      <c r="M5" s="151"/>
    </row>
    <row r="6" ht="30" customHeight="1" spans="1:13">
      <c r="A6" s="206" t="s">
        <v>90</v>
      </c>
      <c r="B6" s="159"/>
      <c r="C6" s="203"/>
      <c r="D6" s="204"/>
      <c r="E6" s="203"/>
      <c r="F6" s="151"/>
      <c r="G6" s="205"/>
      <c r="H6" s="163" t="s">
        <v>91</v>
      </c>
      <c r="I6" s="159"/>
      <c r="J6" s="203"/>
      <c r="K6" s="221"/>
      <c r="L6" s="203"/>
      <c r="M6" s="151"/>
    </row>
    <row r="7" ht="30" customHeight="1" spans="1:13">
      <c r="A7" s="207" t="s">
        <v>102</v>
      </c>
      <c r="B7" s="208"/>
      <c r="C7" s="208"/>
      <c r="D7" s="208"/>
      <c r="E7" s="208"/>
      <c r="F7" s="209"/>
      <c r="H7" s="207" t="s">
        <v>103</v>
      </c>
      <c r="I7" s="208"/>
      <c r="J7" s="208"/>
      <c r="K7" s="208"/>
      <c r="L7" s="208"/>
      <c r="M7" s="209"/>
    </row>
    <row r="8" ht="30" customHeight="1" spans="1:13">
      <c r="A8" s="175" t="s">
        <v>63</v>
      </c>
      <c r="B8" s="176"/>
      <c r="C8" s="176"/>
      <c r="D8" s="176"/>
      <c r="E8" s="176"/>
      <c r="F8" s="177"/>
      <c r="H8" s="175" t="s">
        <v>63</v>
      </c>
      <c r="I8" s="176"/>
      <c r="J8" s="176"/>
      <c r="K8" s="176"/>
      <c r="L8" s="176"/>
      <c r="M8" s="177"/>
    </row>
    <row r="9" ht="1" customHeight="1" spans="1:13">
      <c r="A9" s="178"/>
      <c r="B9" s="179"/>
      <c r="C9" s="179"/>
      <c r="D9" s="179"/>
      <c r="E9" s="179"/>
      <c r="F9" s="180"/>
      <c r="H9" s="178"/>
      <c r="I9" s="179"/>
      <c r="J9" s="179"/>
      <c r="K9" s="179"/>
      <c r="L9" s="179"/>
      <c r="M9" s="180"/>
    </row>
    <row r="10" ht="30" customHeight="1" spans="1:13">
      <c r="A10" s="181" t="s">
        <v>64</v>
      </c>
      <c r="B10" s="182"/>
      <c r="C10" s="182"/>
      <c r="D10" s="182"/>
      <c r="E10" s="182"/>
      <c r="F10" s="183"/>
      <c r="H10" s="181" t="s">
        <v>64</v>
      </c>
      <c r="I10" s="182"/>
      <c r="J10" s="182"/>
      <c r="K10" s="182"/>
      <c r="L10" s="182"/>
      <c r="M10" s="183"/>
    </row>
    <row r="11" ht="30" customHeight="1" spans="1:13">
      <c r="A11" s="53" t="s">
        <v>65</v>
      </c>
      <c r="B11" s="184" t="s">
        <v>66</v>
      </c>
      <c r="C11" s="54" t="s">
        <v>67</v>
      </c>
      <c r="D11" s="54" t="s">
        <v>68</v>
      </c>
      <c r="E11" s="54" t="s">
        <v>69</v>
      </c>
      <c r="F11" s="121" t="s">
        <v>70</v>
      </c>
      <c r="H11" s="53" t="s">
        <v>65</v>
      </c>
      <c r="I11" s="184" t="s">
        <v>66</v>
      </c>
      <c r="J11" s="184" t="s">
        <v>94</v>
      </c>
      <c r="K11" s="54" t="s">
        <v>68</v>
      </c>
      <c r="L11" s="184" t="s">
        <v>95</v>
      </c>
      <c r="M11" s="121" t="s">
        <v>70</v>
      </c>
    </row>
    <row r="12" ht="30" customHeight="1" spans="1:13">
      <c r="A12" s="53">
        <v>1</v>
      </c>
      <c r="B12" s="36" t="s">
        <v>71</v>
      </c>
      <c r="C12" s="61">
        <v>8.6</v>
      </c>
      <c r="D12" s="36">
        <v>1</v>
      </c>
      <c r="E12" s="61">
        <v>8.6</v>
      </c>
      <c r="F12" s="185" t="s">
        <v>72</v>
      </c>
      <c r="H12" s="53">
        <v>1</v>
      </c>
      <c r="I12" s="36" t="s">
        <v>71</v>
      </c>
      <c r="J12" s="61">
        <v>57.62</v>
      </c>
      <c r="K12" s="222">
        <v>1</v>
      </c>
      <c r="L12" s="222">
        <v>57.62</v>
      </c>
      <c r="M12" s="185" t="s">
        <v>72</v>
      </c>
    </row>
    <row r="13" ht="30" customHeight="1" spans="1:13">
      <c r="A13" s="53">
        <v>2</v>
      </c>
      <c r="B13" s="36" t="s">
        <v>73</v>
      </c>
      <c r="C13" s="61">
        <v>7.9</v>
      </c>
      <c r="D13" s="36">
        <v>20</v>
      </c>
      <c r="E13" s="61">
        <v>158</v>
      </c>
      <c r="F13" s="185" t="s">
        <v>74</v>
      </c>
      <c r="H13" s="53">
        <v>2</v>
      </c>
      <c r="I13" s="36" t="s">
        <v>73</v>
      </c>
      <c r="J13" s="61">
        <v>52.93</v>
      </c>
      <c r="K13" s="222">
        <v>20</v>
      </c>
      <c r="L13" s="222">
        <v>1058.6</v>
      </c>
      <c r="M13" s="185" t="s">
        <v>74</v>
      </c>
    </row>
    <row r="14" ht="30" customHeight="1" spans="1:13">
      <c r="A14" s="53">
        <v>3</v>
      </c>
      <c r="B14" s="186" t="s">
        <v>75</v>
      </c>
      <c r="C14" s="61">
        <v>100</v>
      </c>
      <c r="D14" s="36">
        <v>1</v>
      </c>
      <c r="E14" s="61">
        <v>100</v>
      </c>
      <c r="F14" s="185" t="s">
        <v>76</v>
      </c>
      <c r="H14" s="53">
        <v>3</v>
      </c>
      <c r="I14" s="186" t="s">
        <v>75</v>
      </c>
      <c r="J14" s="61">
        <v>670</v>
      </c>
      <c r="K14" s="222">
        <v>1</v>
      </c>
      <c r="L14" s="222">
        <v>670</v>
      </c>
      <c r="M14" s="185" t="s">
        <v>76</v>
      </c>
    </row>
    <row r="15" ht="30" customHeight="1" spans="1:13">
      <c r="A15" s="53">
        <v>4</v>
      </c>
      <c r="B15" s="186" t="s">
        <v>77</v>
      </c>
      <c r="C15" s="61">
        <v>300</v>
      </c>
      <c r="D15" s="36">
        <v>1</v>
      </c>
      <c r="E15" s="61">
        <v>300</v>
      </c>
      <c r="F15" s="185" t="s">
        <v>78</v>
      </c>
      <c r="H15" s="53">
        <v>4</v>
      </c>
      <c r="I15" s="186" t="s">
        <v>77</v>
      </c>
      <c r="J15" s="61">
        <v>2010</v>
      </c>
      <c r="K15" s="222">
        <v>1</v>
      </c>
      <c r="L15" s="222">
        <v>2010</v>
      </c>
      <c r="M15" s="185" t="s">
        <v>78</v>
      </c>
    </row>
    <row r="16" ht="30" customHeight="1" spans="1:13">
      <c r="A16" s="53">
        <v>5</v>
      </c>
      <c r="B16" s="186" t="s">
        <v>79</v>
      </c>
      <c r="C16" s="61">
        <v>39</v>
      </c>
      <c r="D16" s="36">
        <v>1</v>
      </c>
      <c r="E16" s="61">
        <v>39</v>
      </c>
      <c r="F16" s="185" t="s">
        <v>80</v>
      </c>
      <c r="H16" s="53">
        <v>5</v>
      </c>
      <c r="I16" s="186" t="s">
        <v>79</v>
      </c>
      <c r="J16" s="61">
        <v>261.3</v>
      </c>
      <c r="K16" s="222">
        <v>1</v>
      </c>
      <c r="L16" s="222">
        <v>261.3</v>
      </c>
      <c r="M16" s="185" t="s">
        <v>80</v>
      </c>
    </row>
    <row r="17" ht="30" customHeight="1" spans="1:13">
      <c r="A17" s="187"/>
      <c r="B17" s="188"/>
      <c r="C17" s="68" t="s">
        <v>83</v>
      </c>
      <c r="D17" s="68"/>
      <c r="E17" s="76">
        <v>605.6</v>
      </c>
      <c r="F17" s="189"/>
      <c r="H17" s="187"/>
      <c r="I17" s="188"/>
      <c r="J17" s="191"/>
      <c r="K17" s="68" t="s">
        <v>96</v>
      </c>
      <c r="L17" s="69">
        <f>SUM(L12:L16)</f>
        <v>4057.52</v>
      </c>
      <c r="M17" s="192" t="s">
        <v>86</v>
      </c>
    </row>
    <row r="18" ht="1" customHeight="1" spans="1:13">
      <c r="A18" s="187"/>
      <c r="B18" s="188"/>
      <c r="C18" s="68"/>
      <c r="D18" s="68"/>
      <c r="E18" s="76"/>
      <c r="F18" s="189"/>
      <c r="H18" s="210"/>
      <c r="I18" s="223"/>
      <c r="J18" s="214"/>
      <c r="K18" s="214"/>
      <c r="L18" s="224"/>
      <c r="M18" s="225"/>
    </row>
    <row r="19" ht="30" customHeight="1" spans="1:13">
      <c r="A19" s="187"/>
      <c r="B19" s="190" t="s">
        <v>84</v>
      </c>
      <c r="C19" s="191"/>
      <c r="D19" s="68" t="s">
        <v>85</v>
      </c>
      <c r="E19" s="69">
        <v>41786.4</v>
      </c>
      <c r="F19" s="192" t="s">
        <v>86</v>
      </c>
      <c r="H19" s="211" t="s">
        <v>97</v>
      </c>
      <c r="I19" s="182"/>
      <c r="J19" s="182"/>
      <c r="K19" s="182"/>
      <c r="L19" s="182"/>
      <c r="M19" s="183"/>
    </row>
    <row r="20" ht="1" customHeight="1" spans="1:13">
      <c r="A20" s="210"/>
      <c r="B20" s="212"/>
      <c r="C20" s="213"/>
      <c r="D20" s="214"/>
      <c r="E20" s="215"/>
      <c r="F20" s="216"/>
      <c r="H20" s="217"/>
      <c r="I20" s="43"/>
      <c r="J20" s="226"/>
      <c r="K20" s="227"/>
      <c r="L20" s="228"/>
      <c r="M20" s="229"/>
    </row>
    <row r="21" ht="30" customHeight="1" spans="1:13">
      <c r="A21" s="211" t="s">
        <v>97</v>
      </c>
      <c r="B21" s="182"/>
      <c r="C21" s="182"/>
      <c r="D21" s="182"/>
      <c r="E21" s="182"/>
      <c r="F21" s="183"/>
      <c r="H21" s="53" t="s">
        <v>65</v>
      </c>
      <c r="I21" s="184" t="s">
        <v>66</v>
      </c>
      <c r="J21" s="54" t="s">
        <v>67</v>
      </c>
      <c r="K21" s="54" t="s">
        <v>68</v>
      </c>
      <c r="L21" s="54" t="s">
        <v>69</v>
      </c>
      <c r="M21" s="218" t="s">
        <v>98</v>
      </c>
    </row>
    <row r="22" ht="30" customHeight="1" spans="1:13">
      <c r="A22" s="53" t="s">
        <v>65</v>
      </c>
      <c r="B22" s="184" t="s">
        <v>104</v>
      </c>
      <c r="C22" s="184" t="s">
        <v>94</v>
      </c>
      <c r="D22" s="54" t="s">
        <v>68</v>
      </c>
      <c r="E22" s="184" t="s">
        <v>95</v>
      </c>
      <c r="F22" s="218" t="s">
        <v>98</v>
      </c>
      <c r="H22" s="53">
        <v>1</v>
      </c>
      <c r="I22" s="36" t="s">
        <v>71</v>
      </c>
      <c r="J22" s="61">
        <v>8.6</v>
      </c>
      <c r="K22" s="222">
        <v>1</v>
      </c>
      <c r="L22" s="61">
        <v>8.6</v>
      </c>
      <c r="M22" s="185" t="s">
        <v>72</v>
      </c>
    </row>
    <row r="23" ht="30" customHeight="1" spans="1:13">
      <c r="A23" s="53">
        <v>1</v>
      </c>
      <c r="B23" s="186" t="s">
        <v>105</v>
      </c>
      <c r="C23" s="61">
        <v>57.62</v>
      </c>
      <c r="D23" s="36">
        <v>1</v>
      </c>
      <c r="E23" s="61">
        <v>57.62</v>
      </c>
      <c r="F23" s="185" t="s">
        <v>72</v>
      </c>
      <c r="H23" s="53">
        <v>2</v>
      </c>
      <c r="I23" s="36" t="s">
        <v>73</v>
      </c>
      <c r="J23" s="61">
        <v>7.9</v>
      </c>
      <c r="K23" s="222">
        <v>20</v>
      </c>
      <c r="L23" s="61">
        <v>158</v>
      </c>
      <c r="M23" s="185" t="s">
        <v>74</v>
      </c>
    </row>
    <row r="24" ht="30" customHeight="1" spans="1:13">
      <c r="A24" s="53">
        <v>2</v>
      </c>
      <c r="B24" s="186" t="s">
        <v>106</v>
      </c>
      <c r="C24" s="61">
        <v>52.93</v>
      </c>
      <c r="D24" s="36">
        <v>20</v>
      </c>
      <c r="E24" s="61">
        <v>1058.6</v>
      </c>
      <c r="F24" s="185" t="s">
        <v>74</v>
      </c>
      <c r="H24" s="53">
        <v>3</v>
      </c>
      <c r="I24" s="186" t="s">
        <v>75</v>
      </c>
      <c r="J24" s="61">
        <v>100</v>
      </c>
      <c r="K24" s="222">
        <v>1</v>
      </c>
      <c r="L24" s="61">
        <v>100</v>
      </c>
      <c r="M24" s="185" t="s">
        <v>76</v>
      </c>
    </row>
    <row r="25" ht="30" customHeight="1" spans="1:13">
      <c r="A25" s="53">
        <v>3</v>
      </c>
      <c r="B25" s="186" t="s">
        <v>107</v>
      </c>
      <c r="C25" s="61">
        <v>670</v>
      </c>
      <c r="D25" s="36">
        <v>1</v>
      </c>
      <c r="E25" s="61">
        <v>670</v>
      </c>
      <c r="F25" s="185" t="s">
        <v>76</v>
      </c>
      <c r="H25" s="53">
        <v>4</v>
      </c>
      <c r="I25" s="186" t="s">
        <v>77</v>
      </c>
      <c r="J25" s="61">
        <v>300</v>
      </c>
      <c r="K25" s="222">
        <v>1</v>
      </c>
      <c r="L25" s="61">
        <v>300</v>
      </c>
      <c r="M25" s="185" t="s">
        <v>78</v>
      </c>
    </row>
    <row r="26" ht="30" customHeight="1" spans="1:13">
      <c r="A26" s="53">
        <v>4</v>
      </c>
      <c r="B26" s="186" t="s">
        <v>108</v>
      </c>
      <c r="C26" s="61">
        <v>2010</v>
      </c>
      <c r="D26" s="36">
        <v>1</v>
      </c>
      <c r="E26" s="61">
        <v>2010</v>
      </c>
      <c r="F26" s="185" t="s">
        <v>78</v>
      </c>
      <c r="H26" s="53">
        <v>5</v>
      </c>
      <c r="I26" s="186" t="s">
        <v>79</v>
      </c>
      <c r="J26" s="61">
        <v>39</v>
      </c>
      <c r="K26" s="222">
        <v>1</v>
      </c>
      <c r="L26" s="61">
        <v>39</v>
      </c>
      <c r="M26" s="185" t="s">
        <v>80</v>
      </c>
    </row>
    <row r="27" ht="30" customHeight="1" spans="1:13">
      <c r="A27" s="53">
        <v>5</v>
      </c>
      <c r="B27" s="186" t="s">
        <v>109</v>
      </c>
      <c r="C27" s="61">
        <v>261.3</v>
      </c>
      <c r="D27" s="36">
        <v>1</v>
      </c>
      <c r="E27" s="61">
        <v>261.3</v>
      </c>
      <c r="F27" s="185" t="s">
        <v>80</v>
      </c>
      <c r="H27" s="187"/>
      <c r="I27" s="220"/>
      <c r="J27" s="68" t="s">
        <v>83</v>
      </c>
      <c r="K27" s="68"/>
      <c r="L27" s="76">
        <v>605.6</v>
      </c>
      <c r="M27" s="189"/>
    </row>
    <row r="28" ht="30" customHeight="1" spans="1:13">
      <c r="A28" s="53">
        <v>6</v>
      </c>
      <c r="B28" s="186" t="s">
        <v>110</v>
      </c>
      <c r="C28" s="219" t="s">
        <v>111</v>
      </c>
      <c r="D28" s="186" t="s">
        <v>111</v>
      </c>
      <c r="E28" s="219" t="s">
        <v>54</v>
      </c>
      <c r="F28" s="185" t="s">
        <v>82</v>
      </c>
      <c r="H28" s="187"/>
      <c r="I28" s="190" t="s">
        <v>84</v>
      </c>
      <c r="J28" s="191"/>
      <c r="K28" s="68" t="s">
        <v>85</v>
      </c>
      <c r="L28" s="69">
        <v>41786.4</v>
      </c>
      <c r="M28" s="192"/>
    </row>
    <row r="29" ht="30" customHeight="1" spans="1:13">
      <c r="A29" s="53">
        <v>7</v>
      </c>
      <c r="B29" s="186" t="s">
        <v>110</v>
      </c>
      <c r="C29" s="219" t="s">
        <v>111</v>
      </c>
      <c r="D29" s="186" t="s">
        <v>111</v>
      </c>
      <c r="E29" s="219" t="s">
        <v>54</v>
      </c>
      <c r="F29" s="185" t="s">
        <v>112</v>
      </c>
      <c r="H29" s="193" t="s">
        <v>87</v>
      </c>
      <c r="I29" s="194"/>
      <c r="J29" s="194"/>
      <c r="K29" s="194"/>
      <c r="L29" s="194"/>
      <c r="M29" s="195"/>
    </row>
    <row r="30" ht="30" customHeight="1" spans="1:6">
      <c r="A30" s="187"/>
      <c r="B30" s="220"/>
      <c r="C30" s="66" t="s">
        <v>101</v>
      </c>
      <c r="D30" s="68"/>
      <c r="E30" s="69">
        <v>4057.52</v>
      </c>
      <c r="F30" s="189"/>
    </row>
    <row r="31" ht="30" customHeight="1" spans="1:6">
      <c r="A31" s="193" t="s">
        <v>87</v>
      </c>
      <c r="B31" s="194"/>
      <c r="C31" s="194"/>
      <c r="D31" s="194"/>
      <c r="E31" s="194"/>
      <c r="F31" s="195"/>
    </row>
  </sheetData>
  <mergeCells count="19">
    <mergeCell ref="A1:F1"/>
    <mergeCell ref="H1:M1"/>
    <mergeCell ref="A2:F2"/>
    <mergeCell ref="H2:M2"/>
    <mergeCell ref="A3:B3"/>
    <mergeCell ref="H3:I3"/>
    <mergeCell ref="A7:F7"/>
    <mergeCell ref="H7:M7"/>
    <mergeCell ref="A8:F8"/>
    <mergeCell ref="H8:M8"/>
    <mergeCell ref="A10:F10"/>
    <mergeCell ref="H10:M10"/>
    <mergeCell ref="C17:D17"/>
    <mergeCell ref="H19:M19"/>
    <mergeCell ref="A21:F21"/>
    <mergeCell ref="J27:K27"/>
    <mergeCell ref="H29:M29"/>
    <mergeCell ref="C30:D30"/>
    <mergeCell ref="A31:F3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workbookViewId="0">
      <selection activeCell="I21" sqref="I21"/>
    </sheetView>
  </sheetViews>
  <sheetFormatPr defaultColWidth="9" defaultRowHeight="13.5"/>
  <cols>
    <col min="1" max="1" width="10.625" customWidth="1"/>
    <col min="2" max="6" width="20.625" customWidth="1"/>
    <col min="8" max="8" width="10.625" customWidth="1"/>
    <col min="9" max="13" width="20.625" customWidth="1"/>
  </cols>
  <sheetData>
    <row r="1" ht="30" customHeight="1" spans="1:13">
      <c r="A1" s="141" t="s">
        <v>113</v>
      </c>
      <c r="B1" s="142"/>
      <c r="C1" s="142"/>
      <c r="D1" s="142"/>
      <c r="E1" s="142"/>
      <c r="F1" s="143"/>
      <c r="H1" s="141" t="s">
        <v>113</v>
      </c>
      <c r="I1" s="142"/>
      <c r="J1" s="142"/>
      <c r="K1" s="142"/>
      <c r="L1" s="142"/>
      <c r="M1" s="143"/>
    </row>
    <row r="2" ht="30" customHeight="1" spans="1:13">
      <c r="A2" s="144">
        <v>191024000040</v>
      </c>
      <c r="B2" s="145"/>
      <c r="C2" s="145"/>
      <c r="D2" s="145"/>
      <c r="E2" s="145"/>
      <c r="F2" s="146"/>
      <c r="H2" s="144">
        <v>191024000040</v>
      </c>
      <c r="I2" s="145"/>
      <c r="J2" s="145"/>
      <c r="K2" s="145"/>
      <c r="L2" s="145"/>
      <c r="M2" s="146"/>
    </row>
    <row r="3" ht="30" customHeight="1" spans="1:13">
      <c r="A3" s="147" t="s">
        <v>59</v>
      </c>
      <c r="B3" s="148"/>
      <c r="C3" s="149" t="s">
        <v>60</v>
      </c>
      <c r="D3" s="150"/>
      <c r="E3" s="148"/>
      <c r="F3" s="151"/>
      <c r="H3" s="147" t="s">
        <v>59</v>
      </c>
      <c r="I3" s="148"/>
      <c r="J3" s="149" t="s">
        <v>60</v>
      </c>
      <c r="K3" s="150"/>
      <c r="L3" s="148"/>
      <c r="M3" s="151"/>
    </row>
    <row r="4" ht="1" customHeight="1" spans="1:13">
      <c r="A4" s="152"/>
      <c r="B4" s="153"/>
      <c r="C4" s="154"/>
      <c r="D4" s="155"/>
      <c r="E4" s="153"/>
      <c r="F4" s="156"/>
      <c r="H4" s="157"/>
      <c r="I4" s="153"/>
      <c r="J4" s="154"/>
      <c r="K4" s="155"/>
      <c r="L4" s="153"/>
      <c r="M4" s="156"/>
    </row>
    <row r="5" ht="30" customHeight="1" spans="1:13">
      <c r="A5" s="158" t="s">
        <v>114</v>
      </c>
      <c r="B5" s="159"/>
      <c r="C5" s="160"/>
      <c r="D5" s="161"/>
      <c r="E5" s="162"/>
      <c r="F5" s="151"/>
      <c r="H5" s="163" t="s">
        <v>114</v>
      </c>
      <c r="I5" s="159"/>
      <c r="J5" s="160"/>
      <c r="K5" s="161"/>
      <c r="L5" s="162"/>
      <c r="M5" s="151"/>
    </row>
    <row r="6" ht="30" customHeight="1" spans="1:13">
      <c r="A6" s="164" t="s">
        <v>115</v>
      </c>
      <c r="B6" s="159"/>
      <c r="C6" s="159"/>
      <c r="D6" s="159"/>
      <c r="E6" s="159"/>
      <c r="F6" s="165"/>
      <c r="H6" s="164" t="s">
        <v>116</v>
      </c>
      <c r="I6" s="159"/>
      <c r="J6" s="159"/>
      <c r="K6" s="159"/>
      <c r="L6" s="159"/>
      <c r="M6" s="165"/>
    </row>
    <row r="7" ht="30" customHeight="1" spans="1:13">
      <c r="A7" s="166" t="s">
        <v>117</v>
      </c>
      <c r="B7" s="167" t="s">
        <v>118</v>
      </c>
      <c r="C7" s="168" t="s">
        <v>119</v>
      </c>
      <c r="D7" s="169" t="s">
        <v>118</v>
      </c>
      <c r="E7" s="168" t="s">
        <v>120</v>
      </c>
      <c r="F7" s="170" t="s">
        <v>121</v>
      </c>
      <c r="H7" s="166" t="s">
        <v>117</v>
      </c>
      <c r="I7" s="167" t="s">
        <v>122</v>
      </c>
      <c r="J7" s="168" t="s">
        <v>119</v>
      </c>
      <c r="K7" s="196" t="s">
        <v>123</v>
      </c>
      <c r="L7" s="168" t="s">
        <v>120</v>
      </c>
      <c r="M7" s="170" t="s">
        <v>124</v>
      </c>
    </row>
    <row r="8" ht="30" customHeight="1" spans="1:13">
      <c r="A8" s="171" t="s">
        <v>125</v>
      </c>
      <c r="B8" s="172" t="s">
        <v>126</v>
      </c>
      <c r="C8" s="168" t="s">
        <v>127</v>
      </c>
      <c r="D8" s="173" t="s">
        <v>118</v>
      </c>
      <c r="E8" s="168" t="s">
        <v>128</v>
      </c>
      <c r="F8" s="174" t="s">
        <v>54</v>
      </c>
      <c r="H8" s="171" t="s">
        <v>125</v>
      </c>
      <c r="I8" s="172" t="s">
        <v>129</v>
      </c>
      <c r="J8" s="168" t="s">
        <v>127</v>
      </c>
      <c r="K8" s="197">
        <v>43765.5514351852</v>
      </c>
      <c r="L8" s="168" t="s">
        <v>128</v>
      </c>
      <c r="M8" s="198" t="s">
        <v>130</v>
      </c>
    </row>
    <row r="9" ht="30" customHeight="1" spans="1:13">
      <c r="A9" s="171" t="s">
        <v>131</v>
      </c>
      <c r="B9" s="167" t="s">
        <v>118</v>
      </c>
      <c r="C9" s="168"/>
      <c r="D9" s="173"/>
      <c r="E9" s="168" t="s">
        <v>132</v>
      </c>
      <c r="F9" s="174" t="s">
        <v>54</v>
      </c>
      <c r="H9" s="171" t="s">
        <v>131</v>
      </c>
      <c r="I9" s="197">
        <v>43765.5514351852</v>
      </c>
      <c r="J9" s="168"/>
      <c r="K9" s="173"/>
      <c r="L9" s="168" t="s">
        <v>132</v>
      </c>
      <c r="M9" s="199">
        <v>43765.5514351852</v>
      </c>
    </row>
    <row r="10" ht="30" customHeight="1" spans="1:13">
      <c r="A10" s="175" t="s">
        <v>133</v>
      </c>
      <c r="B10" s="176"/>
      <c r="C10" s="176"/>
      <c r="D10" s="176"/>
      <c r="E10" s="176"/>
      <c r="F10" s="177"/>
      <c r="H10" s="175" t="s">
        <v>133</v>
      </c>
      <c r="I10" s="176"/>
      <c r="J10" s="176"/>
      <c r="K10" s="176"/>
      <c r="L10" s="176"/>
      <c r="M10" s="177"/>
    </row>
    <row r="11" ht="1" customHeight="1" spans="1:13">
      <c r="A11" s="178"/>
      <c r="B11" s="179"/>
      <c r="C11" s="179"/>
      <c r="D11" s="179"/>
      <c r="E11" s="179"/>
      <c r="F11" s="180"/>
      <c r="H11" s="178"/>
      <c r="I11" s="179"/>
      <c r="J11" s="179"/>
      <c r="K11" s="179"/>
      <c r="L11" s="179"/>
      <c r="M11" s="180"/>
    </row>
    <row r="12" ht="30" customHeight="1" spans="1:13">
      <c r="A12" s="181" t="s">
        <v>64</v>
      </c>
      <c r="B12" s="182"/>
      <c r="C12" s="182"/>
      <c r="D12" s="182"/>
      <c r="E12" s="182"/>
      <c r="F12" s="183"/>
      <c r="H12" s="181" t="s">
        <v>64</v>
      </c>
      <c r="I12" s="182"/>
      <c r="J12" s="182"/>
      <c r="K12" s="182"/>
      <c r="L12" s="182"/>
      <c r="M12" s="183"/>
    </row>
    <row r="13" ht="30" customHeight="1" spans="1:13">
      <c r="A13" s="53" t="s">
        <v>65</v>
      </c>
      <c r="B13" s="184" t="s">
        <v>66</v>
      </c>
      <c r="C13" s="54" t="s">
        <v>67</v>
      </c>
      <c r="D13" s="54" t="s">
        <v>68</v>
      </c>
      <c r="E13" s="54" t="s">
        <v>69</v>
      </c>
      <c r="F13" s="121" t="s">
        <v>70</v>
      </c>
      <c r="H13" s="53" t="s">
        <v>65</v>
      </c>
      <c r="I13" s="184" t="s">
        <v>66</v>
      </c>
      <c r="J13" s="54" t="s">
        <v>67</v>
      </c>
      <c r="K13" s="54" t="s">
        <v>68</v>
      </c>
      <c r="L13" s="54" t="s">
        <v>69</v>
      </c>
      <c r="M13" s="121" t="s">
        <v>70</v>
      </c>
    </row>
    <row r="14" ht="30" customHeight="1" spans="1:13">
      <c r="A14" s="53">
        <v>1</v>
      </c>
      <c r="B14" s="36" t="s">
        <v>71</v>
      </c>
      <c r="C14" s="61">
        <v>8.6</v>
      </c>
      <c r="D14" s="36">
        <v>1</v>
      </c>
      <c r="E14" s="61">
        <v>8.6</v>
      </c>
      <c r="F14" s="185" t="s">
        <v>72</v>
      </c>
      <c r="H14" s="53">
        <v>1</v>
      </c>
      <c r="I14" s="36" t="s">
        <v>71</v>
      </c>
      <c r="J14" s="61">
        <v>8.6</v>
      </c>
      <c r="K14" s="36">
        <v>1</v>
      </c>
      <c r="L14" s="61">
        <v>8.6</v>
      </c>
      <c r="M14" s="185" t="s">
        <v>72</v>
      </c>
    </row>
    <row r="15" ht="30" customHeight="1" spans="1:13">
      <c r="A15" s="53">
        <v>2</v>
      </c>
      <c r="B15" s="36" t="s">
        <v>73</v>
      </c>
      <c r="C15" s="61">
        <v>7.9</v>
      </c>
      <c r="D15" s="36">
        <v>20</v>
      </c>
      <c r="E15" s="61">
        <v>158</v>
      </c>
      <c r="F15" s="185" t="s">
        <v>74</v>
      </c>
      <c r="H15" s="53">
        <v>2</v>
      </c>
      <c r="I15" s="36" t="s">
        <v>73</v>
      </c>
      <c r="J15" s="61">
        <v>7.9</v>
      </c>
      <c r="K15" s="36">
        <v>20</v>
      </c>
      <c r="L15" s="61">
        <v>158</v>
      </c>
      <c r="M15" s="185" t="s">
        <v>74</v>
      </c>
    </row>
    <row r="16" ht="30" customHeight="1" spans="1:13">
      <c r="A16" s="53">
        <v>3</v>
      </c>
      <c r="B16" s="186" t="s">
        <v>75</v>
      </c>
      <c r="C16" s="61">
        <v>100</v>
      </c>
      <c r="D16" s="36">
        <v>1</v>
      </c>
      <c r="E16" s="61">
        <v>100</v>
      </c>
      <c r="F16" s="185" t="s">
        <v>76</v>
      </c>
      <c r="H16" s="53">
        <v>3</v>
      </c>
      <c r="I16" s="186" t="s">
        <v>75</v>
      </c>
      <c r="J16" s="61">
        <v>100</v>
      </c>
      <c r="K16" s="36">
        <v>1</v>
      </c>
      <c r="L16" s="61">
        <v>100</v>
      </c>
      <c r="M16" s="185" t="s">
        <v>76</v>
      </c>
    </row>
    <row r="17" ht="30" customHeight="1" spans="1:13">
      <c r="A17" s="53">
        <v>4</v>
      </c>
      <c r="B17" s="186" t="s">
        <v>77</v>
      </c>
      <c r="C17" s="61">
        <v>300</v>
      </c>
      <c r="D17" s="36">
        <v>1</v>
      </c>
      <c r="E17" s="61">
        <v>300</v>
      </c>
      <c r="F17" s="185" t="s">
        <v>78</v>
      </c>
      <c r="H17" s="53">
        <v>4</v>
      </c>
      <c r="I17" s="186" t="s">
        <v>77</v>
      </c>
      <c r="J17" s="61">
        <v>300</v>
      </c>
      <c r="K17" s="36">
        <v>1</v>
      </c>
      <c r="L17" s="61">
        <v>300</v>
      </c>
      <c r="M17" s="185" t="s">
        <v>78</v>
      </c>
    </row>
    <row r="18" ht="30" customHeight="1" spans="1:13">
      <c r="A18" s="53">
        <v>5</v>
      </c>
      <c r="B18" s="186" t="s">
        <v>79</v>
      </c>
      <c r="C18" s="61">
        <v>39</v>
      </c>
      <c r="D18" s="36">
        <v>1</v>
      </c>
      <c r="E18" s="61">
        <v>39</v>
      </c>
      <c r="F18" s="185" t="s">
        <v>80</v>
      </c>
      <c r="H18" s="53">
        <v>5</v>
      </c>
      <c r="I18" s="186" t="s">
        <v>79</v>
      </c>
      <c r="J18" s="61">
        <v>39</v>
      </c>
      <c r="K18" s="36">
        <v>1</v>
      </c>
      <c r="L18" s="61">
        <v>39</v>
      </c>
      <c r="M18" s="185" t="s">
        <v>80</v>
      </c>
    </row>
    <row r="19" ht="30" customHeight="1" spans="1:13">
      <c r="A19" s="53">
        <v>6</v>
      </c>
      <c r="B19" s="186" t="s">
        <v>81</v>
      </c>
      <c r="C19" s="61">
        <v>0</v>
      </c>
      <c r="D19" s="36">
        <v>0</v>
      </c>
      <c r="E19" s="61">
        <v>0</v>
      </c>
      <c r="F19" s="185" t="s">
        <v>82</v>
      </c>
      <c r="H19" s="53">
        <v>6</v>
      </c>
      <c r="I19" s="186" t="s">
        <v>81</v>
      </c>
      <c r="J19" s="61">
        <v>0</v>
      </c>
      <c r="K19" s="36">
        <v>0</v>
      </c>
      <c r="L19" s="61">
        <v>0</v>
      </c>
      <c r="M19" s="185" t="s">
        <v>82</v>
      </c>
    </row>
    <row r="20" ht="30" customHeight="1" spans="1:13">
      <c r="A20" s="187"/>
      <c r="B20" s="188"/>
      <c r="C20" s="68" t="s">
        <v>83</v>
      </c>
      <c r="D20" s="68"/>
      <c r="E20" s="76">
        <v>605.6</v>
      </c>
      <c r="F20" s="189"/>
      <c r="H20" s="187"/>
      <c r="I20" s="188"/>
      <c r="J20" s="68" t="s">
        <v>83</v>
      </c>
      <c r="K20" s="68"/>
      <c r="L20" s="76">
        <v>605.6</v>
      </c>
      <c r="M20" s="189"/>
    </row>
    <row r="21" ht="30" customHeight="1" spans="1:13">
      <c r="A21" s="187"/>
      <c r="B21" s="190" t="s">
        <v>84</v>
      </c>
      <c r="C21" s="191"/>
      <c r="D21" s="68" t="s">
        <v>85</v>
      </c>
      <c r="E21" s="69">
        <v>41786.4</v>
      </c>
      <c r="F21" s="192" t="s">
        <v>86</v>
      </c>
      <c r="H21" s="187"/>
      <c r="I21" s="190" t="s">
        <v>84</v>
      </c>
      <c r="J21" s="191"/>
      <c r="K21" s="68" t="s">
        <v>85</v>
      </c>
      <c r="L21" s="69">
        <v>41786.4</v>
      </c>
      <c r="M21" s="192" t="s">
        <v>86</v>
      </c>
    </row>
    <row r="22" ht="30" customHeight="1" spans="1:13">
      <c r="A22" s="193" t="s">
        <v>87</v>
      </c>
      <c r="B22" s="194"/>
      <c r="C22" s="194"/>
      <c r="D22" s="194"/>
      <c r="E22" s="194"/>
      <c r="F22" s="195"/>
      <c r="H22" s="193" t="s">
        <v>87</v>
      </c>
      <c r="I22" s="194"/>
      <c r="J22" s="194"/>
      <c r="K22" s="194"/>
      <c r="L22" s="194"/>
      <c r="M22" s="195"/>
    </row>
  </sheetData>
  <mergeCells count="16">
    <mergeCell ref="A1:F1"/>
    <mergeCell ref="H1:M1"/>
    <mergeCell ref="A2:F2"/>
    <mergeCell ref="H2:M2"/>
    <mergeCell ref="A3:B3"/>
    <mergeCell ref="H3:I3"/>
    <mergeCell ref="A6:F6"/>
    <mergeCell ref="H6:M6"/>
    <mergeCell ref="A10:F10"/>
    <mergeCell ref="H10:M10"/>
    <mergeCell ref="A12:F12"/>
    <mergeCell ref="H12:M12"/>
    <mergeCell ref="C20:D20"/>
    <mergeCell ref="J20:K20"/>
    <mergeCell ref="A22:F22"/>
    <mergeCell ref="H22:M2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R50"/>
  <sheetViews>
    <sheetView workbookViewId="0">
      <selection activeCell="B49" sqref="B49:Q49"/>
    </sheetView>
  </sheetViews>
  <sheetFormatPr defaultColWidth="9" defaultRowHeight="12"/>
  <cols>
    <col min="1" max="1" width="9" style="1"/>
    <col min="2" max="17" width="11.625" style="1" customWidth="1"/>
    <col min="18" max="18" width="9" style="2"/>
    <col min="19" max="16384" width="9" style="1"/>
  </cols>
  <sheetData>
    <row r="1" ht="24" customHeight="1" spans="2:17">
      <c r="B1" s="3" t="s">
        <v>134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107"/>
    </row>
    <row r="2" ht="25" customHeight="1" spans="2:17">
      <c r="B2" s="281" t="s">
        <v>135</v>
      </c>
      <c r="C2" s="6"/>
      <c r="D2" s="7" t="s">
        <v>60</v>
      </c>
      <c r="E2" s="8" t="s">
        <v>136</v>
      </c>
      <c r="F2" s="6"/>
      <c r="G2" s="8"/>
      <c r="H2" s="6"/>
      <c r="I2" s="79"/>
      <c r="J2" s="79"/>
      <c r="K2" s="79"/>
      <c r="L2" s="79"/>
      <c r="M2" s="79"/>
      <c r="N2" s="79"/>
      <c r="O2" s="79"/>
      <c r="P2" s="80" t="s">
        <v>137</v>
      </c>
      <c r="Q2" s="108"/>
    </row>
    <row r="3" ht="25" customHeight="1" spans="2:17">
      <c r="B3" s="9" t="s">
        <v>138</v>
      </c>
      <c r="C3" s="10"/>
      <c r="D3" s="10"/>
      <c r="E3" s="10" t="s">
        <v>139</v>
      </c>
      <c r="F3" s="10"/>
      <c r="G3" s="10"/>
      <c r="H3" s="10" t="s">
        <v>140</v>
      </c>
      <c r="I3" s="10"/>
      <c r="J3" s="10"/>
      <c r="K3" s="10" t="s">
        <v>141</v>
      </c>
      <c r="L3" s="10"/>
      <c r="M3" s="10"/>
      <c r="N3" s="81" t="s">
        <v>142</v>
      </c>
      <c r="O3" s="81"/>
      <c r="P3" s="81"/>
      <c r="Q3" s="109"/>
    </row>
    <row r="4" ht="25" customHeight="1" spans="2:17">
      <c r="B4" s="11" t="s">
        <v>143</v>
      </c>
      <c r="C4" s="12"/>
      <c r="D4" s="12"/>
      <c r="E4" s="12" t="s">
        <v>144</v>
      </c>
      <c r="F4" s="12"/>
      <c r="G4" s="12"/>
      <c r="H4" s="12"/>
      <c r="I4" s="12"/>
      <c r="J4" s="12"/>
      <c r="K4" s="82" t="s">
        <v>145</v>
      </c>
      <c r="L4" s="82"/>
      <c r="M4" s="82"/>
      <c r="N4" s="136" t="s">
        <v>146</v>
      </c>
      <c r="O4" s="137"/>
      <c r="P4" s="138"/>
      <c r="Q4" s="109"/>
    </row>
    <row r="5" ht="25" customHeight="1" spans="2:17">
      <c r="B5" s="11" t="s">
        <v>147</v>
      </c>
      <c r="C5" s="13"/>
      <c r="D5" s="13"/>
      <c r="E5" s="13"/>
      <c r="F5" s="13" t="s">
        <v>148</v>
      </c>
      <c r="G5" s="13"/>
      <c r="H5" s="13"/>
      <c r="I5" s="83" t="s">
        <v>149</v>
      </c>
      <c r="J5" s="83"/>
      <c r="K5" s="84" t="s">
        <v>146</v>
      </c>
      <c r="L5" s="85"/>
      <c r="M5" s="13" t="s">
        <v>150</v>
      </c>
      <c r="N5" s="81"/>
      <c r="O5" s="81"/>
      <c r="P5" s="81"/>
      <c r="Q5" s="110"/>
    </row>
    <row r="6" ht="25" customHeight="1" spans="2:17">
      <c r="B6" s="11" t="s">
        <v>151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11"/>
    </row>
    <row r="7" ht="1" customHeight="1" spans="2:17">
      <c r="B7" s="14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12"/>
    </row>
    <row r="8" ht="25" customHeight="1" spans="2:17">
      <c r="B8" s="16" t="s">
        <v>152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13"/>
    </row>
    <row r="9" ht="25" customHeight="1" spans="2:17">
      <c r="B9" s="18" t="s">
        <v>153</v>
      </c>
      <c r="C9" s="19" t="s">
        <v>154</v>
      </c>
      <c r="D9" s="19"/>
      <c r="E9" s="19" t="s">
        <v>155</v>
      </c>
      <c r="F9" s="20"/>
      <c r="G9" s="19" t="s">
        <v>156</v>
      </c>
      <c r="H9" s="19"/>
      <c r="I9" s="19"/>
      <c r="J9" s="19"/>
      <c r="K9" s="19"/>
      <c r="L9" s="19" t="s">
        <v>157</v>
      </c>
      <c r="M9" s="19"/>
      <c r="N9" s="19" t="s">
        <v>158</v>
      </c>
      <c r="O9" s="19"/>
      <c r="P9" s="19" t="s">
        <v>159</v>
      </c>
      <c r="Q9" s="114"/>
    </row>
    <row r="10" ht="25" customHeight="1" spans="2:17">
      <c r="B10" s="18"/>
      <c r="C10" s="21" t="s">
        <v>160</v>
      </c>
      <c r="D10" s="21"/>
      <c r="E10" s="282" t="s">
        <v>161</v>
      </c>
      <c r="F10" s="23"/>
      <c r="G10" s="22" t="s">
        <v>162</v>
      </c>
      <c r="H10" s="22"/>
      <c r="I10" s="22"/>
      <c r="J10" s="22"/>
      <c r="K10" s="22"/>
      <c r="L10" s="22" t="s">
        <v>163</v>
      </c>
      <c r="M10" s="22"/>
      <c r="N10" s="22" t="s">
        <v>164</v>
      </c>
      <c r="O10" s="22"/>
      <c r="P10" s="22" t="s">
        <v>165</v>
      </c>
      <c r="Q10" s="115"/>
    </row>
    <row r="11" ht="25" customHeight="1" spans="2:17">
      <c r="B11" s="18" t="s">
        <v>166</v>
      </c>
      <c r="C11" s="19" t="s">
        <v>154</v>
      </c>
      <c r="D11" s="19"/>
      <c r="E11" s="19" t="s">
        <v>155</v>
      </c>
      <c r="F11" s="20"/>
      <c r="G11" s="19" t="s">
        <v>156</v>
      </c>
      <c r="H11" s="19"/>
      <c r="I11" s="19"/>
      <c r="J11" s="19"/>
      <c r="K11" s="19"/>
      <c r="L11" s="19" t="s">
        <v>157</v>
      </c>
      <c r="M11" s="19"/>
      <c r="N11" s="19" t="s">
        <v>158</v>
      </c>
      <c r="O11" s="19"/>
      <c r="P11" s="19" t="s">
        <v>159</v>
      </c>
      <c r="Q11" s="114"/>
    </row>
    <row r="12" ht="25" customHeight="1" spans="2:17">
      <c r="B12" s="18"/>
      <c r="C12" s="21" t="s">
        <v>33</v>
      </c>
      <c r="D12" s="21"/>
      <c r="E12" s="282" t="s">
        <v>167</v>
      </c>
      <c r="F12" s="23"/>
      <c r="G12" s="22" t="s">
        <v>168</v>
      </c>
      <c r="H12" s="22"/>
      <c r="I12" s="22"/>
      <c r="J12" s="22"/>
      <c r="K12" s="22"/>
      <c r="L12" s="22" t="s">
        <v>169</v>
      </c>
      <c r="M12" s="22"/>
      <c r="N12" s="22" t="s">
        <v>170</v>
      </c>
      <c r="O12" s="22"/>
      <c r="P12" s="22" t="s">
        <v>171</v>
      </c>
      <c r="Q12" s="115"/>
    </row>
    <row r="13" ht="1" customHeight="1" spans="2:17">
      <c r="B13" s="24"/>
      <c r="C13" s="25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116"/>
    </row>
    <row r="14" ht="25" customHeight="1" spans="2:17">
      <c r="B14" s="27" t="s">
        <v>172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117"/>
    </row>
    <row r="15" ht="1" customHeight="1" spans="2:17">
      <c r="B15" s="29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118"/>
    </row>
    <row r="16" ht="25" customHeight="1" spans="2:17">
      <c r="B16" s="133" t="s">
        <v>173</v>
      </c>
      <c r="C16" s="134"/>
      <c r="D16" s="134"/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40"/>
    </row>
    <row r="17" ht="25" customHeight="1" spans="2:17">
      <c r="B17" s="18" t="s">
        <v>174</v>
      </c>
      <c r="C17" s="19"/>
      <c r="D17" s="19"/>
      <c r="E17" s="135" t="s">
        <v>175</v>
      </c>
      <c r="F17" s="135" t="s">
        <v>176</v>
      </c>
      <c r="G17" s="135"/>
      <c r="H17" s="135" t="s">
        <v>177</v>
      </c>
      <c r="I17" s="135"/>
      <c r="J17" s="135" t="s">
        <v>178</v>
      </c>
      <c r="K17" s="135"/>
      <c r="L17" s="135" t="s">
        <v>179</v>
      </c>
      <c r="M17" s="135" t="s">
        <v>180</v>
      </c>
      <c r="N17" s="139" t="s">
        <v>181</v>
      </c>
      <c r="O17" s="135" t="s">
        <v>182</v>
      </c>
      <c r="P17" s="135" t="s">
        <v>183</v>
      </c>
      <c r="Q17" s="117"/>
    </row>
    <row r="18" ht="25" customHeight="1" spans="2:17">
      <c r="B18" s="32" t="s">
        <v>184</v>
      </c>
      <c r="C18" s="33"/>
      <c r="D18" s="33"/>
      <c r="E18" s="34" t="s">
        <v>185</v>
      </c>
      <c r="F18" s="35">
        <v>43756.8541666667</v>
      </c>
      <c r="G18" s="35"/>
      <c r="H18" s="36" t="s">
        <v>186</v>
      </c>
      <c r="I18" s="36"/>
      <c r="J18" s="38" t="s">
        <v>187</v>
      </c>
      <c r="K18" s="38"/>
      <c r="L18" s="38" t="s">
        <v>188</v>
      </c>
      <c r="M18" s="38">
        <v>1</v>
      </c>
      <c r="N18" s="38">
        <v>1</v>
      </c>
      <c r="O18" s="38">
        <v>60</v>
      </c>
      <c r="P18" s="36" t="s">
        <v>189</v>
      </c>
      <c r="Q18" s="120"/>
    </row>
    <row r="19" ht="25" customHeight="1" spans="2:17">
      <c r="B19" s="32" t="s">
        <v>190</v>
      </c>
      <c r="C19" s="33"/>
      <c r="D19" s="33"/>
      <c r="E19" s="34" t="s">
        <v>191</v>
      </c>
      <c r="F19" s="35">
        <v>43756.8541666667</v>
      </c>
      <c r="G19" s="35"/>
      <c r="H19" s="36" t="s">
        <v>192</v>
      </c>
      <c r="I19" s="36"/>
      <c r="J19" s="38" t="s">
        <v>187</v>
      </c>
      <c r="K19" s="38"/>
      <c r="L19" s="38" t="s">
        <v>188</v>
      </c>
      <c r="M19" s="38">
        <v>1</v>
      </c>
      <c r="N19" s="38">
        <v>1</v>
      </c>
      <c r="O19" s="38">
        <v>50</v>
      </c>
      <c r="P19" s="36"/>
      <c r="Q19" s="120"/>
    </row>
    <row r="20" ht="25" customHeight="1" spans="2:17">
      <c r="B20" s="37" t="s">
        <v>193</v>
      </c>
      <c r="C20" s="33"/>
      <c r="D20" s="33"/>
      <c r="E20" s="38" t="s">
        <v>194</v>
      </c>
      <c r="F20" s="35">
        <v>43756.8541666667</v>
      </c>
      <c r="G20" s="35"/>
      <c r="H20" s="36" t="s">
        <v>195</v>
      </c>
      <c r="I20" s="36"/>
      <c r="J20" s="38" t="s">
        <v>187</v>
      </c>
      <c r="K20" s="38"/>
      <c r="L20" s="38" t="s">
        <v>188</v>
      </c>
      <c r="M20" s="38">
        <v>1</v>
      </c>
      <c r="N20" s="38">
        <v>1</v>
      </c>
      <c r="O20" s="38">
        <v>12</v>
      </c>
      <c r="P20" s="36"/>
      <c r="Q20" s="120"/>
    </row>
    <row r="21" ht="25" customHeight="1" spans="2:17">
      <c r="B21" s="37" t="s">
        <v>196</v>
      </c>
      <c r="C21" s="33"/>
      <c r="D21" s="33"/>
      <c r="E21" s="38" t="s">
        <v>197</v>
      </c>
      <c r="F21" s="35">
        <v>43756.8541666667</v>
      </c>
      <c r="G21" s="35"/>
      <c r="H21" s="36" t="s">
        <v>198</v>
      </c>
      <c r="I21" s="36"/>
      <c r="J21" s="38" t="s">
        <v>187</v>
      </c>
      <c r="K21" s="38"/>
      <c r="L21" s="38" t="s">
        <v>188</v>
      </c>
      <c r="M21" s="38">
        <v>1</v>
      </c>
      <c r="N21" s="38">
        <v>1</v>
      </c>
      <c r="O21" s="38">
        <v>23</v>
      </c>
      <c r="P21" s="36"/>
      <c r="Q21" s="120"/>
    </row>
    <row r="22" ht="25" customHeight="1" spans="2:17">
      <c r="B22" s="37" t="s">
        <v>184</v>
      </c>
      <c r="C22" s="33"/>
      <c r="D22" s="33"/>
      <c r="E22" s="38" t="s">
        <v>194</v>
      </c>
      <c r="F22" s="35">
        <v>43756.8541666667</v>
      </c>
      <c r="G22" s="35"/>
      <c r="H22" s="36" t="s">
        <v>186</v>
      </c>
      <c r="I22" s="36"/>
      <c r="J22" s="38" t="s">
        <v>187</v>
      </c>
      <c r="K22" s="38"/>
      <c r="L22" s="38" t="s">
        <v>188</v>
      </c>
      <c r="M22" s="38">
        <v>1</v>
      </c>
      <c r="N22" s="38">
        <v>1</v>
      </c>
      <c r="O22" s="38">
        <v>60</v>
      </c>
      <c r="P22" s="36"/>
      <c r="Q22" s="120"/>
    </row>
    <row r="23" ht="25" customHeight="1" spans="2:17">
      <c r="B23" s="37" t="s">
        <v>190</v>
      </c>
      <c r="C23" s="33"/>
      <c r="D23" s="33"/>
      <c r="E23" s="38" t="s">
        <v>197</v>
      </c>
      <c r="F23" s="35">
        <v>43756.8541666667</v>
      </c>
      <c r="G23" s="35"/>
      <c r="H23" s="36" t="s">
        <v>192</v>
      </c>
      <c r="I23" s="36"/>
      <c r="J23" s="38" t="s">
        <v>187</v>
      </c>
      <c r="K23" s="38"/>
      <c r="L23" s="38" t="s">
        <v>188</v>
      </c>
      <c r="M23" s="38">
        <v>1</v>
      </c>
      <c r="N23" s="38">
        <v>1</v>
      </c>
      <c r="O23" s="38">
        <v>50</v>
      </c>
      <c r="P23" s="36"/>
      <c r="Q23" s="120"/>
    </row>
    <row r="24" ht="25" customHeight="1" spans="2:17">
      <c r="B24" s="39" t="s">
        <v>199</v>
      </c>
      <c r="C24" s="40"/>
      <c r="D24" s="40"/>
      <c r="E24" s="41" t="s">
        <v>200</v>
      </c>
      <c r="F24" s="42">
        <v>43756.8541666667</v>
      </c>
      <c r="G24" s="42"/>
      <c r="H24" s="43" t="s">
        <v>195</v>
      </c>
      <c r="I24" s="43"/>
      <c r="J24" s="41" t="s">
        <v>201</v>
      </c>
      <c r="K24" s="41"/>
      <c r="L24" s="41" t="s">
        <v>202</v>
      </c>
      <c r="M24" s="41" t="s">
        <v>200</v>
      </c>
      <c r="N24" s="41" t="s">
        <v>200</v>
      </c>
      <c r="O24" s="41" t="s">
        <v>200</v>
      </c>
      <c r="P24" s="36"/>
      <c r="Q24" s="120"/>
    </row>
    <row r="25" ht="25" customHeight="1" spans="2:17">
      <c r="B25" s="39" t="s">
        <v>203</v>
      </c>
      <c r="C25" s="40"/>
      <c r="D25" s="40"/>
      <c r="E25" s="41" t="s">
        <v>200</v>
      </c>
      <c r="F25" s="42">
        <v>43756.8541666667</v>
      </c>
      <c r="G25" s="42"/>
      <c r="H25" s="43" t="s">
        <v>198</v>
      </c>
      <c r="I25" s="43"/>
      <c r="J25" s="41" t="s">
        <v>201</v>
      </c>
      <c r="K25" s="41"/>
      <c r="L25" s="41" t="s">
        <v>202</v>
      </c>
      <c r="M25" s="41" t="s">
        <v>200</v>
      </c>
      <c r="N25" s="41" t="s">
        <v>200</v>
      </c>
      <c r="O25" s="41" t="s">
        <v>200</v>
      </c>
      <c r="P25" s="36"/>
      <c r="Q25" s="120"/>
    </row>
    <row r="26" ht="25" customHeight="1" spans="2:17">
      <c r="B26" s="39" t="s">
        <v>203</v>
      </c>
      <c r="C26" s="40"/>
      <c r="D26" s="40"/>
      <c r="E26" s="41" t="s">
        <v>200</v>
      </c>
      <c r="F26" s="42">
        <v>43756.8541666667</v>
      </c>
      <c r="G26" s="42"/>
      <c r="H26" s="43" t="s">
        <v>198</v>
      </c>
      <c r="I26" s="43"/>
      <c r="J26" s="41" t="s">
        <v>201</v>
      </c>
      <c r="K26" s="41"/>
      <c r="L26" s="41" t="s">
        <v>202</v>
      </c>
      <c r="M26" s="41" t="s">
        <v>200</v>
      </c>
      <c r="N26" s="41" t="s">
        <v>200</v>
      </c>
      <c r="O26" s="41" t="s">
        <v>200</v>
      </c>
      <c r="P26" s="36"/>
      <c r="Q26" s="120"/>
    </row>
    <row r="27" ht="25" customHeight="1" spans="2:17">
      <c r="B27" s="44" t="s">
        <v>204</v>
      </c>
      <c r="C27" s="45"/>
      <c r="D27" s="45"/>
      <c r="E27" s="46" t="s">
        <v>205</v>
      </c>
      <c r="F27" s="46" t="s">
        <v>206</v>
      </c>
      <c r="G27" s="46"/>
      <c r="H27" s="47" t="s">
        <v>207</v>
      </c>
      <c r="I27" s="47"/>
      <c r="J27" s="87" t="s">
        <v>208</v>
      </c>
      <c r="K27" s="87"/>
      <c r="L27" s="46" t="s">
        <v>209</v>
      </c>
      <c r="M27" s="46" t="s">
        <v>205</v>
      </c>
      <c r="N27" s="46" t="s">
        <v>205</v>
      </c>
      <c r="O27" s="46" t="s">
        <v>205</v>
      </c>
      <c r="P27" s="36"/>
      <c r="Q27" s="120"/>
    </row>
    <row r="28" ht="25" customHeight="1" spans="2:17">
      <c r="B28" s="48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33">
        <f t="shared" ref="M28:O28" si="0">SUM(M18:M27)</f>
        <v>6</v>
      </c>
      <c r="N28" s="33">
        <f t="shared" si="0"/>
        <v>6</v>
      </c>
      <c r="O28" s="54">
        <f t="shared" si="0"/>
        <v>255</v>
      </c>
      <c r="P28" s="54"/>
      <c r="Q28" s="121"/>
    </row>
    <row r="29" ht="1" customHeight="1" spans="2:17">
      <c r="B29" s="29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118"/>
    </row>
    <row r="30" ht="25" customHeight="1" spans="2:17">
      <c r="B30" s="50" t="s">
        <v>210</v>
      </c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122"/>
    </row>
    <row r="31" ht="25" customHeight="1" spans="2:17">
      <c r="B31" s="18" t="s">
        <v>174</v>
      </c>
      <c r="C31" s="19"/>
      <c r="D31" s="19"/>
      <c r="E31" s="19" t="s">
        <v>211</v>
      </c>
      <c r="F31" s="19"/>
      <c r="G31" s="19" t="s">
        <v>212</v>
      </c>
      <c r="H31" s="52" t="s">
        <v>213</v>
      </c>
      <c r="I31" s="19" t="s">
        <v>177</v>
      </c>
      <c r="J31" s="19"/>
      <c r="K31" s="19" t="s">
        <v>179</v>
      </c>
      <c r="L31" s="88" t="s">
        <v>214</v>
      </c>
      <c r="M31" s="88"/>
      <c r="N31" s="19" t="s">
        <v>215</v>
      </c>
      <c r="O31" s="19" t="s">
        <v>216</v>
      </c>
      <c r="P31" s="19" t="s">
        <v>217</v>
      </c>
      <c r="Q31" s="114" t="s">
        <v>218</v>
      </c>
    </row>
    <row r="32" ht="25" customHeight="1" spans="2:17">
      <c r="B32" s="53" t="s">
        <v>219</v>
      </c>
      <c r="C32" s="54"/>
      <c r="D32" s="54"/>
      <c r="E32" s="283" t="s">
        <v>220</v>
      </c>
      <c r="F32" s="38"/>
      <c r="G32" s="35" t="s">
        <v>221</v>
      </c>
      <c r="H32" s="55" t="s">
        <v>222</v>
      </c>
      <c r="I32" s="36" t="s">
        <v>186</v>
      </c>
      <c r="J32" s="36"/>
      <c r="K32" s="38" t="s">
        <v>188</v>
      </c>
      <c r="L32" s="89" t="s">
        <v>223</v>
      </c>
      <c r="M32" s="89"/>
      <c r="N32" s="38">
        <v>1</v>
      </c>
      <c r="O32" s="38">
        <v>0.0086</v>
      </c>
      <c r="P32" s="38">
        <v>1.43</v>
      </c>
      <c r="Q32" s="123">
        <v>100000</v>
      </c>
    </row>
    <row r="33" ht="25" customHeight="1" spans="2:17">
      <c r="B33" s="37" t="s">
        <v>190</v>
      </c>
      <c r="C33" s="33"/>
      <c r="D33" s="33"/>
      <c r="E33" s="283" t="s">
        <v>224</v>
      </c>
      <c r="F33" s="38"/>
      <c r="G33" s="35" t="s">
        <v>225</v>
      </c>
      <c r="H33" s="55" t="s">
        <v>222</v>
      </c>
      <c r="I33" s="36" t="s">
        <v>192</v>
      </c>
      <c r="J33" s="36"/>
      <c r="K33" s="38" t="s">
        <v>188</v>
      </c>
      <c r="L33" s="89" t="s">
        <v>226</v>
      </c>
      <c r="M33" s="89"/>
      <c r="N33" s="38">
        <v>1</v>
      </c>
      <c r="O33" s="38">
        <v>0.0019</v>
      </c>
      <c r="P33" s="38">
        <v>0.32</v>
      </c>
      <c r="Q33" s="124">
        <v>0.12</v>
      </c>
    </row>
    <row r="34" ht="25" customHeight="1" spans="2:17">
      <c r="B34" s="37" t="s">
        <v>193</v>
      </c>
      <c r="C34" s="33"/>
      <c r="D34" s="33"/>
      <c r="E34" s="283" t="s">
        <v>227</v>
      </c>
      <c r="F34" s="38"/>
      <c r="G34" s="35" t="s">
        <v>228</v>
      </c>
      <c r="H34" s="55" t="s">
        <v>222</v>
      </c>
      <c r="I34" s="36" t="s">
        <v>195</v>
      </c>
      <c r="J34" s="36"/>
      <c r="K34" s="38" t="s">
        <v>188</v>
      </c>
      <c r="L34" s="89" t="s">
        <v>229</v>
      </c>
      <c r="M34" s="89"/>
      <c r="N34" s="38">
        <v>1</v>
      </c>
      <c r="O34" s="38">
        <v>0.0052</v>
      </c>
      <c r="P34" s="38">
        <v>0.87</v>
      </c>
      <c r="Q34" s="124">
        <v>0.7</v>
      </c>
    </row>
    <row r="35" ht="25" customHeight="1" spans="2:17">
      <c r="B35" s="37" t="s">
        <v>196</v>
      </c>
      <c r="C35" s="33"/>
      <c r="D35" s="33"/>
      <c r="E35" s="283" t="s">
        <v>230</v>
      </c>
      <c r="F35" s="38"/>
      <c r="G35" s="35" t="s">
        <v>221</v>
      </c>
      <c r="H35" s="55" t="s">
        <v>222</v>
      </c>
      <c r="I35" s="90" t="s">
        <v>198</v>
      </c>
      <c r="J35" s="90"/>
      <c r="K35" s="41" t="s">
        <v>202</v>
      </c>
      <c r="L35" s="89" t="s">
        <v>231</v>
      </c>
      <c r="M35" s="89"/>
      <c r="N35" s="38">
        <v>1</v>
      </c>
      <c r="O35" s="38">
        <v>0.0245</v>
      </c>
      <c r="P35" s="38">
        <v>4.08</v>
      </c>
      <c r="Q35" s="124">
        <v>3.62</v>
      </c>
    </row>
    <row r="36" ht="25" customHeight="1" spans="2:17">
      <c r="B36" s="48"/>
      <c r="C36" s="49"/>
      <c r="D36" s="49"/>
      <c r="E36" s="49"/>
      <c r="F36" s="49"/>
      <c r="G36" s="33"/>
      <c r="H36" s="33"/>
      <c r="I36" s="33"/>
      <c r="J36" s="33"/>
      <c r="K36" s="33"/>
      <c r="L36" s="33"/>
      <c r="M36" s="33"/>
      <c r="N36" s="33">
        <f>SUM(N32:N35)</f>
        <v>4</v>
      </c>
      <c r="O36" s="91">
        <v>0.057</v>
      </c>
      <c r="P36" s="91">
        <v>16789</v>
      </c>
      <c r="Q36" s="125">
        <f>SUM(Q32:Q35)</f>
        <v>100004.44</v>
      </c>
    </row>
    <row r="37" ht="1" customHeight="1" spans="2:17">
      <c r="B37" s="29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118"/>
    </row>
    <row r="38" ht="25" customHeight="1" spans="2:17">
      <c r="B38" s="56" t="s">
        <v>232</v>
      </c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126"/>
    </row>
    <row r="39" ht="25" customHeight="1" spans="2:17">
      <c r="B39" s="58" t="s">
        <v>19</v>
      </c>
      <c r="C39" s="59" t="s">
        <v>66</v>
      </c>
      <c r="D39" s="60"/>
      <c r="E39" s="59" t="s">
        <v>233</v>
      </c>
      <c r="F39" s="60"/>
      <c r="G39" s="59" t="s">
        <v>234</v>
      </c>
      <c r="H39" s="59" t="s">
        <v>235</v>
      </c>
      <c r="I39" s="60"/>
      <c r="J39" s="59" t="s">
        <v>236</v>
      </c>
      <c r="K39" s="60"/>
      <c r="L39" s="92" t="s">
        <v>27</v>
      </c>
      <c r="M39" s="19"/>
      <c r="N39" s="92" t="s">
        <v>28</v>
      </c>
      <c r="O39" s="19"/>
      <c r="P39" s="92" t="s">
        <v>237</v>
      </c>
      <c r="Q39" s="114"/>
    </row>
    <row r="40" ht="25" customHeight="1" spans="2:17">
      <c r="B40" s="53">
        <v>1</v>
      </c>
      <c r="C40" s="36" t="s">
        <v>71</v>
      </c>
      <c r="D40" s="36"/>
      <c r="E40" s="61">
        <v>8.6</v>
      </c>
      <c r="F40" s="61"/>
      <c r="G40" s="61">
        <v>1</v>
      </c>
      <c r="H40" s="61">
        <v>8.6</v>
      </c>
      <c r="I40" s="61"/>
      <c r="J40" s="93" t="s">
        <v>238</v>
      </c>
      <c r="K40" s="93"/>
      <c r="L40" s="94" t="s">
        <v>239</v>
      </c>
      <c r="M40" s="95"/>
      <c r="N40" s="96" t="s">
        <v>240</v>
      </c>
      <c r="O40" s="38"/>
      <c r="P40" s="97"/>
      <c r="Q40" s="127"/>
    </row>
    <row r="41" ht="25" customHeight="1" spans="2:17">
      <c r="B41" s="53">
        <v>2</v>
      </c>
      <c r="C41" s="36" t="s">
        <v>73</v>
      </c>
      <c r="D41" s="36"/>
      <c r="E41" s="61">
        <v>7.9</v>
      </c>
      <c r="F41" s="61"/>
      <c r="G41" s="61">
        <v>20</v>
      </c>
      <c r="H41" s="61">
        <v>158</v>
      </c>
      <c r="I41" s="61"/>
      <c r="J41" s="93" t="s">
        <v>241</v>
      </c>
      <c r="K41" s="93"/>
      <c r="L41" s="95"/>
      <c r="M41" s="95"/>
      <c r="N41" s="38"/>
      <c r="O41" s="38"/>
      <c r="P41" s="97"/>
      <c r="Q41" s="127"/>
    </row>
    <row r="42" ht="25" customHeight="1" spans="2:17">
      <c r="B42" s="53">
        <v>3</v>
      </c>
      <c r="C42" s="36" t="s">
        <v>242</v>
      </c>
      <c r="D42" s="36"/>
      <c r="E42" s="61">
        <v>100</v>
      </c>
      <c r="F42" s="61"/>
      <c r="G42" s="61">
        <v>1</v>
      </c>
      <c r="H42" s="61">
        <v>-100</v>
      </c>
      <c r="I42" s="61"/>
      <c r="J42" s="93" t="s">
        <v>243</v>
      </c>
      <c r="K42" s="93"/>
      <c r="L42" s="95"/>
      <c r="M42" s="95"/>
      <c r="N42" s="38"/>
      <c r="O42" s="38"/>
      <c r="P42" s="97" t="s">
        <v>244</v>
      </c>
      <c r="Q42" s="127"/>
    </row>
    <row r="43" ht="25" customHeight="1" spans="2:17">
      <c r="B43" s="53">
        <v>4</v>
      </c>
      <c r="C43" s="36" t="s">
        <v>245</v>
      </c>
      <c r="D43" s="36"/>
      <c r="E43" s="61">
        <v>300</v>
      </c>
      <c r="F43" s="61"/>
      <c r="G43" s="61">
        <v>1</v>
      </c>
      <c r="H43" s="61">
        <v>300</v>
      </c>
      <c r="I43" s="61"/>
      <c r="J43" s="93" t="s">
        <v>246</v>
      </c>
      <c r="K43" s="93"/>
      <c r="L43" s="95"/>
      <c r="M43" s="95"/>
      <c r="N43" s="38"/>
      <c r="O43" s="38"/>
      <c r="P43" s="97" t="s">
        <v>247</v>
      </c>
      <c r="Q43" s="127"/>
    </row>
    <row r="44" ht="25" customHeight="1" spans="2:17">
      <c r="B44" s="53">
        <v>5</v>
      </c>
      <c r="C44" s="36" t="s">
        <v>248</v>
      </c>
      <c r="D44" s="36"/>
      <c r="E44" s="61">
        <v>39</v>
      </c>
      <c r="F44" s="61"/>
      <c r="G44" s="61">
        <v>1</v>
      </c>
      <c r="H44" s="61">
        <v>39</v>
      </c>
      <c r="I44" s="61"/>
      <c r="J44" s="93" t="s">
        <v>249</v>
      </c>
      <c r="K44" s="93"/>
      <c r="L44" s="95"/>
      <c r="M44" s="95"/>
      <c r="N44" s="38"/>
      <c r="O44" s="38"/>
      <c r="P44" s="97"/>
      <c r="Q44" s="127"/>
    </row>
    <row r="45" ht="25" customHeight="1" spans="2:17">
      <c r="B45" s="53">
        <v>6</v>
      </c>
      <c r="C45" s="36" t="s">
        <v>250</v>
      </c>
      <c r="D45" s="36"/>
      <c r="E45" s="61">
        <v>0</v>
      </c>
      <c r="F45" s="61"/>
      <c r="G45" s="61">
        <v>0</v>
      </c>
      <c r="H45" s="61">
        <v>0</v>
      </c>
      <c r="I45" s="61"/>
      <c r="J45" s="93" t="s">
        <v>251</v>
      </c>
      <c r="K45" s="93"/>
      <c r="L45" s="95"/>
      <c r="M45" s="95"/>
      <c r="N45" s="38"/>
      <c r="O45" s="38"/>
      <c r="P45" s="97"/>
      <c r="Q45" s="127"/>
    </row>
    <row r="46" s="1" customFormat="1" ht="25" customHeight="1" spans="2:18">
      <c r="B46" s="62"/>
      <c r="C46" s="65"/>
      <c r="D46" s="65"/>
      <c r="E46" s="65"/>
      <c r="F46" s="65"/>
      <c r="G46" s="66" t="s">
        <v>83</v>
      </c>
      <c r="H46" s="67">
        <v>405.6</v>
      </c>
      <c r="I46" s="67"/>
      <c r="J46" s="98"/>
      <c r="K46" s="98"/>
      <c r="L46" s="98"/>
      <c r="M46" s="99"/>
      <c r="N46" s="98"/>
      <c r="O46" s="100"/>
      <c r="P46" s="100"/>
      <c r="Q46" s="128"/>
      <c r="R46" s="2"/>
    </row>
    <row r="47" ht="25" customHeight="1" spans="2:17">
      <c r="B47" s="62"/>
      <c r="C47" s="64" t="s">
        <v>252</v>
      </c>
      <c r="D47" s="64"/>
      <c r="E47" s="64"/>
      <c r="F47" s="68" t="s">
        <v>253</v>
      </c>
      <c r="G47" s="68"/>
      <c r="H47" s="69">
        <v>41786.4</v>
      </c>
      <c r="I47" s="69"/>
      <c r="J47" s="101"/>
      <c r="K47" s="101"/>
      <c r="L47" s="101"/>
      <c r="M47" s="102"/>
      <c r="N47" s="102"/>
      <c r="O47" s="103" t="s">
        <v>254</v>
      </c>
      <c r="P47" s="104" t="s">
        <v>255</v>
      </c>
      <c r="Q47" s="129"/>
    </row>
    <row r="48" ht="1" customHeight="1" spans="2:17">
      <c r="B48" s="70"/>
      <c r="C48" s="71"/>
      <c r="D48" s="71"/>
      <c r="E48" s="71"/>
      <c r="F48" s="72"/>
      <c r="G48" s="72"/>
      <c r="H48" s="73"/>
      <c r="I48" s="73"/>
      <c r="J48" s="105"/>
      <c r="K48" s="105"/>
      <c r="L48" s="105"/>
      <c r="M48" s="106"/>
      <c r="N48" s="106"/>
      <c r="O48" s="105"/>
      <c r="P48" s="106"/>
      <c r="Q48" s="130"/>
    </row>
    <row r="49" ht="25" customHeight="1" spans="2:17">
      <c r="B49" s="74" t="s">
        <v>256</v>
      </c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131"/>
    </row>
    <row r="50" ht="24" customHeight="1" spans="2:17">
      <c r="B50" s="77" t="s">
        <v>257</v>
      </c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132"/>
    </row>
  </sheetData>
  <mergeCells count="175">
    <mergeCell ref="B1:Q1"/>
    <mergeCell ref="B2:C2"/>
    <mergeCell ref="E2:F2"/>
    <mergeCell ref="G2:H2"/>
    <mergeCell ref="P2:Q2"/>
    <mergeCell ref="B3:D3"/>
    <mergeCell ref="E3:G3"/>
    <mergeCell ref="H3:J3"/>
    <mergeCell ref="K3:M3"/>
    <mergeCell ref="N3:P3"/>
    <mergeCell ref="B4:D4"/>
    <mergeCell ref="E4:J4"/>
    <mergeCell ref="K4:M4"/>
    <mergeCell ref="B5:E5"/>
    <mergeCell ref="F5:H5"/>
    <mergeCell ref="I5:J5"/>
    <mergeCell ref="M5:Q5"/>
    <mergeCell ref="B6:Q6"/>
    <mergeCell ref="B7:Q7"/>
    <mergeCell ref="B8:Q8"/>
    <mergeCell ref="C9:D9"/>
    <mergeCell ref="E9:F9"/>
    <mergeCell ref="G9:K9"/>
    <mergeCell ref="L9:M9"/>
    <mergeCell ref="N9:O9"/>
    <mergeCell ref="P9:Q9"/>
    <mergeCell ref="C10:D10"/>
    <mergeCell ref="E10:F10"/>
    <mergeCell ref="G10:K10"/>
    <mergeCell ref="L10:M10"/>
    <mergeCell ref="N10:O10"/>
    <mergeCell ref="P10:Q10"/>
    <mergeCell ref="C11:D11"/>
    <mergeCell ref="E11:F11"/>
    <mergeCell ref="G11:K11"/>
    <mergeCell ref="L11:M11"/>
    <mergeCell ref="N11:O11"/>
    <mergeCell ref="P11:Q11"/>
    <mergeCell ref="C12:D12"/>
    <mergeCell ref="E12:F12"/>
    <mergeCell ref="G12:K12"/>
    <mergeCell ref="L12:M12"/>
    <mergeCell ref="N12:O12"/>
    <mergeCell ref="P12:Q12"/>
    <mergeCell ref="B14:Q14"/>
    <mergeCell ref="B15:Q15"/>
    <mergeCell ref="B16:Q16"/>
    <mergeCell ref="B17:D17"/>
    <mergeCell ref="F17:G17"/>
    <mergeCell ref="H17:I17"/>
    <mergeCell ref="J17:K17"/>
    <mergeCell ref="P17:Q17"/>
    <mergeCell ref="B18:D18"/>
    <mergeCell ref="F18:G18"/>
    <mergeCell ref="H18:I18"/>
    <mergeCell ref="J18:K18"/>
    <mergeCell ref="P18:Q18"/>
    <mergeCell ref="B19:D19"/>
    <mergeCell ref="F19:G19"/>
    <mergeCell ref="H19:I19"/>
    <mergeCell ref="J19:K19"/>
    <mergeCell ref="P19:Q19"/>
    <mergeCell ref="B20:D20"/>
    <mergeCell ref="F20:G20"/>
    <mergeCell ref="H20:I20"/>
    <mergeCell ref="J20:K20"/>
    <mergeCell ref="P20:Q20"/>
    <mergeCell ref="B21:D21"/>
    <mergeCell ref="F21:G21"/>
    <mergeCell ref="H21:I21"/>
    <mergeCell ref="J21:K21"/>
    <mergeCell ref="P21:Q21"/>
    <mergeCell ref="B22:D22"/>
    <mergeCell ref="F22:G22"/>
    <mergeCell ref="H22:I22"/>
    <mergeCell ref="J22:K22"/>
    <mergeCell ref="P22:Q22"/>
    <mergeCell ref="B23:D23"/>
    <mergeCell ref="F23:G23"/>
    <mergeCell ref="H23:I23"/>
    <mergeCell ref="J23:K23"/>
    <mergeCell ref="P23:Q23"/>
    <mergeCell ref="B24:D24"/>
    <mergeCell ref="F24:G24"/>
    <mergeCell ref="H24:I24"/>
    <mergeCell ref="J24:K24"/>
    <mergeCell ref="P24:Q24"/>
    <mergeCell ref="B25:D25"/>
    <mergeCell ref="F25:G25"/>
    <mergeCell ref="H25:I25"/>
    <mergeCell ref="J25:K25"/>
    <mergeCell ref="P25:Q25"/>
    <mergeCell ref="B26:D26"/>
    <mergeCell ref="F26:G26"/>
    <mergeCell ref="H26:I26"/>
    <mergeCell ref="J26:K26"/>
    <mergeCell ref="P26:Q26"/>
    <mergeCell ref="B27:D27"/>
    <mergeCell ref="F27:G27"/>
    <mergeCell ref="H27:I27"/>
    <mergeCell ref="J27:K27"/>
    <mergeCell ref="P27:Q27"/>
    <mergeCell ref="P28:Q28"/>
    <mergeCell ref="B29:Q29"/>
    <mergeCell ref="B30:Q30"/>
    <mergeCell ref="B31:D31"/>
    <mergeCell ref="E31:F31"/>
    <mergeCell ref="I31:J31"/>
    <mergeCell ref="L31:M31"/>
    <mergeCell ref="B32:D32"/>
    <mergeCell ref="E32:F32"/>
    <mergeCell ref="I32:J32"/>
    <mergeCell ref="L32:M32"/>
    <mergeCell ref="B33:D33"/>
    <mergeCell ref="E33:F33"/>
    <mergeCell ref="I33:J33"/>
    <mergeCell ref="L33:M33"/>
    <mergeCell ref="B34:D34"/>
    <mergeCell ref="E34:F34"/>
    <mergeCell ref="I34:J34"/>
    <mergeCell ref="L34:M34"/>
    <mergeCell ref="B35:D35"/>
    <mergeCell ref="E35:F35"/>
    <mergeCell ref="I35:J35"/>
    <mergeCell ref="L35:M35"/>
    <mergeCell ref="B37:Q37"/>
    <mergeCell ref="B38:Q38"/>
    <mergeCell ref="C39:D39"/>
    <mergeCell ref="E39:F39"/>
    <mergeCell ref="H39:I39"/>
    <mergeCell ref="J39:K39"/>
    <mergeCell ref="L39:M39"/>
    <mergeCell ref="N39:O39"/>
    <mergeCell ref="P39:Q39"/>
    <mergeCell ref="C40:D40"/>
    <mergeCell ref="E40:F40"/>
    <mergeCell ref="H40:I40"/>
    <mergeCell ref="J40:K40"/>
    <mergeCell ref="P40:Q40"/>
    <mergeCell ref="C41:D41"/>
    <mergeCell ref="E41:F41"/>
    <mergeCell ref="H41:I41"/>
    <mergeCell ref="J41:K41"/>
    <mergeCell ref="P41:Q41"/>
    <mergeCell ref="C42:D42"/>
    <mergeCell ref="E42:F42"/>
    <mergeCell ref="H42:I42"/>
    <mergeCell ref="J42:K42"/>
    <mergeCell ref="P42:Q42"/>
    <mergeCell ref="C43:D43"/>
    <mergeCell ref="E43:F43"/>
    <mergeCell ref="H43:I43"/>
    <mergeCell ref="J43:K43"/>
    <mergeCell ref="P43:Q43"/>
    <mergeCell ref="C44:D44"/>
    <mergeCell ref="E44:F44"/>
    <mergeCell ref="H44:I44"/>
    <mergeCell ref="J44:K44"/>
    <mergeCell ref="P44:Q44"/>
    <mergeCell ref="C45:D45"/>
    <mergeCell ref="E45:F45"/>
    <mergeCell ref="H45:I45"/>
    <mergeCell ref="J45:K45"/>
    <mergeCell ref="P45:Q45"/>
    <mergeCell ref="H46:I46"/>
    <mergeCell ref="C47:E47"/>
    <mergeCell ref="F47:G47"/>
    <mergeCell ref="H47:I47"/>
    <mergeCell ref="P47:Q47"/>
    <mergeCell ref="B49:Q49"/>
    <mergeCell ref="B50:Q50"/>
    <mergeCell ref="B9:B10"/>
    <mergeCell ref="B11:B12"/>
    <mergeCell ref="L40:M45"/>
    <mergeCell ref="N40:O45"/>
  </mergeCells>
  <pageMargins left="1.10208333333333" right="0.393055555555556" top="0" bottom="0" header="0.5" footer="0.5"/>
  <pageSetup paperSize="5" orientation="landscape" horizontalDpi="600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R58"/>
  <sheetViews>
    <sheetView workbookViewId="0">
      <selection activeCell="B49" sqref="B49:Q49"/>
    </sheetView>
  </sheetViews>
  <sheetFormatPr defaultColWidth="9" defaultRowHeight="12"/>
  <cols>
    <col min="1" max="1" width="9" style="1"/>
    <col min="2" max="17" width="11.625" style="1" customWidth="1"/>
    <col min="18" max="18" width="9" style="2"/>
    <col min="19" max="16384" width="9" style="1"/>
  </cols>
  <sheetData>
    <row r="1" ht="24" customHeight="1" spans="2:17">
      <c r="B1" s="3" t="s">
        <v>134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107"/>
    </row>
    <row r="2" ht="25" customHeight="1" spans="2:17">
      <c r="B2" s="281" t="s">
        <v>135</v>
      </c>
      <c r="C2" s="6"/>
      <c r="D2" s="7" t="s">
        <v>60</v>
      </c>
      <c r="E2" s="8" t="s">
        <v>136</v>
      </c>
      <c r="F2" s="6"/>
      <c r="G2" s="8"/>
      <c r="H2" s="6"/>
      <c r="I2" s="79"/>
      <c r="J2" s="79"/>
      <c r="K2" s="79"/>
      <c r="L2" s="79"/>
      <c r="M2" s="79"/>
      <c r="N2" s="79"/>
      <c r="O2" s="79"/>
      <c r="P2" s="80" t="s">
        <v>137</v>
      </c>
      <c r="Q2" s="108"/>
    </row>
    <row r="3" ht="25" customHeight="1" spans="2:17">
      <c r="B3" s="9" t="s">
        <v>138</v>
      </c>
      <c r="C3" s="10"/>
      <c r="D3" s="10"/>
      <c r="E3" s="10" t="s">
        <v>139</v>
      </c>
      <c r="F3" s="10"/>
      <c r="G3" s="10"/>
      <c r="H3" s="10" t="s">
        <v>140</v>
      </c>
      <c r="I3" s="10"/>
      <c r="J3" s="10"/>
      <c r="K3" s="10" t="s">
        <v>141</v>
      </c>
      <c r="L3" s="10"/>
      <c r="M3" s="10"/>
      <c r="N3" s="81" t="s">
        <v>142</v>
      </c>
      <c r="O3" s="81"/>
      <c r="P3" s="81"/>
      <c r="Q3" s="109"/>
    </row>
    <row r="4" ht="25" customHeight="1" spans="2:17">
      <c r="B4" s="11" t="s">
        <v>143</v>
      </c>
      <c r="C4" s="12"/>
      <c r="D4" s="12"/>
      <c r="E4" s="12" t="s">
        <v>144</v>
      </c>
      <c r="F4" s="12"/>
      <c r="G4" s="12"/>
      <c r="H4" s="12"/>
      <c r="I4" s="12"/>
      <c r="J4" s="12"/>
      <c r="K4" s="82" t="s">
        <v>145</v>
      </c>
      <c r="L4" s="82"/>
      <c r="M4" s="82"/>
      <c r="N4" s="83" t="s">
        <v>146</v>
      </c>
      <c r="O4" s="83"/>
      <c r="P4" s="83"/>
      <c r="Q4" s="109"/>
    </row>
    <row r="5" ht="25" customHeight="1" spans="2:17">
      <c r="B5" s="11" t="s">
        <v>147</v>
      </c>
      <c r="C5" s="13"/>
      <c r="D5" s="13"/>
      <c r="E5" s="13"/>
      <c r="F5" s="13" t="s">
        <v>148</v>
      </c>
      <c r="G5" s="13"/>
      <c r="H5" s="13"/>
      <c r="I5" s="83" t="s">
        <v>149</v>
      </c>
      <c r="J5" s="83"/>
      <c r="K5" s="84" t="s">
        <v>146</v>
      </c>
      <c r="L5" s="85"/>
      <c r="M5" s="13" t="s">
        <v>150</v>
      </c>
      <c r="N5" s="81"/>
      <c r="O5" s="81"/>
      <c r="P5" s="81"/>
      <c r="Q5" s="110"/>
    </row>
    <row r="6" ht="25" customHeight="1" spans="2:17">
      <c r="B6" s="11" t="s">
        <v>151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11"/>
    </row>
    <row r="7" ht="1" customHeight="1" spans="2:17">
      <c r="B7" s="14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12"/>
    </row>
    <row r="8" ht="25" customHeight="1" spans="2:17">
      <c r="B8" s="16" t="s">
        <v>152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13"/>
    </row>
    <row r="9" ht="25" customHeight="1" spans="2:17">
      <c r="B9" s="18" t="s">
        <v>153</v>
      </c>
      <c r="C9" s="19" t="s">
        <v>154</v>
      </c>
      <c r="D9" s="19"/>
      <c r="E9" s="19" t="s">
        <v>155</v>
      </c>
      <c r="F9" s="20"/>
      <c r="G9" s="19" t="s">
        <v>156</v>
      </c>
      <c r="H9" s="19"/>
      <c r="I9" s="19"/>
      <c r="J9" s="19"/>
      <c r="K9" s="19"/>
      <c r="L9" s="19" t="s">
        <v>157</v>
      </c>
      <c r="M9" s="19"/>
      <c r="N9" s="19" t="s">
        <v>158</v>
      </c>
      <c r="O9" s="19"/>
      <c r="P9" s="19" t="s">
        <v>159</v>
      </c>
      <c r="Q9" s="114"/>
    </row>
    <row r="10" ht="25" customHeight="1" spans="2:17">
      <c r="B10" s="18"/>
      <c r="C10" s="21" t="s">
        <v>160</v>
      </c>
      <c r="D10" s="21"/>
      <c r="E10" s="282" t="s">
        <v>161</v>
      </c>
      <c r="F10" s="23"/>
      <c r="G10" s="22" t="s">
        <v>162</v>
      </c>
      <c r="H10" s="22"/>
      <c r="I10" s="22"/>
      <c r="J10" s="22"/>
      <c r="K10" s="22"/>
      <c r="L10" s="22" t="s">
        <v>163</v>
      </c>
      <c r="M10" s="22"/>
      <c r="N10" s="22" t="s">
        <v>164</v>
      </c>
      <c r="O10" s="22"/>
      <c r="P10" s="22" t="s">
        <v>165</v>
      </c>
      <c r="Q10" s="115"/>
    </row>
    <row r="11" ht="25" customHeight="1" spans="2:17">
      <c r="B11" s="18" t="s">
        <v>166</v>
      </c>
      <c r="C11" s="19" t="s">
        <v>154</v>
      </c>
      <c r="D11" s="19"/>
      <c r="E11" s="19" t="s">
        <v>155</v>
      </c>
      <c r="F11" s="20"/>
      <c r="G11" s="19" t="s">
        <v>156</v>
      </c>
      <c r="H11" s="19"/>
      <c r="I11" s="19"/>
      <c r="J11" s="19"/>
      <c r="K11" s="19"/>
      <c r="L11" s="19" t="s">
        <v>157</v>
      </c>
      <c r="M11" s="19"/>
      <c r="N11" s="19" t="s">
        <v>158</v>
      </c>
      <c r="O11" s="19"/>
      <c r="P11" s="19" t="s">
        <v>159</v>
      </c>
      <c r="Q11" s="114"/>
    </row>
    <row r="12" ht="25" customHeight="1" spans="2:17">
      <c r="B12" s="18"/>
      <c r="C12" s="21" t="s">
        <v>33</v>
      </c>
      <c r="D12" s="21"/>
      <c r="E12" s="282" t="s">
        <v>167</v>
      </c>
      <c r="F12" s="23"/>
      <c r="G12" s="22" t="s">
        <v>168</v>
      </c>
      <c r="H12" s="22"/>
      <c r="I12" s="22"/>
      <c r="J12" s="22"/>
      <c r="K12" s="22"/>
      <c r="L12" s="22" t="s">
        <v>169</v>
      </c>
      <c r="M12" s="22"/>
      <c r="N12" s="22" t="s">
        <v>170</v>
      </c>
      <c r="O12" s="22"/>
      <c r="P12" s="22" t="s">
        <v>171</v>
      </c>
      <c r="Q12" s="115"/>
    </row>
    <row r="13" ht="1" customHeight="1" spans="2:17">
      <c r="B13" s="24"/>
      <c r="C13" s="25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116"/>
    </row>
    <row r="14" ht="25" customHeight="1" spans="2:17">
      <c r="B14" s="27" t="s">
        <v>172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117"/>
    </row>
    <row r="15" ht="1" customHeight="1" spans="2:17">
      <c r="B15" s="29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118"/>
    </row>
    <row r="16" ht="25" customHeight="1" spans="2:17">
      <c r="B16" s="31" t="s">
        <v>173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13"/>
    </row>
    <row r="17" ht="25" customHeight="1" spans="2:17">
      <c r="B17" s="18" t="s">
        <v>174</v>
      </c>
      <c r="C17" s="19"/>
      <c r="D17" s="19"/>
      <c r="E17" s="19" t="s">
        <v>175</v>
      </c>
      <c r="F17" s="19" t="s">
        <v>176</v>
      </c>
      <c r="G17" s="19"/>
      <c r="H17" s="19" t="s">
        <v>177</v>
      </c>
      <c r="I17" s="19"/>
      <c r="J17" s="19" t="s">
        <v>178</v>
      </c>
      <c r="K17" s="19"/>
      <c r="L17" s="19" t="s">
        <v>179</v>
      </c>
      <c r="M17" s="19" t="s">
        <v>180</v>
      </c>
      <c r="N17" s="52" t="s">
        <v>181</v>
      </c>
      <c r="O17" s="19" t="s">
        <v>182</v>
      </c>
      <c r="P17" s="19" t="s">
        <v>183</v>
      </c>
      <c r="Q17" s="114"/>
    </row>
    <row r="18" ht="25" customHeight="1" spans="2:17">
      <c r="B18" s="32" t="s">
        <v>184</v>
      </c>
      <c r="C18" s="33"/>
      <c r="D18" s="33"/>
      <c r="E18" s="34" t="s">
        <v>185</v>
      </c>
      <c r="F18" s="35">
        <v>43756.8541666667</v>
      </c>
      <c r="G18" s="35"/>
      <c r="H18" s="36" t="s">
        <v>186</v>
      </c>
      <c r="I18" s="36"/>
      <c r="J18" s="38" t="s">
        <v>187</v>
      </c>
      <c r="K18" s="38"/>
      <c r="L18" s="38" t="s">
        <v>188</v>
      </c>
      <c r="M18" s="38">
        <v>1</v>
      </c>
      <c r="N18" s="38">
        <v>1</v>
      </c>
      <c r="O18" s="38">
        <v>60</v>
      </c>
      <c r="P18" s="86" t="s">
        <v>258</v>
      </c>
      <c r="Q18" s="119"/>
    </row>
    <row r="19" ht="25" customHeight="1" spans="2:17">
      <c r="B19" s="32" t="s">
        <v>190</v>
      </c>
      <c r="C19" s="33"/>
      <c r="D19" s="33"/>
      <c r="E19" s="34" t="s">
        <v>191</v>
      </c>
      <c r="F19" s="35">
        <v>43756.8541666667</v>
      </c>
      <c r="G19" s="35"/>
      <c r="H19" s="36" t="s">
        <v>192</v>
      </c>
      <c r="I19" s="36"/>
      <c r="J19" s="38" t="s">
        <v>187</v>
      </c>
      <c r="K19" s="38"/>
      <c r="L19" s="38" t="s">
        <v>188</v>
      </c>
      <c r="M19" s="38">
        <v>1</v>
      </c>
      <c r="N19" s="38">
        <v>1</v>
      </c>
      <c r="O19" s="38">
        <v>50</v>
      </c>
      <c r="P19" s="36"/>
      <c r="Q19" s="120"/>
    </row>
    <row r="20" ht="25" customHeight="1" spans="2:17">
      <c r="B20" s="37" t="s">
        <v>193</v>
      </c>
      <c r="C20" s="33"/>
      <c r="D20" s="33"/>
      <c r="E20" s="38" t="s">
        <v>194</v>
      </c>
      <c r="F20" s="35">
        <v>43756.8541666667</v>
      </c>
      <c r="G20" s="35"/>
      <c r="H20" s="36" t="s">
        <v>195</v>
      </c>
      <c r="I20" s="36"/>
      <c r="J20" s="38" t="s">
        <v>187</v>
      </c>
      <c r="K20" s="38"/>
      <c r="L20" s="38" t="s">
        <v>188</v>
      </c>
      <c r="M20" s="38">
        <v>1</v>
      </c>
      <c r="N20" s="38">
        <v>1</v>
      </c>
      <c r="O20" s="38">
        <v>12</v>
      </c>
      <c r="P20" s="36"/>
      <c r="Q20" s="120"/>
    </row>
    <row r="21" ht="25" customHeight="1" spans="2:17">
      <c r="B21" s="37" t="s">
        <v>196</v>
      </c>
      <c r="C21" s="33"/>
      <c r="D21" s="33"/>
      <c r="E21" s="38" t="s">
        <v>197</v>
      </c>
      <c r="F21" s="35">
        <v>43756.8541666667</v>
      </c>
      <c r="G21" s="35"/>
      <c r="H21" s="36" t="s">
        <v>198</v>
      </c>
      <c r="I21" s="36"/>
      <c r="J21" s="38" t="s">
        <v>187</v>
      </c>
      <c r="K21" s="38"/>
      <c r="L21" s="38" t="s">
        <v>188</v>
      </c>
      <c r="M21" s="38">
        <v>1</v>
      </c>
      <c r="N21" s="38">
        <v>1</v>
      </c>
      <c r="O21" s="38">
        <v>23</v>
      </c>
      <c r="P21" s="36"/>
      <c r="Q21" s="120"/>
    </row>
    <row r="22" ht="25" customHeight="1" spans="2:17">
      <c r="B22" s="37" t="s">
        <v>184</v>
      </c>
      <c r="C22" s="33"/>
      <c r="D22" s="33"/>
      <c r="E22" s="38" t="s">
        <v>194</v>
      </c>
      <c r="F22" s="35">
        <v>43756.8541666667</v>
      </c>
      <c r="G22" s="35"/>
      <c r="H22" s="36" t="s">
        <v>186</v>
      </c>
      <c r="I22" s="36"/>
      <c r="J22" s="38" t="s">
        <v>187</v>
      </c>
      <c r="K22" s="38"/>
      <c r="L22" s="38" t="s">
        <v>188</v>
      </c>
      <c r="M22" s="38">
        <v>1</v>
      </c>
      <c r="N22" s="38">
        <v>1</v>
      </c>
      <c r="O22" s="38">
        <v>60</v>
      </c>
      <c r="P22" s="36"/>
      <c r="Q22" s="120"/>
    </row>
    <row r="23" ht="25" customHeight="1" spans="2:17">
      <c r="B23" s="37" t="s">
        <v>190</v>
      </c>
      <c r="C23" s="33"/>
      <c r="D23" s="33"/>
      <c r="E23" s="38" t="s">
        <v>197</v>
      </c>
      <c r="F23" s="35">
        <v>43756.8541666667</v>
      </c>
      <c r="G23" s="35"/>
      <c r="H23" s="36" t="s">
        <v>192</v>
      </c>
      <c r="I23" s="36"/>
      <c r="J23" s="38" t="s">
        <v>187</v>
      </c>
      <c r="K23" s="38"/>
      <c r="L23" s="38" t="s">
        <v>188</v>
      </c>
      <c r="M23" s="38">
        <v>1</v>
      </c>
      <c r="N23" s="38">
        <v>1</v>
      </c>
      <c r="O23" s="38">
        <v>50</v>
      </c>
      <c r="P23" s="36"/>
      <c r="Q23" s="120"/>
    </row>
    <row r="24" ht="25" customHeight="1" spans="2:17">
      <c r="B24" s="39" t="s">
        <v>199</v>
      </c>
      <c r="C24" s="40"/>
      <c r="D24" s="40"/>
      <c r="E24" s="41" t="s">
        <v>200</v>
      </c>
      <c r="F24" s="42">
        <v>43756.8541666667</v>
      </c>
      <c r="G24" s="42"/>
      <c r="H24" s="43" t="s">
        <v>195</v>
      </c>
      <c r="I24" s="43"/>
      <c r="J24" s="41" t="s">
        <v>201</v>
      </c>
      <c r="K24" s="41"/>
      <c r="L24" s="41" t="s">
        <v>202</v>
      </c>
      <c r="M24" s="41" t="s">
        <v>200</v>
      </c>
      <c r="N24" s="41" t="s">
        <v>200</v>
      </c>
      <c r="O24" s="41" t="s">
        <v>200</v>
      </c>
      <c r="P24" s="36"/>
      <c r="Q24" s="120"/>
    </row>
    <row r="25" ht="25" customHeight="1" spans="2:17">
      <c r="B25" s="39" t="s">
        <v>203</v>
      </c>
      <c r="C25" s="40"/>
      <c r="D25" s="40"/>
      <c r="E25" s="41" t="s">
        <v>200</v>
      </c>
      <c r="F25" s="42">
        <v>43756.8541666667</v>
      </c>
      <c r="G25" s="42"/>
      <c r="H25" s="43" t="s">
        <v>198</v>
      </c>
      <c r="I25" s="43"/>
      <c r="J25" s="41" t="s">
        <v>201</v>
      </c>
      <c r="K25" s="41"/>
      <c r="L25" s="41" t="s">
        <v>202</v>
      </c>
      <c r="M25" s="41" t="s">
        <v>200</v>
      </c>
      <c r="N25" s="41" t="s">
        <v>200</v>
      </c>
      <c r="O25" s="41" t="s">
        <v>200</v>
      </c>
      <c r="P25" s="36"/>
      <c r="Q25" s="120"/>
    </row>
    <row r="26" ht="25" customHeight="1" spans="2:17">
      <c r="B26" s="39" t="s">
        <v>203</v>
      </c>
      <c r="C26" s="40"/>
      <c r="D26" s="40"/>
      <c r="E26" s="41" t="s">
        <v>200</v>
      </c>
      <c r="F26" s="42">
        <v>43756.8541666667</v>
      </c>
      <c r="G26" s="42"/>
      <c r="H26" s="43" t="s">
        <v>198</v>
      </c>
      <c r="I26" s="43"/>
      <c r="J26" s="41" t="s">
        <v>201</v>
      </c>
      <c r="K26" s="41"/>
      <c r="L26" s="41" t="s">
        <v>202</v>
      </c>
      <c r="M26" s="41" t="s">
        <v>200</v>
      </c>
      <c r="N26" s="41" t="s">
        <v>200</v>
      </c>
      <c r="O26" s="41" t="s">
        <v>200</v>
      </c>
      <c r="P26" s="36"/>
      <c r="Q26" s="120"/>
    </row>
    <row r="27" ht="25" customHeight="1" spans="2:17">
      <c r="B27" s="44" t="s">
        <v>204</v>
      </c>
      <c r="C27" s="45"/>
      <c r="D27" s="45"/>
      <c r="E27" s="46" t="s">
        <v>205</v>
      </c>
      <c r="F27" s="46" t="s">
        <v>206</v>
      </c>
      <c r="G27" s="46"/>
      <c r="H27" s="47" t="s">
        <v>207</v>
      </c>
      <c r="I27" s="47"/>
      <c r="J27" s="87" t="s">
        <v>208</v>
      </c>
      <c r="K27" s="87"/>
      <c r="L27" s="46" t="s">
        <v>209</v>
      </c>
      <c r="M27" s="46" t="s">
        <v>205</v>
      </c>
      <c r="N27" s="46" t="s">
        <v>205</v>
      </c>
      <c r="O27" s="46" t="s">
        <v>205</v>
      </c>
      <c r="P27" s="36"/>
      <c r="Q27" s="120"/>
    </row>
    <row r="28" ht="25" customHeight="1" spans="2:17">
      <c r="B28" s="48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33">
        <f t="shared" ref="M28:O28" si="0">SUM(M18:M27)</f>
        <v>6</v>
      </c>
      <c r="N28" s="33">
        <f t="shared" si="0"/>
        <v>6</v>
      </c>
      <c r="O28" s="54">
        <f t="shared" si="0"/>
        <v>255</v>
      </c>
      <c r="P28" s="54"/>
      <c r="Q28" s="121"/>
    </row>
    <row r="29" ht="1" customHeight="1" spans="2:17">
      <c r="B29" s="29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118"/>
    </row>
    <row r="30" ht="25" customHeight="1" spans="2:17">
      <c r="B30" s="50" t="s">
        <v>210</v>
      </c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122"/>
    </row>
    <row r="31" ht="25" customHeight="1" spans="2:17">
      <c r="B31" s="18" t="s">
        <v>174</v>
      </c>
      <c r="C31" s="19"/>
      <c r="D31" s="19"/>
      <c r="E31" s="19" t="s">
        <v>211</v>
      </c>
      <c r="F31" s="19"/>
      <c r="G31" s="19" t="s">
        <v>212</v>
      </c>
      <c r="H31" s="52" t="s">
        <v>213</v>
      </c>
      <c r="I31" s="19" t="s">
        <v>177</v>
      </c>
      <c r="J31" s="19"/>
      <c r="K31" s="19" t="s">
        <v>179</v>
      </c>
      <c r="L31" s="88" t="s">
        <v>214</v>
      </c>
      <c r="M31" s="88"/>
      <c r="N31" s="19" t="s">
        <v>215</v>
      </c>
      <c r="O31" s="19" t="s">
        <v>216</v>
      </c>
      <c r="P31" s="19" t="s">
        <v>217</v>
      </c>
      <c r="Q31" s="114" t="s">
        <v>218</v>
      </c>
    </row>
    <row r="32" ht="25" customHeight="1" spans="2:17">
      <c r="B32" s="53" t="s">
        <v>219</v>
      </c>
      <c r="C32" s="54"/>
      <c r="D32" s="54"/>
      <c r="E32" s="283" t="s">
        <v>220</v>
      </c>
      <c r="F32" s="38"/>
      <c r="G32" s="35" t="s">
        <v>221</v>
      </c>
      <c r="H32" s="55" t="s">
        <v>222</v>
      </c>
      <c r="I32" s="36" t="s">
        <v>186</v>
      </c>
      <c r="J32" s="36"/>
      <c r="K32" s="38" t="s">
        <v>188</v>
      </c>
      <c r="L32" s="89" t="s">
        <v>223</v>
      </c>
      <c r="M32" s="89"/>
      <c r="N32" s="38">
        <v>1</v>
      </c>
      <c r="O32" s="38">
        <v>0.0086</v>
      </c>
      <c r="P32" s="38">
        <v>1.43</v>
      </c>
      <c r="Q32" s="123">
        <v>100000</v>
      </c>
    </row>
    <row r="33" ht="25" customHeight="1" spans="2:17">
      <c r="B33" s="37" t="s">
        <v>190</v>
      </c>
      <c r="C33" s="33"/>
      <c r="D33" s="33"/>
      <c r="E33" s="283" t="s">
        <v>224</v>
      </c>
      <c r="F33" s="38"/>
      <c r="G33" s="35" t="s">
        <v>225</v>
      </c>
      <c r="H33" s="55" t="s">
        <v>222</v>
      </c>
      <c r="I33" s="36" t="s">
        <v>192</v>
      </c>
      <c r="J33" s="36"/>
      <c r="K33" s="38" t="s">
        <v>188</v>
      </c>
      <c r="L33" s="89" t="s">
        <v>226</v>
      </c>
      <c r="M33" s="89"/>
      <c r="N33" s="38">
        <v>1</v>
      </c>
      <c r="O33" s="38">
        <v>0.0019</v>
      </c>
      <c r="P33" s="38">
        <v>0.32</v>
      </c>
      <c r="Q33" s="124">
        <v>0.12</v>
      </c>
    </row>
    <row r="34" ht="25" customHeight="1" spans="2:17">
      <c r="B34" s="37" t="s">
        <v>193</v>
      </c>
      <c r="C34" s="33"/>
      <c r="D34" s="33"/>
      <c r="E34" s="283" t="s">
        <v>227</v>
      </c>
      <c r="F34" s="38"/>
      <c r="G34" s="35" t="s">
        <v>228</v>
      </c>
      <c r="H34" s="55" t="s">
        <v>222</v>
      </c>
      <c r="I34" s="36" t="s">
        <v>195</v>
      </c>
      <c r="J34" s="36"/>
      <c r="K34" s="38" t="s">
        <v>188</v>
      </c>
      <c r="L34" s="89" t="s">
        <v>229</v>
      </c>
      <c r="M34" s="89"/>
      <c r="N34" s="38">
        <v>1</v>
      </c>
      <c r="O34" s="38">
        <v>0.0052</v>
      </c>
      <c r="P34" s="38">
        <v>0.87</v>
      </c>
      <c r="Q34" s="124">
        <v>0.7</v>
      </c>
    </row>
    <row r="35" ht="25" customHeight="1" spans="2:17">
      <c r="B35" s="37" t="s">
        <v>196</v>
      </c>
      <c r="C35" s="33"/>
      <c r="D35" s="33"/>
      <c r="E35" s="283" t="s">
        <v>230</v>
      </c>
      <c r="F35" s="38"/>
      <c r="G35" s="35" t="s">
        <v>221</v>
      </c>
      <c r="H35" s="55" t="s">
        <v>222</v>
      </c>
      <c r="I35" s="90" t="s">
        <v>198</v>
      </c>
      <c r="J35" s="90"/>
      <c r="K35" s="41" t="s">
        <v>202</v>
      </c>
      <c r="L35" s="89" t="s">
        <v>231</v>
      </c>
      <c r="M35" s="89"/>
      <c r="N35" s="38">
        <v>1</v>
      </c>
      <c r="O35" s="38">
        <v>0.0245</v>
      </c>
      <c r="P35" s="38">
        <v>4.08</v>
      </c>
      <c r="Q35" s="124">
        <v>3.62</v>
      </c>
    </row>
    <row r="36" ht="25" customHeight="1" spans="2:17">
      <c r="B36" s="48"/>
      <c r="C36" s="49"/>
      <c r="D36" s="49"/>
      <c r="E36" s="49"/>
      <c r="F36" s="49"/>
      <c r="G36" s="33"/>
      <c r="H36" s="33"/>
      <c r="I36" s="33"/>
      <c r="J36" s="33"/>
      <c r="K36" s="33"/>
      <c r="L36" s="33"/>
      <c r="M36" s="33"/>
      <c r="N36" s="33">
        <f>SUM(N32:N35)</f>
        <v>4</v>
      </c>
      <c r="O36" s="91">
        <v>0.057</v>
      </c>
      <c r="P36" s="91">
        <v>16789</v>
      </c>
      <c r="Q36" s="125">
        <f>SUM(Q32:Q35)</f>
        <v>100004.44</v>
      </c>
    </row>
    <row r="37" ht="1" customHeight="1" spans="2:17">
      <c r="B37" s="29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118"/>
    </row>
    <row r="38" ht="25" customHeight="1" spans="2:17">
      <c r="B38" s="56" t="s">
        <v>232</v>
      </c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126"/>
    </row>
    <row r="39" ht="25" customHeight="1" spans="2:17">
      <c r="B39" s="58" t="s">
        <v>19</v>
      </c>
      <c r="C39" s="59" t="s">
        <v>66</v>
      </c>
      <c r="D39" s="60"/>
      <c r="E39" s="59" t="s">
        <v>233</v>
      </c>
      <c r="F39" s="60"/>
      <c r="G39" s="59" t="s">
        <v>234</v>
      </c>
      <c r="H39" s="59" t="s">
        <v>235</v>
      </c>
      <c r="I39" s="60"/>
      <c r="J39" s="59" t="s">
        <v>236</v>
      </c>
      <c r="K39" s="60"/>
      <c r="L39" s="92" t="s">
        <v>27</v>
      </c>
      <c r="M39" s="19"/>
      <c r="N39" s="92" t="s">
        <v>28</v>
      </c>
      <c r="O39" s="19"/>
      <c r="P39" s="92" t="s">
        <v>237</v>
      </c>
      <c r="Q39" s="114"/>
    </row>
    <row r="40" ht="25" customHeight="1" spans="2:17">
      <c r="B40" s="53">
        <v>1</v>
      </c>
      <c r="C40" s="36" t="s">
        <v>71</v>
      </c>
      <c r="D40" s="36"/>
      <c r="E40" s="61">
        <v>8.6</v>
      </c>
      <c r="F40" s="61"/>
      <c r="G40" s="61">
        <v>1</v>
      </c>
      <c r="H40" s="61">
        <v>8.6</v>
      </c>
      <c r="I40" s="61"/>
      <c r="J40" s="93" t="s">
        <v>238</v>
      </c>
      <c r="K40" s="93"/>
      <c r="L40" s="94" t="s">
        <v>239</v>
      </c>
      <c r="M40" s="95"/>
      <c r="N40" s="96" t="s">
        <v>240</v>
      </c>
      <c r="O40" s="38"/>
      <c r="P40" s="97"/>
      <c r="Q40" s="127"/>
    </row>
    <row r="41" ht="25" customHeight="1" spans="2:17">
      <c r="B41" s="53">
        <v>2</v>
      </c>
      <c r="C41" s="36" t="s">
        <v>73</v>
      </c>
      <c r="D41" s="36"/>
      <c r="E41" s="61">
        <v>7.9</v>
      </c>
      <c r="F41" s="61"/>
      <c r="G41" s="61">
        <v>20</v>
      </c>
      <c r="H41" s="61">
        <v>158</v>
      </c>
      <c r="I41" s="61"/>
      <c r="J41" s="93" t="s">
        <v>241</v>
      </c>
      <c r="K41" s="93"/>
      <c r="L41" s="95"/>
      <c r="M41" s="95"/>
      <c r="N41" s="38"/>
      <c r="O41" s="38"/>
      <c r="P41" s="97"/>
      <c r="Q41" s="127"/>
    </row>
    <row r="42" ht="25" customHeight="1" spans="2:17">
      <c r="B42" s="53">
        <v>3</v>
      </c>
      <c r="C42" s="36" t="s">
        <v>242</v>
      </c>
      <c r="D42" s="36"/>
      <c r="E42" s="61">
        <v>100</v>
      </c>
      <c r="F42" s="61"/>
      <c r="G42" s="61">
        <v>1</v>
      </c>
      <c r="H42" s="61">
        <v>-100</v>
      </c>
      <c r="I42" s="61"/>
      <c r="J42" s="93" t="s">
        <v>243</v>
      </c>
      <c r="K42" s="93"/>
      <c r="L42" s="95"/>
      <c r="M42" s="95"/>
      <c r="N42" s="38"/>
      <c r="O42" s="38"/>
      <c r="P42" s="97" t="s">
        <v>244</v>
      </c>
      <c r="Q42" s="127"/>
    </row>
    <row r="43" ht="25" customHeight="1" spans="2:17">
      <c r="B43" s="53">
        <v>4</v>
      </c>
      <c r="C43" s="36" t="s">
        <v>245</v>
      </c>
      <c r="D43" s="36"/>
      <c r="E43" s="61">
        <v>300</v>
      </c>
      <c r="F43" s="61"/>
      <c r="G43" s="61">
        <v>1</v>
      </c>
      <c r="H43" s="61">
        <v>300</v>
      </c>
      <c r="I43" s="61"/>
      <c r="J43" s="93" t="s">
        <v>246</v>
      </c>
      <c r="K43" s="93"/>
      <c r="L43" s="95"/>
      <c r="M43" s="95"/>
      <c r="N43" s="38"/>
      <c r="O43" s="38"/>
      <c r="P43" s="97" t="s">
        <v>247</v>
      </c>
      <c r="Q43" s="127"/>
    </row>
    <row r="44" ht="25" customHeight="1" spans="2:17">
      <c r="B44" s="53">
        <v>5</v>
      </c>
      <c r="C44" s="36" t="s">
        <v>248</v>
      </c>
      <c r="D44" s="36"/>
      <c r="E44" s="61">
        <v>39</v>
      </c>
      <c r="F44" s="61"/>
      <c r="G44" s="61">
        <v>1</v>
      </c>
      <c r="H44" s="61">
        <v>39</v>
      </c>
      <c r="I44" s="61"/>
      <c r="J44" s="93" t="s">
        <v>249</v>
      </c>
      <c r="K44" s="93"/>
      <c r="L44" s="95"/>
      <c r="M44" s="95"/>
      <c r="N44" s="38"/>
      <c r="O44" s="38"/>
      <c r="P44" s="97"/>
      <c r="Q44" s="127"/>
    </row>
    <row r="45" ht="25" customHeight="1" spans="2:17">
      <c r="B45" s="53">
        <v>6</v>
      </c>
      <c r="C45" s="36" t="s">
        <v>250</v>
      </c>
      <c r="D45" s="36"/>
      <c r="E45" s="61">
        <v>0</v>
      </c>
      <c r="F45" s="61"/>
      <c r="G45" s="61">
        <v>0</v>
      </c>
      <c r="H45" s="61">
        <v>0</v>
      </c>
      <c r="I45" s="61"/>
      <c r="J45" s="93" t="s">
        <v>251</v>
      </c>
      <c r="K45" s="93"/>
      <c r="L45" s="95"/>
      <c r="M45" s="95"/>
      <c r="N45" s="38"/>
      <c r="O45" s="38"/>
      <c r="P45" s="97"/>
      <c r="Q45" s="127"/>
    </row>
    <row r="46" s="1" customFormat="1" ht="25" customHeight="1" spans="2:18">
      <c r="B46" s="62"/>
      <c r="C46" s="63" t="s">
        <v>259</v>
      </c>
      <c r="D46" s="64"/>
      <c r="E46" s="64"/>
      <c r="F46" s="65"/>
      <c r="G46" s="66" t="s">
        <v>83</v>
      </c>
      <c r="H46" s="67">
        <v>405.6</v>
      </c>
      <c r="I46" s="67"/>
      <c r="J46" s="98"/>
      <c r="K46" s="98"/>
      <c r="L46" s="98"/>
      <c r="M46" s="99"/>
      <c r="N46" s="98"/>
      <c r="O46" s="100"/>
      <c r="P46" s="100"/>
      <c r="Q46" s="128"/>
      <c r="R46" s="2"/>
    </row>
    <row r="47" ht="25" customHeight="1" spans="2:17">
      <c r="B47" s="62"/>
      <c r="C47" s="64" t="s">
        <v>252</v>
      </c>
      <c r="D47" s="64"/>
      <c r="E47" s="64"/>
      <c r="F47" s="68" t="s">
        <v>253</v>
      </c>
      <c r="G47" s="68"/>
      <c r="H47" s="69">
        <v>41786.4</v>
      </c>
      <c r="I47" s="69"/>
      <c r="J47" s="101"/>
      <c r="K47" s="101"/>
      <c r="L47" s="101"/>
      <c r="M47" s="102"/>
      <c r="N47" s="102"/>
      <c r="O47" s="103" t="s">
        <v>254</v>
      </c>
      <c r="P47" s="104" t="s">
        <v>255</v>
      </c>
      <c r="Q47" s="129"/>
    </row>
    <row r="48" ht="1" customHeight="1" spans="2:17">
      <c r="B48" s="70"/>
      <c r="C48" s="71"/>
      <c r="D48" s="71"/>
      <c r="E48" s="71"/>
      <c r="F48" s="72"/>
      <c r="G48" s="72"/>
      <c r="H48" s="73"/>
      <c r="I48" s="73"/>
      <c r="J48" s="105"/>
      <c r="K48" s="105"/>
      <c r="L48" s="105"/>
      <c r="M48" s="106"/>
      <c r="N48" s="106"/>
      <c r="O48" s="105"/>
      <c r="P48" s="106"/>
      <c r="Q48" s="130"/>
    </row>
    <row r="49" ht="25" customHeight="1" spans="2:17">
      <c r="B49" s="74" t="s">
        <v>260</v>
      </c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131"/>
    </row>
    <row r="50" ht="25" customHeight="1" spans="2:17">
      <c r="B50" s="58" t="s">
        <v>19</v>
      </c>
      <c r="C50" s="59" t="s">
        <v>66</v>
      </c>
      <c r="D50" s="60"/>
      <c r="E50" s="60" t="s">
        <v>261</v>
      </c>
      <c r="F50" s="60"/>
      <c r="G50" s="60" t="s">
        <v>262</v>
      </c>
      <c r="H50" s="60" t="s">
        <v>263</v>
      </c>
      <c r="I50" s="60"/>
      <c r="J50" s="59" t="s">
        <v>236</v>
      </c>
      <c r="K50" s="60"/>
      <c r="L50" s="92" t="s">
        <v>27</v>
      </c>
      <c r="M50" s="19"/>
      <c r="N50" s="92" t="s">
        <v>28</v>
      </c>
      <c r="O50" s="19"/>
      <c r="P50" s="92" t="s">
        <v>237</v>
      </c>
      <c r="Q50" s="114"/>
    </row>
    <row r="51" ht="25" customHeight="1" spans="2:17">
      <c r="B51" s="53">
        <v>1</v>
      </c>
      <c r="C51" s="36" t="s">
        <v>71</v>
      </c>
      <c r="D51" s="36"/>
      <c r="E51" s="61">
        <v>8.6</v>
      </c>
      <c r="F51" s="61"/>
      <c r="G51" s="61">
        <v>1</v>
      </c>
      <c r="H51" s="61">
        <v>8.6</v>
      </c>
      <c r="I51" s="61"/>
      <c r="J51" s="93" t="s">
        <v>238</v>
      </c>
      <c r="K51" s="93"/>
      <c r="L51" s="94" t="s">
        <v>264</v>
      </c>
      <c r="M51" s="95"/>
      <c r="N51" s="96" t="s">
        <v>54</v>
      </c>
      <c r="O51" s="38"/>
      <c r="P51" s="97"/>
      <c r="Q51" s="127"/>
    </row>
    <row r="52" ht="25" customHeight="1" spans="2:17">
      <c r="B52" s="53">
        <v>2</v>
      </c>
      <c r="C52" s="36" t="s">
        <v>73</v>
      </c>
      <c r="D52" s="36"/>
      <c r="E52" s="61">
        <v>7.9</v>
      </c>
      <c r="F52" s="61"/>
      <c r="G52" s="61">
        <v>20</v>
      </c>
      <c r="H52" s="61">
        <v>158</v>
      </c>
      <c r="I52" s="61"/>
      <c r="J52" s="93" t="s">
        <v>241</v>
      </c>
      <c r="K52" s="93"/>
      <c r="L52" s="95"/>
      <c r="M52" s="95"/>
      <c r="N52" s="38"/>
      <c r="O52" s="38"/>
      <c r="P52" s="97"/>
      <c r="Q52" s="127"/>
    </row>
    <row r="53" ht="25" customHeight="1" spans="2:17">
      <c r="B53" s="53">
        <v>3</v>
      </c>
      <c r="C53" s="36" t="s">
        <v>242</v>
      </c>
      <c r="D53" s="36"/>
      <c r="E53" s="61">
        <v>100</v>
      </c>
      <c r="F53" s="61"/>
      <c r="G53" s="61">
        <v>1</v>
      </c>
      <c r="H53" s="61">
        <v>-100</v>
      </c>
      <c r="I53" s="61"/>
      <c r="J53" s="93" t="s">
        <v>243</v>
      </c>
      <c r="K53" s="93"/>
      <c r="L53" s="95"/>
      <c r="M53" s="95"/>
      <c r="N53" s="38"/>
      <c r="O53" s="38"/>
      <c r="P53" s="97" t="s">
        <v>244</v>
      </c>
      <c r="Q53" s="127"/>
    </row>
    <row r="54" ht="25" customHeight="1" spans="2:17">
      <c r="B54" s="53">
        <v>4</v>
      </c>
      <c r="C54" s="36" t="s">
        <v>245</v>
      </c>
      <c r="D54" s="36"/>
      <c r="E54" s="61">
        <v>300</v>
      </c>
      <c r="F54" s="61"/>
      <c r="G54" s="61">
        <v>1</v>
      </c>
      <c r="H54" s="61">
        <v>300</v>
      </c>
      <c r="I54" s="61"/>
      <c r="J54" s="93" t="s">
        <v>246</v>
      </c>
      <c r="K54" s="93"/>
      <c r="L54" s="95"/>
      <c r="M54" s="95"/>
      <c r="N54" s="38"/>
      <c r="O54" s="38"/>
      <c r="P54" s="97" t="s">
        <v>247</v>
      </c>
      <c r="Q54" s="127"/>
    </row>
    <row r="55" ht="25" customHeight="1" spans="2:17">
      <c r="B55" s="53">
        <v>5</v>
      </c>
      <c r="C55" s="36" t="s">
        <v>248</v>
      </c>
      <c r="D55" s="36"/>
      <c r="E55" s="61">
        <v>39</v>
      </c>
      <c r="F55" s="61"/>
      <c r="G55" s="61">
        <v>1</v>
      </c>
      <c r="H55" s="61">
        <v>39</v>
      </c>
      <c r="I55" s="61"/>
      <c r="J55" s="93" t="s">
        <v>249</v>
      </c>
      <c r="K55" s="93"/>
      <c r="L55" s="95"/>
      <c r="M55" s="95"/>
      <c r="N55" s="38"/>
      <c r="O55" s="38"/>
      <c r="P55" s="97"/>
      <c r="Q55" s="127"/>
    </row>
    <row r="56" ht="25" customHeight="1" spans="2:17">
      <c r="B56" s="53">
        <v>6</v>
      </c>
      <c r="C56" s="36" t="s">
        <v>250</v>
      </c>
      <c r="D56" s="36"/>
      <c r="E56" s="61">
        <v>0</v>
      </c>
      <c r="F56" s="61"/>
      <c r="G56" s="61">
        <v>0</v>
      </c>
      <c r="H56" s="61">
        <v>0</v>
      </c>
      <c r="I56" s="61"/>
      <c r="J56" s="93" t="s">
        <v>251</v>
      </c>
      <c r="K56" s="93"/>
      <c r="L56" s="95"/>
      <c r="M56" s="95"/>
      <c r="N56" s="38"/>
      <c r="O56" s="38"/>
      <c r="P56" s="97"/>
      <c r="Q56" s="127"/>
    </row>
    <row r="57" ht="25" customHeight="1" spans="2:17">
      <c r="B57" s="62"/>
      <c r="C57" s="65"/>
      <c r="D57" s="65"/>
      <c r="E57" s="65"/>
      <c r="F57" s="65"/>
      <c r="G57" s="66" t="s">
        <v>101</v>
      </c>
      <c r="H57" s="76">
        <v>405.6</v>
      </c>
      <c r="I57" s="76"/>
      <c r="J57" s="98"/>
      <c r="K57" s="98"/>
      <c r="L57" s="98"/>
      <c r="M57" s="99"/>
      <c r="N57" s="98"/>
      <c r="O57" s="103"/>
      <c r="P57" s="104"/>
      <c r="Q57" s="129"/>
    </row>
    <row r="58" ht="24" customHeight="1" spans="2:17">
      <c r="B58" s="77" t="s">
        <v>257</v>
      </c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132"/>
    </row>
  </sheetData>
  <mergeCells count="218">
    <mergeCell ref="B1:Q1"/>
    <mergeCell ref="B2:C2"/>
    <mergeCell ref="E2:F2"/>
    <mergeCell ref="G2:H2"/>
    <mergeCell ref="P2:Q2"/>
    <mergeCell ref="B3:D3"/>
    <mergeCell ref="E3:G3"/>
    <mergeCell ref="H3:J3"/>
    <mergeCell ref="K3:M3"/>
    <mergeCell ref="N3:P3"/>
    <mergeCell ref="B4:D4"/>
    <mergeCell ref="E4:J4"/>
    <mergeCell ref="K4:M4"/>
    <mergeCell ref="N4:P4"/>
    <mergeCell ref="B5:E5"/>
    <mergeCell ref="F5:H5"/>
    <mergeCell ref="I5:J5"/>
    <mergeCell ref="M5:Q5"/>
    <mergeCell ref="B6:Q6"/>
    <mergeCell ref="B7:Q7"/>
    <mergeCell ref="B8:Q8"/>
    <mergeCell ref="C9:D9"/>
    <mergeCell ref="E9:F9"/>
    <mergeCell ref="G9:K9"/>
    <mergeCell ref="L9:M9"/>
    <mergeCell ref="N9:O9"/>
    <mergeCell ref="P9:Q9"/>
    <mergeCell ref="C10:D10"/>
    <mergeCell ref="E10:F10"/>
    <mergeCell ref="G10:K10"/>
    <mergeCell ref="L10:M10"/>
    <mergeCell ref="N10:O10"/>
    <mergeCell ref="P10:Q10"/>
    <mergeCell ref="C11:D11"/>
    <mergeCell ref="E11:F11"/>
    <mergeCell ref="G11:K11"/>
    <mergeCell ref="L11:M11"/>
    <mergeCell ref="N11:O11"/>
    <mergeCell ref="P11:Q11"/>
    <mergeCell ref="C12:D12"/>
    <mergeCell ref="E12:F12"/>
    <mergeCell ref="G12:K12"/>
    <mergeCell ref="L12:M12"/>
    <mergeCell ref="N12:O12"/>
    <mergeCell ref="P12:Q12"/>
    <mergeCell ref="B14:Q14"/>
    <mergeCell ref="B15:Q15"/>
    <mergeCell ref="B16:Q16"/>
    <mergeCell ref="B17:D17"/>
    <mergeCell ref="F17:G17"/>
    <mergeCell ref="H17:I17"/>
    <mergeCell ref="J17:K17"/>
    <mergeCell ref="P17:Q17"/>
    <mergeCell ref="B18:D18"/>
    <mergeCell ref="F18:G18"/>
    <mergeCell ref="H18:I18"/>
    <mergeCell ref="J18:K18"/>
    <mergeCell ref="P18:Q18"/>
    <mergeCell ref="B19:D19"/>
    <mergeCell ref="F19:G19"/>
    <mergeCell ref="H19:I19"/>
    <mergeCell ref="J19:K19"/>
    <mergeCell ref="P19:Q19"/>
    <mergeCell ref="B20:D20"/>
    <mergeCell ref="F20:G20"/>
    <mergeCell ref="H20:I20"/>
    <mergeCell ref="J20:K20"/>
    <mergeCell ref="P20:Q20"/>
    <mergeCell ref="B21:D21"/>
    <mergeCell ref="F21:G21"/>
    <mergeCell ref="H21:I21"/>
    <mergeCell ref="J21:K21"/>
    <mergeCell ref="P21:Q21"/>
    <mergeCell ref="B22:D22"/>
    <mergeCell ref="F22:G22"/>
    <mergeCell ref="H22:I22"/>
    <mergeCell ref="J22:K22"/>
    <mergeCell ref="P22:Q22"/>
    <mergeCell ref="B23:D23"/>
    <mergeCell ref="F23:G23"/>
    <mergeCell ref="H23:I23"/>
    <mergeCell ref="J23:K23"/>
    <mergeCell ref="P23:Q23"/>
    <mergeCell ref="B24:D24"/>
    <mergeCell ref="F24:G24"/>
    <mergeCell ref="H24:I24"/>
    <mergeCell ref="J24:K24"/>
    <mergeCell ref="P24:Q24"/>
    <mergeCell ref="B25:D25"/>
    <mergeCell ref="F25:G25"/>
    <mergeCell ref="H25:I25"/>
    <mergeCell ref="J25:K25"/>
    <mergeCell ref="P25:Q25"/>
    <mergeCell ref="B26:D26"/>
    <mergeCell ref="F26:G26"/>
    <mergeCell ref="H26:I26"/>
    <mergeCell ref="J26:K26"/>
    <mergeCell ref="P26:Q26"/>
    <mergeCell ref="B27:D27"/>
    <mergeCell ref="F27:G27"/>
    <mergeCell ref="H27:I27"/>
    <mergeCell ref="J27:K27"/>
    <mergeCell ref="P27:Q27"/>
    <mergeCell ref="P28:Q28"/>
    <mergeCell ref="B29:Q29"/>
    <mergeCell ref="B30:Q30"/>
    <mergeCell ref="B31:D31"/>
    <mergeCell ref="E31:F31"/>
    <mergeCell ref="I31:J31"/>
    <mergeCell ref="L31:M31"/>
    <mergeCell ref="B32:D32"/>
    <mergeCell ref="E32:F32"/>
    <mergeCell ref="I32:J32"/>
    <mergeCell ref="L32:M32"/>
    <mergeCell ref="B33:D33"/>
    <mergeCell ref="E33:F33"/>
    <mergeCell ref="I33:J33"/>
    <mergeCell ref="L33:M33"/>
    <mergeCell ref="B34:D34"/>
    <mergeCell ref="E34:F34"/>
    <mergeCell ref="I34:J34"/>
    <mergeCell ref="L34:M34"/>
    <mergeCell ref="B35:D35"/>
    <mergeCell ref="E35:F35"/>
    <mergeCell ref="I35:J35"/>
    <mergeCell ref="L35:M35"/>
    <mergeCell ref="B37:Q37"/>
    <mergeCell ref="B38:Q38"/>
    <mergeCell ref="C39:D39"/>
    <mergeCell ref="E39:F39"/>
    <mergeCell ref="H39:I39"/>
    <mergeCell ref="J39:K39"/>
    <mergeCell ref="L39:M39"/>
    <mergeCell ref="N39:O39"/>
    <mergeCell ref="P39:Q39"/>
    <mergeCell ref="C40:D40"/>
    <mergeCell ref="E40:F40"/>
    <mergeCell ref="H40:I40"/>
    <mergeCell ref="J40:K40"/>
    <mergeCell ref="P40:Q40"/>
    <mergeCell ref="C41:D41"/>
    <mergeCell ref="E41:F41"/>
    <mergeCell ref="H41:I41"/>
    <mergeCell ref="J41:K41"/>
    <mergeCell ref="P41:Q41"/>
    <mergeCell ref="C42:D42"/>
    <mergeCell ref="E42:F42"/>
    <mergeCell ref="H42:I42"/>
    <mergeCell ref="J42:K42"/>
    <mergeCell ref="P42:Q42"/>
    <mergeCell ref="C43:D43"/>
    <mergeCell ref="E43:F43"/>
    <mergeCell ref="H43:I43"/>
    <mergeCell ref="J43:K43"/>
    <mergeCell ref="P43:Q43"/>
    <mergeCell ref="C44:D44"/>
    <mergeCell ref="E44:F44"/>
    <mergeCell ref="H44:I44"/>
    <mergeCell ref="J44:K44"/>
    <mergeCell ref="P44:Q44"/>
    <mergeCell ref="C45:D45"/>
    <mergeCell ref="E45:F45"/>
    <mergeCell ref="H45:I45"/>
    <mergeCell ref="J45:K45"/>
    <mergeCell ref="P45:Q45"/>
    <mergeCell ref="C46:E46"/>
    <mergeCell ref="H46:I46"/>
    <mergeCell ref="C47:E47"/>
    <mergeCell ref="F47:G47"/>
    <mergeCell ref="H47:I47"/>
    <mergeCell ref="P47:Q47"/>
    <mergeCell ref="B49:Q49"/>
    <mergeCell ref="C50:D50"/>
    <mergeCell ref="E50:F50"/>
    <mergeCell ref="H50:I50"/>
    <mergeCell ref="J50:K50"/>
    <mergeCell ref="L50:M50"/>
    <mergeCell ref="N50:O50"/>
    <mergeCell ref="P50:Q50"/>
    <mergeCell ref="C51:D51"/>
    <mergeCell ref="E51:F51"/>
    <mergeCell ref="H51:I51"/>
    <mergeCell ref="J51:K51"/>
    <mergeCell ref="P51:Q51"/>
    <mergeCell ref="C52:D52"/>
    <mergeCell ref="E52:F52"/>
    <mergeCell ref="H52:I52"/>
    <mergeCell ref="J52:K52"/>
    <mergeCell ref="P52:Q52"/>
    <mergeCell ref="C53:D53"/>
    <mergeCell ref="E53:F53"/>
    <mergeCell ref="H53:I53"/>
    <mergeCell ref="J53:K53"/>
    <mergeCell ref="P53:Q53"/>
    <mergeCell ref="C54:D54"/>
    <mergeCell ref="E54:F54"/>
    <mergeCell ref="H54:I54"/>
    <mergeCell ref="J54:K54"/>
    <mergeCell ref="P54:Q54"/>
    <mergeCell ref="C55:D55"/>
    <mergeCell ref="E55:F55"/>
    <mergeCell ref="H55:I55"/>
    <mergeCell ref="J55:K55"/>
    <mergeCell ref="P55:Q55"/>
    <mergeCell ref="C56:D56"/>
    <mergeCell ref="E56:F56"/>
    <mergeCell ref="H56:I56"/>
    <mergeCell ref="J56:K56"/>
    <mergeCell ref="P56:Q56"/>
    <mergeCell ref="H57:I57"/>
    <mergeCell ref="P57:Q57"/>
    <mergeCell ref="B58:Q58"/>
    <mergeCell ref="B9:B10"/>
    <mergeCell ref="B11:B12"/>
    <mergeCell ref="L40:M45"/>
    <mergeCell ref="N40:O45"/>
    <mergeCell ref="L51:M56"/>
    <mergeCell ref="N51:O56"/>
  </mergeCells>
  <pageMargins left="1.10208333333333" right="0.393055555555556" top="0" bottom="0" header="0.5" footer="0.5"/>
  <pageSetup paperSize="5" orientation="landscape" horizontalDpi="600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">
    <comment s:ref="K6" rgbClr="8FCA34"/>
    <comment s:ref="K8" rgbClr="3BCA0C"/>
    <comment s:ref="L8" rgbClr="3BCA0C"/>
  </commentList>
  <commentList sheetStid="6">
    <comment s:ref="B4" rgbClr="4F9D9C"/>
    <comment s:ref="P18" rgbClr="4F9D9C"/>
    <comment s:ref="E21" rgbClr="4F9D9C"/>
  </commentList>
  <commentList sheetStid="7">
    <comment s:ref="B4" rgbClr="4F9D9C"/>
    <comment s:ref="P18" rgbClr="4F9D9C"/>
    <comment s:ref="E21" rgbClr="4F9D9C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列表</vt:lpstr>
      <vt:lpstr>变更对话框</vt:lpstr>
      <vt:lpstr>变更 汇率换算</vt:lpstr>
      <vt:lpstr>变更 编辑换算</vt:lpstr>
      <vt:lpstr>确认支付</vt:lpstr>
      <vt:lpstr>订单详情</vt:lpstr>
      <vt:lpstr>订单详情  展开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2019-10-28T04:04:00Z</dcterms:created>
  <dcterms:modified xsi:type="dcterms:W3CDTF">2022-06-08T16:12:07Z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BAE75D28932B476BB49E1A3F9B8D98FD</vt:lpwstr>
  </property>
</Properties>
</file>