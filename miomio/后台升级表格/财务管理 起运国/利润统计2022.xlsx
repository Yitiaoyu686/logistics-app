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5" r:id="rId1"/>
    <sheet name="正常" sheetId="3" r:id="rId2"/>
    <sheet name="展开" sheetId="4" r:id="rId3"/>
  </sheets>
  <calcPr calcId="144525"/>
</workbook>
</file>

<file path=xl/sharedStrings.xml><?xml version="1.0" encoding="utf-8"?>
<sst xmlns="http://schemas.openxmlformats.org/spreadsheetml/2006/main" count="699" uniqueCount="206">
  <si>
    <t>全部</t>
  </si>
  <si>
    <t>尼日利亚</t>
  </si>
  <si>
    <t>几内亚</t>
  </si>
  <si>
    <t>中国</t>
  </si>
  <si>
    <t>广州</t>
  </si>
  <si>
    <t>上海</t>
  </si>
  <si>
    <t>香港</t>
  </si>
  <si>
    <t>白云区站点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</si>
  <si>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</si>
  <si>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</si>
  <si>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</si>
  <si>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</si>
  <si>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</si>
  <si>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</si>
  <si>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</si>
  <si>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</si>
  <si>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</si>
  <si>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</si>
  <si>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</si>
  <si>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</si>
  <si>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</si>
  <si>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</si>
  <si>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</si>
  <si>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</si>
  <si>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</si>
  <si>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</si>
  <si>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</si>
  <si>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</si>
  <si>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</si>
  <si>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</si>
  <si>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</si>
  <si>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</si>
  <si>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</si>
  <si>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</si>
  <si>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</si>
  <si>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</si>
  <si>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</si>
  <si>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</si>
  <si>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</si>
  <si>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利润CNY</t>
  </si>
  <si>
    <t>收回比例</t>
  </si>
  <si>
    <t>操作</t>
  </si>
  <si>
    <t>更新日期</t>
  </si>
  <si>
    <t>海珠区站点        JOB100156</t>
  </si>
  <si>
    <t>CAN.CHN→LOS.NGN</t>
  </si>
  <si>
    <t>普快</t>
  </si>
  <si>
    <t>ET</t>
  </si>
  <si>
    <t>071-35618004</t>
  </si>
  <si>
    <t>CAN</t>
  </si>
  <si>
    <t>ACC</t>
  </si>
  <si>
    <t>查看</t>
  </si>
  <si>
    <t>海珠区站点           JOB100157</t>
  </si>
  <si>
    <t>福田区站点JOB100158</t>
  </si>
  <si>
    <t>特快</t>
  </si>
  <si>
    <t>071-35539265</t>
  </si>
  <si>
    <t>海珠区站点    JOB100145</t>
  </si>
  <si>
    <t>海珠区站点    JOB100137</t>
  </si>
  <si>
    <t>071-35545580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</si>
  <si>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</si>
  <si>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</si>
  <si>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</si>
  <si>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</si>
  <si>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</si>
  <si>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</si>
  <si>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</si>
  <si>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</si>
  <si>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</si>
  <si>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</si>
  <si>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</si>
  <si>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</si>
  <si>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</si>
  <si>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</si>
  <si>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</si>
  <si>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福田区站点JOB100120</t>
  </si>
  <si>
    <t>海珠区站点JOB100119</t>
  </si>
  <si>
    <t>福田区站点JOB100121</t>
  </si>
  <si>
    <t>海珠区站点JOB100120</t>
  </si>
  <si>
    <t>福田区站点JOB100122</t>
  </si>
  <si>
    <t>海珠区站点JOB100121</t>
  </si>
  <si>
    <t>福田区站点JOB100123</t>
  </si>
  <si>
    <t>海珠区站点JOB100122</t>
  </si>
  <si>
    <t>福田区站点JOB100124</t>
  </si>
  <si>
    <t>海珠区站点JOB100123</t>
  </si>
  <si>
    <t>福田区站点JOB100125</t>
  </si>
  <si>
    <t>海珠区站点JOB100124</t>
  </si>
  <si>
    <t>福田区站点JOB100126</t>
  </si>
  <si>
    <t>海珠区站点JOB100125</t>
  </si>
  <si>
    <t>福田区站点JOB100127</t>
  </si>
  <si>
    <t>海珠区站点JOB100126</t>
  </si>
  <si>
    <t>福田区站点JOB100128</t>
  </si>
  <si>
    <t>海珠区站点JOB100127</t>
  </si>
  <si>
    <t>福田区站点JOB100129</t>
  </si>
  <si>
    <t>海珠区站点JOB100128</t>
  </si>
  <si>
    <t>福田区站点JOB100130</t>
  </si>
  <si>
    <t>海珠区站点JOB100129</t>
  </si>
  <si>
    <t>福田区站点JOB100131</t>
  </si>
  <si>
    <t>海珠区站点JOB100130</t>
  </si>
  <si>
    <t>福田区站点JOB100132</t>
  </si>
  <si>
    <t>海珠区站点JOB100131</t>
  </si>
  <si>
    <t>福田区站点JOB100133</t>
  </si>
  <si>
    <t>海珠区站点JOB100132</t>
  </si>
  <si>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</si>
  <si>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</si>
  <si>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</si>
  <si>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</si>
  <si>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</si>
  <si>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</si>
  <si>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</si>
  <si>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</si>
  <si>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</si>
  <si>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</si>
  <si>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</si>
  <si>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站点/JOB</t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</si>
  <si>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</si>
  <si>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</si>
  <si>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</si>
  <si>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</si>
  <si>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</si>
  <si>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</si>
  <si>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利润比例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</si>
  <si>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</si>
  <si>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</si>
  <si>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</si>
  <si>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</si>
  <si>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</si>
  <si>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</si>
  <si>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9"/>
        <color theme="1"/>
        <rFont val="宋体"/>
        <charset val="134"/>
      </rPr>
      <t>订单应收</t>
    </r>
  </si>
  <si>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应付成本</t>
    </r>
  </si>
  <si>
    <r>
      <rPr>
        <b/>
        <sz val="9"/>
        <color theme="1"/>
        <rFont val="宋体"/>
        <charset val="134"/>
      </rPr>
      <t>利润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</si>
  <si>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预付</t>
    </r>
    <r>
      <rPr>
        <b/>
        <sz val="9"/>
        <color theme="1"/>
        <rFont val="Arial"/>
        <charset val="134"/>
      </rPr>
      <t xml:space="preserve"> CNY</t>
    </r>
  </si>
  <si>
    <r>
      <rPr>
        <b/>
        <sz val="9"/>
        <color theme="1"/>
        <rFont val="宋体"/>
        <charset val="134"/>
      </rPr>
      <t>到付</t>
    </r>
    <r>
      <rPr>
        <b/>
        <sz val="9"/>
        <color theme="1"/>
        <rFont val="Arial"/>
        <charset val="134"/>
      </rPr>
      <t xml:space="preserve"> CNY</t>
    </r>
  </si>
  <si>
    <r>
      <rPr>
        <b/>
        <sz val="9"/>
        <color theme="1"/>
        <rFont val="宋体"/>
        <charset val="134"/>
      </rPr>
      <t>合计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</si>
  <si>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起运国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</si>
  <si>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到达国</t>
    </r>
    <r>
      <rPr>
        <b/>
        <sz val="9"/>
        <color theme="1"/>
        <rFont val="Arial"/>
        <charset val="134"/>
      </rPr>
      <t>CNY</t>
    </r>
  </si>
  <si>
    <r>
      <rPr>
        <b/>
        <sz val="11"/>
        <color theme="1"/>
        <rFont val="宋体"/>
        <charset val="134"/>
      </rPr>
      <t xml:space="preserve">订单利润 </t>
    </r>
    <r>
      <rPr>
        <b/>
        <sz val="11"/>
        <color rgb="FF0070C0"/>
        <rFont val="宋体"/>
        <charset val="134"/>
      </rPr>
      <t>收起</t>
    </r>
  </si>
  <si>
    <r>
      <rPr>
        <b/>
        <sz val="10"/>
        <color rgb="FF393939"/>
        <rFont val="Microsoft JhengHei"/>
        <charset val="134"/>
      </rPr>
      <t xml:space="preserve">起运国应付明细  </t>
    </r>
    <r>
      <rPr>
        <b/>
        <sz val="11"/>
        <color rgb="FF0070C0"/>
        <rFont val="Microsoft JhengHei"/>
        <charset val="134"/>
      </rPr>
      <t>收起</t>
    </r>
  </si>
  <si>
    <r>
      <rPr>
        <b/>
        <sz val="10"/>
        <color rgb="FF393939"/>
        <rFont val="Microsoft JhengHei"/>
        <charset val="134"/>
      </rPr>
      <t xml:space="preserve">目的国应付明细  </t>
    </r>
    <r>
      <rPr>
        <b/>
        <sz val="11"/>
        <color rgb="FF0070C0"/>
        <rFont val="Microsoft JhengHei"/>
        <charset val="134"/>
      </rPr>
      <t>收起</t>
    </r>
  </si>
  <si>
    <t>返回</t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</si>
  <si>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</si>
  <si>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</si>
  <si>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t>业务员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</si>
  <si>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</si>
  <si>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</si>
  <si>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成本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</si>
  <si>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利润比列</t>
    </r>
  </si>
  <si>
    <t>支付方式</t>
  </si>
  <si>
    <t>支付状态/日期</t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</si>
  <si>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</si>
  <si>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sz val="9"/>
        <color theme="1"/>
        <rFont val="宋体"/>
        <charset val="134"/>
      </rPr>
      <t>敏敏</t>
    </r>
    <r>
      <rPr>
        <sz val="9"/>
        <color theme="1"/>
        <rFont val="Arial"/>
        <charset val="134"/>
      </rPr>
      <t>lena</t>
    </r>
  </si>
  <si>
    <t>预付</t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</si>
  <si>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15:01:22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</si>
  <si>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15:01:23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</si>
  <si>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15:01:24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</si>
  <si>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15:01:25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</si>
  <si>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</si>
  <si>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15:01:26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</si>
  <si>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15:01:27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</si>
  <si>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15:01:28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</si>
  <si>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t>到付</t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</si>
  <si>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2019/8/28 15:01:29</t>
    </r>
    <r>
      <rPr>
        <sz val="8"/>
        <color rgb="FF0070C0"/>
        <rFont val="Arial"/>
        <charset val="134"/>
      </rPr>
      <t xml:space="preserve">  </t>
    </r>
    <r>
      <rPr>
        <sz val="8"/>
        <color rgb="FF0070C0"/>
        <rFont val="宋体"/>
        <charset val="134"/>
      </rPr>
      <t>查看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</si>
  <si>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</si>
  <si>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未付</t>
  </si>
  <si>
    <t>起运国应付明细</t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</si>
  <si>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</si>
  <si>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>供应商</t>
    </r>
  </si>
  <si>
    <r>
      <rPr>
        <b/>
        <sz val="9"/>
        <color theme="1"/>
        <rFont val="宋体"/>
        <charset val="134"/>
      </rPr>
      <t>项目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</si>
  <si>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CNY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</si>
  <si>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</si>
  <si>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</si>
  <si>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支付状态</t>
    </r>
  </si>
  <si>
    <r>
      <rPr>
        <b/>
        <sz val="9"/>
        <color theme="1"/>
        <rFont val="宋体"/>
        <charset val="134"/>
      </rPr>
      <t>支付途径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</si>
  <si>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r>
      <rPr>
        <b/>
        <sz val="9"/>
        <color theme="1"/>
        <rFont val="宋体"/>
        <charset val="134"/>
      </rPr>
      <t>审核状态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</si>
  <si>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</si>
  <si>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</si>
  <si>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</si>
  <si>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r>
      <rPr>
        <sz val="8"/>
        <color rgb="FF393939"/>
        <rFont val="Arial"/>
        <charset val="134"/>
      </rPr>
      <t xml:space="preserve">COMPANY ACC 02765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</si>
  <si>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</si>
  <si>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</si>
  <si>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</si>
  <si>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</si>
  <si>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rgb="FF393939"/>
        <rFont val="Arial"/>
        <charset val="134"/>
      </rPr>
      <t xml:space="preserve">WECHAT PAY 02765       2019/8/28 15:01:17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</si>
  <si>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</si>
  <si>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</si>
  <si>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rgb="FF393939"/>
        <rFont val="Arial"/>
        <charset val="134"/>
      </rPr>
      <t xml:space="preserve">COMPANY ACC 02765    2019/8/28 15:01:18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</si>
  <si>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</si>
  <si>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rgb="FF393939"/>
        <rFont val="Arial"/>
        <charset val="134"/>
      </rPr>
      <t xml:space="preserve">WECHAT PAY 02765       2019/8/28 15:01:18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</si>
  <si>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</si>
  <si>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rgb="FF393939"/>
        <rFont val="Arial"/>
        <charset val="134"/>
      </rPr>
      <t xml:space="preserve">COMPANY ACC 02765    2019/8/28 15:01:19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</si>
  <si>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</si>
  <si>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rgb="FF393939"/>
        <rFont val="Arial"/>
        <charset val="134"/>
      </rPr>
      <t xml:space="preserve">WECHAT PAY 02765       2019/8/28 15:01:19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</si>
  <si>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</si>
  <si>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rgb="FF393939"/>
        <rFont val="Arial"/>
        <charset val="134"/>
      </rPr>
      <t xml:space="preserve">COMPANY ACC 02765    2019/8/28 15:01:20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</si>
  <si>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</si>
  <si>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rgb="FF393939"/>
        <rFont val="Arial"/>
        <charset val="134"/>
      </rPr>
      <t xml:space="preserve">WECHAT PAY 02765   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</si>
  <si>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15:01:21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</si>
  <si>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15:01:21  </t>
    </r>
    <r>
      <rPr>
        <sz val="8"/>
        <color rgb="FF0070C0"/>
        <rFont val="宋体"/>
        <charset val="134"/>
      </rPr>
      <t>查看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</si>
  <si>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</si>
  <si>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</si>
  <si>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</si>
  <si>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t>目的国应付明细</t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</si>
  <si>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</si>
  <si>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折合</t>
    </r>
    <r>
      <rPr>
        <b/>
        <sz val="9"/>
        <color rgb="FF393939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</si>
  <si>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汇率</t>
    </r>
  </si>
  <si>
    <r>
      <rPr>
        <b/>
        <sz val="9"/>
        <color theme="1"/>
        <rFont val="宋体"/>
        <charset val="134"/>
      </rPr>
      <t>换算日期</t>
    </r>
  </si>
  <si>
    <t>NGN93.00=CNY1.00</t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</si>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</sst>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_ "/>
    <numFmt numFmtId="179" formatCode="yyyy/m/d\ h:mm;@"/>
    <numFmt numFmtId="180" formatCode="0.00_ "/>
  </numFmts>
  <fonts count="6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sz val="9"/>
      <color rgb="FF0070C0"/>
      <name val="Arial"/>
      <charset val="134"/>
    </font>
    <font>
      <b/>
      <sz val="10"/>
      <color theme="1"/>
      <name val="Arial"/>
      <charset val="134"/>
    </font>
    <font>
      <b/>
      <sz val="10"/>
      <color rgb="FF393939"/>
      <name val="Microsoft JhengHei"/>
      <charset val="134"/>
    </font>
    <font>
      <b/>
      <sz val="10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sz val="9"/>
      <color rgb="FFFF000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b/>
      <sz val="12"/>
      <color rgb="FFFF000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sz val="8"/>
      <color rgb="FF0070C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9"/>
      <color theme="0"/>
      <name val="Arial"/>
      <charset val="134"/>
    </font>
    <font>
      <sz val="10"/>
      <color rgb="FF393939"/>
      <name val="Microsoft JhengHei"/>
      <charset val="134"/>
    </font>
    <font>
      <b/>
      <sz val="18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70C0"/>
      <name val="宋体"/>
      <charset val="134"/>
    </font>
    <font>
      <sz val="8"/>
      <color rgb="FF0070C0"/>
      <name val="宋体"/>
      <charset val="134"/>
    </font>
    <font>
      <b/>
      <sz val="9"/>
      <color rgb="FF393939"/>
      <name val="宋体"/>
      <charset val="134"/>
    </font>
    <font>
      <b/>
      <sz val="12"/>
      <color theme="0"/>
      <name val="Arial"/>
      <charset val="134"/>
    </font>
    <font>
      <b/>
      <sz val="11"/>
      <color rgb="FF0070C0"/>
      <name val="Microsoft JhengHe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 style="thin">
        <color theme="2" tint="-0.1"/>
      </left>
      <right/>
      <top style="thin">
        <color theme="2" tint="-0.1"/>
      </top>
      <bottom/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5" borderId="15" applyNumberFormat="0" applyFont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19" borderId="18" applyNumberFormat="0" applyAlignment="0" applyProtection="0">
      <alignment vertical="center"/>
    </xf>
    <xf numFmtId="0" fontId="51" fillId="19" borderId="14" applyNumberFormat="0" applyAlignment="0" applyProtection="0">
      <alignment vertical="center"/>
    </xf>
    <xf numFmtId="0" fontId="52" fillId="20" borderId="19" applyNumberFormat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9" fillId="2" borderId="0" xfId="0" applyNumberFormat="1" applyFont="1" applyFill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7" fontId="1" fillId="2" borderId="7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78" fontId="9" fillId="4" borderId="3" xfId="0" applyNumberFormat="1" applyFont="1" applyFill="1" applyBorder="1" applyAlignment="1">
      <alignment horizontal="center" vertical="center"/>
    </xf>
    <xf numFmtId="178" fontId="9" fillId="4" borderId="0" xfId="0" applyNumberFormat="1" applyFont="1" applyFill="1" applyBorder="1" applyAlignment="1">
      <alignment horizontal="center" vertical="center"/>
    </xf>
    <xf numFmtId="178" fontId="9" fillId="4" borderId="0" xfId="0" applyNumberFormat="1" applyFont="1" applyFill="1" applyAlignment="1">
      <alignment horizontal="center" vertical="center"/>
    </xf>
    <xf numFmtId="178" fontId="10" fillId="4" borderId="0" xfId="0" applyNumberFormat="1" applyFont="1" applyFill="1" applyAlignment="1">
      <alignment horizontal="center" vertical="center"/>
    </xf>
    <xf numFmtId="178" fontId="10" fillId="4" borderId="0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 wrapText="1"/>
    </xf>
    <xf numFmtId="178" fontId="11" fillId="2" borderId="0" xfId="0" applyNumberFormat="1" applyFont="1" applyFill="1" applyBorder="1" applyAlignment="1">
      <alignment horizontal="center" vertical="center"/>
    </xf>
    <xf numFmtId="178" fontId="11" fillId="2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8" fontId="9" fillId="4" borderId="3" xfId="0" applyNumberFormat="1" applyFont="1" applyFill="1" applyBorder="1" applyAlignment="1">
      <alignment horizontal="center" vertical="center" wrapText="1"/>
    </xf>
    <xf numFmtId="178" fontId="10" fillId="4" borderId="4" xfId="0" applyNumberFormat="1" applyFont="1" applyFill="1" applyBorder="1" applyAlignment="1">
      <alignment horizontal="center" vertical="center" wrapText="1"/>
    </xf>
    <xf numFmtId="178" fontId="1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7" fontId="1" fillId="4" borderId="0" xfId="0" applyNumberFormat="1" applyFont="1" applyFill="1" applyAlignment="1">
      <alignment vertical="center" wrapText="1"/>
    </xf>
    <xf numFmtId="177" fontId="12" fillId="4" borderId="0" xfId="0" applyNumberFormat="1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15" fillId="4" borderId="3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7" fontId="9" fillId="2" borderId="0" xfId="0" applyNumberFormat="1" applyFont="1" applyFill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77" fontId="12" fillId="2" borderId="6" xfId="0" applyNumberFormat="1" applyFont="1" applyFill="1" applyBorder="1" applyAlignment="1">
      <alignment horizontal="center" vertical="center" wrapText="1"/>
    </xf>
    <xf numFmtId="177" fontId="12" fillId="2" borderId="5" xfId="0" applyNumberFormat="1" applyFont="1" applyFill="1" applyBorder="1" applyAlignment="1">
      <alignment horizontal="center" vertical="center" wrapText="1"/>
    </xf>
    <xf numFmtId="177" fontId="12" fillId="2" borderId="7" xfId="0" applyNumberFormat="1" applyFont="1" applyFill="1" applyBorder="1" applyAlignment="1">
      <alignment horizontal="center" vertical="center" wrapText="1"/>
    </xf>
    <xf numFmtId="177" fontId="12" fillId="2" borderId="0" xfId="0" applyNumberFormat="1" applyFont="1" applyFill="1" applyAlignment="1">
      <alignment horizontal="center" vertical="center" wrapText="1"/>
    </xf>
    <xf numFmtId="177" fontId="6" fillId="2" borderId="0" xfId="0" applyNumberFormat="1" applyFont="1" applyFill="1" applyBorder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0" fontId="18" fillId="2" borderId="0" xfId="11" applyNumberFormat="1" applyFont="1" applyFill="1" applyBorder="1" applyAlignment="1">
      <alignment horizontal="center" vertical="center"/>
    </xf>
    <xf numFmtId="10" fontId="18" fillId="2" borderId="0" xfId="11" applyNumberFormat="1" applyFont="1" applyFill="1" applyBorder="1" applyAlignment="1">
      <alignment horizontal="center" vertical="center" wrapText="1"/>
    </xf>
    <xf numFmtId="177" fontId="6" fillId="2" borderId="5" xfId="0" applyNumberFormat="1" applyFont="1" applyFill="1" applyBorder="1" applyAlignment="1">
      <alignment horizontal="center" vertical="center"/>
    </xf>
    <xf numFmtId="10" fontId="18" fillId="2" borderId="5" xfId="11" applyNumberFormat="1" applyFont="1" applyFill="1" applyBorder="1" applyAlignment="1">
      <alignment horizontal="center" vertical="center"/>
    </xf>
    <xf numFmtId="10" fontId="18" fillId="2" borderId="5" xfId="11" applyNumberFormat="1" applyFont="1" applyFill="1" applyBorder="1" applyAlignment="1">
      <alignment horizontal="center" vertical="center" wrapText="1"/>
    </xf>
    <xf numFmtId="10" fontId="12" fillId="4" borderId="0" xfId="11" applyNumberFormat="1" applyFont="1" applyFill="1" applyAlignment="1">
      <alignment horizontal="center" vertical="center" wrapText="1"/>
    </xf>
    <xf numFmtId="177" fontId="9" fillId="4" borderId="0" xfId="0" applyNumberFormat="1" applyFont="1" applyFill="1" applyAlignment="1">
      <alignment horizontal="center" vertical="center"/>
    </xf>
    <xf numFmtId="177" fontId="9" fillId="4" borderId="0" xfId="0" applyNumberFormat="1" applyFont="1" applyFill="1" applyBorder="1" applyAlignment="1">
      <alignment horizontal="center" vertical="center"/>
    </xf>
    <xf numFmtId="177" fontId="19" fillId="4" borderId="0" xfId="0" applyNumberFormat="1" applyFont="1" applyFill="1" applyBorder="1" applyAlignment="1">
      <alignment horizontal="center" vertical="center" wrapText="1"/>
    </xf>
    <xf numFmtId="177" fontId="9" fillId="4" borderId="0" xfId="0" applyNumberFormat="1" applyFont="1" applyFill="1" applyBorder="1" applyAlignment="1">
      <alignment horizontal="center" vertical="center" wrapText="1"/>
    </xf>
    <xf numFmtId="177" fontId="20" fillId="2" borderId="0" xfId="0" applyNumberFormat="1" applyFont="1" applyFill="1" applyBorder="1" applyAlignment="1">
      <alignment horizontal="center" vertical="center" wrapText="1"/>
    </xf>
    <xf numFmtId="177" fontId="21" fillId="2" borderId="0" xfId="0" applyNumberFormat="1" applyFont="1" applyFill="1" applyAlignment="1">
      <alignment horizontal="center" vertical="center" wrapText="1"/>
    </xf>
    <xf numFmtId="177" fontId="20" fillId="2" borderId="0" xfId="0" applyNumberFormat="1" applyFont="1" applyFill="1" applyAlignment="1">
      <alignment horizontal="center" vertical="center" wrapText="1"/>
    </xf>
    <xf numFmtId="177" fontId="22" fillId="4" borderId="0" xfId="0" applyNumberFormat="1" applyFont="1" applyFill="1" applyAlignment="1">
      <alignment vertical="center" wrapText="1"/>
    </xf>
    <xf numFmtId="177" fontId="22" fillId="4" borderId="0" xfId="0" applyNumberFormat="1" applyFont="1" applyFill="1" applyAlignment="1">
      <alignment horizontal="right" vertical="center" wrapText="1"/>
    </xf>
    <xf numFmtId="177" fontId="23" fillId="4" borderId="0" xfId="0" applyNumberFormat="1" applyFont="1" applyFill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/>
    </xf>
    <xf numFmtId="177" fontId="19" fillId="4" borderId="0" xfId="0" applyNumberFormat="1" applyFont="1" applyFill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177" fontId="23" fillId="4" borderId="0" xfId="0" applyNumberFormat="1" applyFont="1" applyFill="1" applyAlignment="1">
      <alignment horizontal="right" vertical="center" wrapText="1"/>
    </xf>
    <xf numFmtId="177" fontId="23" fillId="4" borderId="0" xfId="0" applyNumberFormat="1" applyFont="1" applyFill="1" applyAlignment="1">
      <alignment vertical="center" wrapText="1"/>
    </xf>
    <xf numFmtId="0" fontId="11" fillId="4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2" borderId="11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0" fontId="1" fillId="2" borderId="11" xfId="0" applyNumberFormat="1" applyFont="1" applyFill="1" applyBorder="1" applyAlignment="1">
      <alignment horizontal="center" vertical="center"/>
    </xf>
    <xf numFmtId="10" fontId="1" fillId="2" borderId="11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4" borderId="12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177" fontId="1" fillId="2" borderId="7" xfId="0" applyNumberFormat="1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 wrapText="1"/>
    </xf>
    <xf numFmtId="178" fontId="9" fillId="4" borderId="11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177" fontId="1" fillId="4" borderId="0" xfId="0" applyNumberFormat="1" applyFont="1" applyFill="1" applyAlignment="1">
      <alignment vertical="center" wrapText="1"/>
    </xf>
    <xf numFmtId="177" fontId="1" fillId="4" borderId="11" xfId="0" applyNumberFormat="1" applyFont="1" applyFill="1" applyBorder="1" applyAlignment="1">
      <alignment vertical="center" wrapText="1"/>
    </xf>
    <xf numFmtId="0" fontId="14" fillId="2" borderId="12" xfId="0" applyFont="1" applyFill="1" applyBorder="1" applyAlignment="1">
      <alignment horizontal="left" vertical="center" wrapText="1"/>
    </xf>
    <xf numFmtId="177" fontId="9" fillId="4" borderId="0" xfId="0" applyNumberFormat="1" applyFont="1" applyFill="1" applyAlignment="1">
      <alignment horizontal="center" vertical="center" wrapText="1"/>
    </xf>
    <xf numFmtId="177" fontId="9" fillId="4" borderId="11" xfId="0" applyNumberFormat="1" applyFont="1" applyFill="1" applyBorder="1" applyAlignment="1">
      <alignment horizontal="center" vertical="center" wrapText="1"/>
    </xf>
    <xf numFmtId="179" fontId="27" fillId="2" borderId="0" xfId="0" applyNumberFormat="1" applyFont="1" applyFill="1" applyAlignment="1">
      <alignment horizontal="center" vertical="center" wrapText="1"/>
    </xf>
    <xf numFmtId="177" fontId="28" fillId="2" borderId="0" xfId="0" applyNumberFormat="1" applyFont="1" applyFill="1" applyAlignment="1">
      <alignment horizontal="center" vertical="center" wrapText="1"/>
    </xf>
    <xf numFmtId="177" fontId="28" fillId="2" borderId="11" xfId="0" applyNumberFormat="1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179" fontId="28" fillId="2" borderId="0" xfId="0" applyNumberFormat="1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6" fillId="0" borderId="0" xfId="0" applyFont="1">
      <alignment vertical="center"/>
    </xf>
    <xf numFmtId="0" fontId="30" fillId="5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3" borderId="1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34" fillId="9" borderId="0" xfId="0" applyFont="1" applyFill="1" applyBorder="1" applyAlignment="1">
      <alignment horizontal="center" vertical="center" wrapText="1"/>
    </xf>
    <xf numFmtId="0" fontId="34" fillId="9" borderId="0" xfId="0" applyFont="1" applyFill="1" applyBorder="1" applyAlignment="1">
      <alignment horizontal="center" vertical="center"/>
    </xf>
    <xf numFmtId="0" fontId="35" fillId="9" borderId="0" xfId="0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36" fillId="3" borderId="8" xfId="0" applyFont="1" applyFill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180" fontId="33" fillId="4" borderId="0" xfId="0" applyNumberFormat="1" applyFont="1" applyFill="1" applyAlignment="1">
      <alignment horizontal="center" vertical="center"/>
    </xf>
    <xf numFmtId="177" fontId="33" fillId="4" borderId="0" xfId="0" applyNumberFormat="1" applyFont="1" applyFill="1" applyAlignment="1">
      <alignment horizontal="center" vertical="center"/>
    </xf>
    <xf numFmtId="10" fontId="33" fillId="4" borderId="0" xfId="11" applyNumberFormat="1" applyFont="1" applyFill="1" applyBorder="1" applyAlignment="1">
      <alignment horizontal="center" vertical="center"/>
    </xf>
    <xf numFmtId="22" fontId="6" fillId="4" borderId="11" xfId="0" applyNumberFormat="1" applyFont="1" applyFill="1" applyBorder="1" applyAlignment="1">
      <alignment horizontal="center" vertical="center"/>
    </xf>
    <xf numFmtId="180" fontId="34" fillId="9" borderId="0" xfId="0" applyNumberFormat="1" applyFont="1" applyFill="1" applyBorder="1" applyAlignment="1">
      <alignment horizontal="center" vertical="center"/>
    </xf>
    <xf numFmtId="177" fontId="34" fillId="9" borderId="0" xfId="0" applyNumberFormat="1" applyFont="1" applyFill="1" applyBorder="1" applyAlignment="1">
      <alignment horizontal="center" vertical="center"/>
    </xf>
    <xf numFmtId="22" fontId="34" fillId="9" borderId="11" xfId="0" applyNumberFormat="1" applyFont="1" applyFill="1" applyBorder="1" applyAlignment="1">
      <alignment horizontal="center" vertical="center"/>
    </xf>
    <xf numFmtId="180" fontId="33" fillId="4" borderId="0" xfId="0" applyNumberFormat="1" applyFont="1" applyFill="1" applyBorder="1" applyAlignment="1">
      <alignment horizontal="center" vertical="center"/>
    </xf>
    <xf numFmtId="177" fontId="33" fillId="4" borderId="0" xfId="0" applyNumberFormat="1" applyFont="1" applyFill="1" applyBorder="1" applyAlignment="1">
      <alignment horizontal="center" vertical="center"/>
    </xf>
    <xf numFmtId="180" fontId="33" fillId="2" borderId="0" xfId="0" applyNumberFormat="1" applyFont="1" applyFill="1" applyBorder="1" applyAlignment="1">
      <alignment horizontal="center" vertical="center"/>
    </xf>
    <xf numFmtId="177" fontId="33" fillId="2" borderId="0" xfId="0" applyNumberFormat="1" applyFont="1" applyFill="1" applyBorder="1" applyAlignment="1">
      <alignment horizontal="center" vertical="center"/>
    </xf>
    <xf numFmtId="10" fontId="33" fillId="2" borderId="0" xfId="11" applyNumberFormat="1" applyFont="1" applyFill="1" applyBorder="1" applyAlignment="1">
      <alignment horizontal="center" vertical="center"/>
    </xf>
    <xf numFmtId="22" fontId="6" fillId="2" borderId="11" xfId="0" applyNumberFormat="1" applyFont="1" applyFill="1" applyBorder="1" applyAlignment="1">
      <alignment horizontal="center" vertical="center"/>
    </xf>
    <xf numFmtId="177" fontId="13" fillId="4" borderId="0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61</xdr:row>
      <xdr:rowOff>0</xdr:rowOff>
    </xdr:from>
    <xdr:to>
      <xdr:col>16</xdr:col>
      <xdr:colOff>0</xdr:colOff>
      <xdr:row>62</xdr:row>
      <xdr:rowOff>9525</xdr:rowOff>
    </xdr:to>
    <xdr:sp>
      <xdr:nvSpPr>
        <xdr:cNvPr id="2" name="Host Control  1"/>
        <xdr:cNvSpPr/>
      </xdr:nvSpPr>
      <xdr:spPr>
        <a:xfrm>
          <a:off x="17735550" y="23031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60"/>
  <sheetViews>
    <sheetView tabSelected="1" workbookViewId="0">
      <selection activeCell="L50" sqref="L50"/>
    </sheetView>
  </sheetViews>
  <sheetFormatPr defaultColWidth="9" defaultRowHeight="13.5"/>
  <cols>
    <col min="1" max="1" width="10.625" style="145" customWidth="1"/>
    <col min="2" max="2" width="15.625" style="145" customWidth="1"/>
    <col min="3" max="3" width="20.625" style="145" customWidth="1"/>
    <col min="4" max="13" width="15.625" style="145" customWidth="1"/>
    <col min="14" max="14" width="20.625" style="145" customWidth="1"/>
    <col min="15" max="16384" width="9" style="145"/>
  </cols>
  <sheetData>
    <row r="1" s="145" customFormat="1" ht="30" customHeight="1" spans="1:4">
      <c r="A1" s="149" t="s">
        <v>0</v>
      </c>
      <c r="B1" s="150" t="s">
        <v>1</v>
      </c>
      <c r="C1" s="151" t="s">
        <v>2</v>
      </c>
      <c r="D1" s="152" t="s">
        <v>3</v>
      </c>
    </row>
    <row r="2" s="145" customFormat="1" ht="30" customHeight="1" spans="1:15">
      <c r="A2" s="150" t="s">
        <v>0</v>
      </c>
      <c r="B2" s="153" t="s">
        <v>4</v>
      </c>
      <c r="C2" s="150" t="s">
        <v>5</v>
      </c>
      <c r="D2" s="150" t="s">
        <v>6</v>
      </c>
      <c r="G2" s="154"/>
      <c r="H2" s="154"/>
      <c r="J2" s="154"/>
      <c r="K2" s="154"/>
      <c r="L2" s="154"/>
      <c r="M2" s="154"/>
      <c r="N2" s="154"/>
      <c r="O2" s="154"/>
    </row>
    <row r="3" s="145" customFormat="1" ht="30" customHeight="1" spans="1:15">
      <c r="A3" s="155" t="s">
        <v>0</v>
      </c>
      <c r="B3" s="150" t="s">
        <v>7</v>
      </c>
      <c r="C3" s="150" t="s">
        <v>8</v>
      </c>
      <c r="D3" s="150" t="s">
        <v>9</v>
      </c>
      <c r="G3" s="154"/>
      <c r="H3" s="154"/>
      <c r="J3" s="154"/>
      <c r="K3" s="154"/>
      <c r="L3" s="154"/>
      <c r="M3" s="154"/>
      <c r="N3" s="154"/>
      <c r="O3" s="154"/>
    </row>
    <row r="4" s="145" customFormat="1" ht="30" customHeight="1" spans="1:15">
      <c r="A4" s="154"/>
      <c r="B4" s="154"/>
      <c r="C4" s="154"/>
      <c r="D4" s="154"/>
      <c r="E4" s="154"/>
      <c r="F4" s="154"/>
      <c r="G4" s="154"/>
      <c r="H4" s="154"/>
      <c r="J4" s="154"/>
      <c r="K4" s="154"/>
      <c r="L4" s="154"/>
      <c r="M4" s="154"/>
      <c r="N4" s="147"/>
      <c r="O4" s="147"/>
    </row>
    <row r="5" s="146" customFormat="1" ht="30" customHeight="1" spans="1:16379">
      <c r="A5" s="156" t="s">
        <v>10</v>
      </c>
      <c r="B5" s="157" t="s">
        <v>11</v>
      </c>
      <c r="C5" s="157" t="s">
        <v>12</v>
      </c>
      <c r="D5" s="157" t="s">
        <v>13</v>
      </c>
      <c r="E5" s="157" t="s">
        <v>14</v>
      </c>
      <c r="F5" s="157" t="s">
        <v>15</v>
      </c>
      <c r="G5" s="157" t="s">
        <v>16</v>
      </c>
      <c r="H5" s="157" t="s">
        <v>17</v>
      </c>
      <c r="I5" s="157" t="s">
        <v>18</v>
      </c>
      <c r="R5" s="154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</row>
    <row r="6" s="147" customFormat="1" ht="30" customHeight="1" spans="1:18">
      <c r="A6" s="156" t="s">
        <v>19</v>
      </c>
      <c r="B6" s="157" t="s">
        <v>20</v>
      </c>
      <c r="C6" s="157" t="s">
        <v>21</v>
      </c>
      <c r="D6" s="157" t="s">
        <v>22</v>
      </c>
      <c r="E6" s="157" t="s">
        <v>23</v>
      </c>
      <c r="F6" s="157" t="s">
        <v>24</v>
      </c>
      <c r="G6" s="157" t="s">
        <v>25</v>
      </c>
      <c r="H6" s="157" t="s">
        <v>26</v>
      </c>
      <c r="I6" s="157" t="s">
        <v>27</v>
      </c>
      <c r="R6" s="199"/>
    </row>
    <row r="7" s="145" customFormat="1" ht="30" customHeight="1" spans="1:15">
      <c r="A7" s="158" t="s">
        <v>28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</row>
    <row r="8" ht="30" customHeight="1" spans="1:14">
      <c r="A8" s="159" t="s">
        <v>29</v>
      </c>
      <c r="B8" s="160" t="s">
        <v>30</v>
      </c>
      <c r="C8" s="160" t="s">
        <v>31</v>
      </c>
      <c r="D8" s="160" t="s">
        <v>32</v>
      </c>
      <c r="E8" s="160" t="s">
        <v>33</v>
      </c>
      <c r="F8" s="160" t="s">
        <v>34</v>
      </c>
      <c r="G8" s="160" t="s">
        <v>35</v>
      </c>
      <c r="H8" s="160" t="s">
        <v>36</v>
      </c>
      <c r="I8" s="160" t="s">
        <v>37</v>
      </c>
      <c r="J8" s="160" t="s">
        <v>38</v>
      </c>
      <c r="K8" s="160" t="s">
        <v>39</v>
      </c>
      <c r="L8" s="160" t="s">
        <v>40</v>
      </c>
      <c r="M8" s="160" t="s">
        <v>41</v>
      </c>
      <c r="N8" s="182" t="s">
        <v>42</v>
      </c>
    </row>
    <row r="9" s="148" customFormat="1" ht="30" customHeight="1" spans="1:14">
      <c r="A9" s="161">
        <v>1</v>
      </c>
      <c r="B9" s="162" t="s">
        <v>43</v>
      </c>
      <c r="C9" s="163" t="s">
        <v>44</v>
      </c>
      <c r="D9" s="164" t="s">
        <v>45</v>
      </c>
      <c r="E9" s="164" t="s">
        <v>46</v>
      </c>
      <c r="F9" s="165" t="s">
        <v>47</v>
      </c>
      <c r="G9" s="164" t="s">
        <v>48</v>
      </c>
      <c r="H9" s="164" t="s">
        <v>49</v>
      </c>
      <c r="I9" s="183">
        <v>20</v>
      </c>
      <c r="J9" s="164">
        <v>10</v>
      </c>
      <c r="K9" s="184">
        <v>1000000</v>
      </c>
      <c r="L9" s="185">
        <v>0.5</v>
      </c>
      <c r="M9" s="163" t="s">
        <v>50</v>
      </c>
      <c r="N9" s="186">
        <v>43763.9939467593</v>
      </c>
    </row>
    <row r="10" s="148" customFormat="1" ht="30" customHeight="1" spans="1:14">
      <c r="A10" s="161"/>
      <c r="B10" s="162" t="s">
        <v>51</v>
      </c>
      <c r="C10" s="163"/>
      <c r="D10" s="164"/>
      <c r="E10" s="164"/>
      <c r="F10" s="165"/>
      <c r="G10" s="164"/>
      <c r="H10" s="164"/>
      <c r="I10" s="183"/>
      <c r="J10" s="164"/>
      <c r="K10" s="184"/>
      <c r="L10" s="185">
        <v>0.7</v>
      </c>
      <c r="M10" s="163"/>
      <c r="N10" s="186"/>
    </row>
    <row r="11" s="148" customFormat="1" ht="30" customHeight="1" spans="1:14">
      <c r="A11" s="161"/>
      <c r="B11" s="162" t="s">
        <v>52</v>
      </c>
      <c r="C11" s="163"/>
      <c r="D11" s="164"/>
      <c r="E11" s="164"/>
      <c r="F11" s="165"/>
      <c r="G11" s="164"/>
      <c r="H11" s="164"/>
      <c r="I11" s="183"/>
      <c r="J11" s="164"/>
      <c r="K11" s="184"/>
      <c r="L11" s="185">
        <v>0.9</v>
      </c>
      <c r="M11" s="163"/>
      <c r="N11" s="186"/>
    </row>
    <row r="12" s="148" customFormat="1" ht="30" customHeight="1" spans="1:14">
      <c r="A12" s="166">
        <v>2</v>
      </c>
      <c r="B12" s="167" t="s">
        <v>43</v>
      </c>
      <c r="C12" s="168" t="s">
        <v>44</v>
      </c>
      <c r="D12" s="168" t="s">
        <v>53</v>
      </c>
      <c r="E12" s="168" t="s">
        <v>46</v>
      </c>
      <c r="F12" s="169" t="s">
        <v>54</v>
      </c>
      <c r="G12" s="168" t="s">
        <v>48</v>
      </c>
      <c r="H12" s="168" t="s">
        <v>49</v>
      </c>
      <c r="I12" s="187">
        <v>21</v>
      </c>
      <c r="J12" s="168">
        <v>11</v>
      </c>
      <c r="K12" s="188">
        <v>50000</v>
      </c>
      <c r="L12" s="188"/>
      <c r="M12" s="168" t="s">
        <v>50</v>
      </c>
      <c r="N12" s="189">
        <v>43764.9939467593</v>
      </c>
    </row>
    <row r="13" s="148" customFormat="1" ht="30" customHeight="1" spans="1:14">
      <c r="A13" s="161">
        <v>3</v>
      </c>
      <c r="B13" s="170" t="s">
        <v>55</v>
      </c>
      <c r="C13" s="171" t="s">
        <v>44</v>
      </c>
      <c r="D13" s="172" t="s">
        <v>53</v>
      </c>
      <c r="E13" s="172" t="s">
        <v>46</v>
      </c>
      <c r="F13" s="173" t="s">
        <v>47</v>
      </c>
      <c r="G13" s="172" t="s">
        <v>48</v>
      </c>
      <c r="H13" s="172" t="s">
        <v>49</v>
      </c>
      <c r="I13" s="190">
        <v>22</v>
      </c>
      <c r="J13" s="172">
        <v>12</v>
      </c>
      <c r="K13" s="191">
        <v>15000</v>
      </c>
      <c r="L13" s="185">
        <v>1</v>
      </c>
      <c r="M13" s="171" t="s">
        <v>50</v>
      </c>
      <c r="N13" s="186">
        <v>43765.9939467593</v>
      </c>
    </row>
    <row r="14" s="148" customFormat="1" ht="30" customHeight="1" spans="1:14">
      <c r="A14" s="174">
        <v>4</v>
      </c>
      <c r="B14" s="175" t="s">
        <v>56</v>
      </c>
      <c r="C14" s="176" t="s">
        <v>44</v>
      </c>
      <c r="D14" s="177" t="s">
        <v>53</v>
      </c>
      <c r="E14" s="177" t="s">
        <v>46</v>
      </c>
      <c r="F14" s="178" t="s">
        <v>57</v>
      </c>
      <c r="G14" s="177" t="s">
        <v>48</v>
      </c>
      <c r="H14" s="177" t="s">
        <v>49</v>
      </c>
      <c r="I14" s="192">
        <v>23</v>
      </c>
      <c r="J14" s="177">
        <v>13</v>
      </c>
      <c r="K14" s="193">
        <v>50000</v>
      </c>
      <c r="L14" s="194">
        <v>1</v>
      </c>
      <c r="M14" s="176" t="s">
        <v>50</v>
      </c>
      <c r="N14" s="195">
        <v>43766.9939467593</v>
      </c>
    </row>
    <row r="15" s="148" customFormat="1" ht="30" customHeight="1" spans="1:14">
      <c r="A15" s="161">
        <v>5</v>
      </c>
      <c r="B15" s="170" t="s">
        <v>52</v>
      </c>
      <c r="C15" s="171" t="s">
        <v>44</v>
      </c>
      <c r="D15" s="172" t="s">
        <v>53</v>
      </c>
      <c r="E15" s="172" t="s">
        <v>46</v>
      </c>
      <c r="F15" s="173" t="s">
        <v>57</v>
      </c>
      <c r="G15" s="172" t="s">
        <v>58</v>
      </c>
      <c r="H15" s="172" t="s">
        <v>49</v>
      </c>
      <c r="I15" s="190">
        <v>24</v>
      </c>
      <c r="J15" s="172">
        <v>29</v>
      </c>
      <c r="K15" s="191">
        <v>15000</v>
      </c>
      <c r="L15" s="185">
        <v>1</v>
      </c>
      <c r="M15" s="171" t="s">
        <v>50</v>
      </c>
      <c r="N15" s="186">
        <v>43767.9939467593</v>
      </c>
    </row>
    <row r="16" s="148" customFormat="1" ht="30" customHeight="1" spans="1:14">
      <c r="A16" s="174">
        <v>6</v>
      </c>
      <c r="B16" s="175" t="s">
        <v>59</v>
      </c>
      <c r="C16" s="176" t="s">
        <v>44</v>
      </c>
      <c r="D16" s="177" t="s">
        <v>53</v>
      </c>
      <c r="E16" s="177" t="s">
        <v>46</v>
      </c>
      <c r="F16" s="178" t="s">
        <v>54</v>
      </c>
      <c r="G16" s="177" t="s">
        <v>48</v>
      </c>
      <c r="H16" s="177" t="s">
        <v>49</v>
      </c>
      <c r="I16" s="192">
        <v>25</v>
      </c>
      <c r="J16" s="177">
        <v>30</v>
      </c>
      <c r="K16" s="193">
        <v>50000</v>
      </c>
      <c r="L16" s="194">
        <v>1</v>
      </c>
      <c r="M16" s="176" t="s">
        <v>50</v>
      </c>
      <c r="N16" s="195">
        <v>43768.9939467593</v>
      </c>
    </row>
    <row r="17" s="148" customFormat="1" ht="30" customHeight="1" spans="1:14">
      <c r="A17" s="161">
        <v>7</v>
      </c>
      <c r="B17" s="170" t="s">
        <v>60</v>
      </c>
      <c r="C17" s="171" t="s">
        <v>44</v>
      </c>
      <c r="D17" s="172" t="s">
        <v>53</v>
      </c>
      <c r="E17" s="172" t="s">
        <v>46</v>
      </c>
      <c r="F17" s="173" t="s">
        <v>47</v>
      </c>
      <c r="G17" s="172" t="s">
        <v>58</v>
      </c>
      <c r="H17" s="172" t="s">
        <v>61</v>
      </c>
      <c r="I17" s="190">
        <v>26</v>
      </c>
      <c r="J17" s="172">
        <v>31</v>
      </c>
      <c r="K17" s="191">
        <v>15000</v>
      </c>
      <c r="L17" s="185">
        <v>1</v>
      </c>
      <c r="M17" s="171" t="s">
        <v>50</v>
      </c>
      <c r="N17" s="186">
        <v>43769.9939467593</v>
      </c>
    </row>
    <row r="18" s="148" customFormat="1" ht="30" customHeight="1" spans="1:14">
      <c r="A18" s="174">
        <v>8</v>
      </c>
      <c r="B18" s="175" t="s">
        <v>62</v>
      </c>
      <c r="C18" s="176" t="s">
        <v>44</v>
      </c>
      <c r="D18" s="177" t="s">
        <v>53</v>
      </c>
      <c r="E18" s="177" t="s">
        <v>46</v>
      </c>
      <c r="F18" s="178" t="s">
        <v>57</v>
      </c>
      <c r="G18" s="177" t="s">
        <v>58</v>
      </c>
      <c r="H18" s="177" t="s">
        <v>61</v>
      </c>
      <c r="I18" s="192">
        <v>27</v>
      </c>
      <c r="J18" s="177">
        <v>32</v>
      </c>
      <c r="K18" s="193">
        <v>50000</v>
      </c>
      <c r="L18" s="194">
        <v>1</v>
      </c>
      <c r="M18" s="176" t="s">
        <v>50</v>
      </c>
      <c r="N18" s="195">
        <v>43770.9939467593</v>
      </c>
    </row>
    <row r="19" s="148" customFormat="1" ht="30" customHeight="1" spans="1:14">
      <c r="A19" s="161">
        <v>9</v>
      </c>
      <c r="B19" s="170" t="s">
        <v>63</v>
      </c>
      <c r="C19" s="171" t="s">
        <v>44</v>
      </c>
      <c r="D19" s="172" t="s">
        <v>53</v>
      </c>
      <c r="E19" s="172" t="s">
        <v>46</v>
      </c>
      <c r="F19" s="173" t="s">
        <v>57</v>
      </c>
      <c r="G19" s="172" t="s">
        <v>58</v>
      </c>
      <c r="H19" s="172" t="s">
        <v>61</v>
      </c>
      <c r="I19" s="190">
        <v>28</v>
      </c>
      <c r="J19" s="172">
        <v>33</v>
      </c>
      <c r="K19" s="191">
        <v>15000</v>
      </c>
      <c r="L19" s="185">
        <v>1</v>
      </c>
      <c r="M19" s="171" t="s">
        <v>50</v>
      </c>
      <c r="N19" s="186">
        <v>43771.9939467593</v>
      </c>
    </row>
    <row r="20" s="148" customFormat="1" ht="30" customHeight="1" spans="1:14">
      <c r="A20" s="174">
        <v>10</v>
      </c>
      <c r="B20" s="175" t="s">
        <v>64</v>
      </c>
      <c r="C20" s="176" t="s">
        <v>44</v>
      </c>
      <c r="D20" s="177" t="s">
        <v>53</v>
      </c>
      <c r="E20" s="177" t="s">
        <v>46</v>
      </c>
      <c r="F20" s="178" t="s">
        <v>54</v>
      </c>
      <c r="G20" s="177" t="s">
        <v>58</v>
      </c>
      <c r="H20" s="177" t="s">
        <v>61</v>
      </c>
      <c r="I20" s="192">
        <v>29</v>
      </c>
      <c r="J20" s="177">
        <v>19</v>
      </c>
      <c r="K20" s="193">
        <v>50000</v>
      </c>
      <c r="L20" s="194">
        <v>1</v>
      </c>
      <c r="M20" s="176" t="s">
        <v>50</v>
      </c>
      <c r="N20" s="195">
        <v>43772.9939467593</v>
      </c>
    </row>
    <row r="21" s="148" customFormat="1" ht="30" customHeight="1" spans="1:14">
      <c r="A21" s="161">
        <v>11</v>
      </c>
      <c r="B21" s="170" t="s">
        <v>65</v>
      </c>
      <c r="C21" s="171" t="s">
        <v>44</v>
      </c>
      <c r="D21" s="172" t="s">
        <v>53</v>
      </c>
      <c r="E21" s="172" t="s">
        <v>46</v>
      </c>
      <c r="F21" s="173" t="s">
        <v>47</v>
      </c>
      <c r="G21" s="172" t="s">
        <v>48</v>
      </c>
      <c r="H21" s="172" t="s">
        <v>49</v>
      </c>
      <c r="I21" s="190">
        <v>30</v>
      </c>
      <c r="J21" s="172">
        <v>20</v>
      </c>
      <c r="K21" s="191">
        <v>15000</v>
      </c>
      <c r="L21" s="185">
        <v>1</v>
      </c>
      <c r="M21" s="171" t="s">
        <v>50</v>
      </c>
      <c r="N21" s="186">
        <v>43773.9939467593</v>
      </c>
    </row>
    <row r="22" s="148" customFormat="1" ht="30" customHeight="1" spans="1:14">
      <c r="A22" s="174">
        <v>12</v>
      </c>
      <c r="B22" s="175" t="s">
        <v>66</v>
      </c>
      <c r="C22" s="176" t="s">
        <v>44</v>
      </c>
      <c r="D22" s="177" t="s">
        <v>53</v>
      </c>
      <c r="E22" s="177" t="s">
        <v>46</v>
      </c>
      <c r="F22" s="178" t="s">
        <v>57</v>
      </c>
      <c r="G22" s="177" t="s">
        <v>48</v>
      </c>
      <c r="H22" s="177" t="s">
        <v>49</v>
      </c>
      <c r="I22" s="192">
        <v>31</v>
      </c>
      <c r="J22" s="177">
        <v>21</v>
      </c>
      <c r="K22" s="193">
        <v>50000</v>
      </c>
      <c r="L22" s="194">
        <v>1</v>
      </c>
      <c r="M22" s="176" t="s">
        <v>50</v>
      </c>
      <c r="N22" s="195">
        <v>43774.9939467593</v>
      </c>
    </row>
    <row r="23" s="148" customFormat="1" ht="30" customHeight="1" spans="1:14">
      <c r="A23" s="161">
        <v>13</v>
      </c>
      <c r="B23" s="170" t="s">
        <v>67</v>
      </c>
      <c r="C23" s="171" t="s">
        <v>44</v>
      </c>
      <c r="D23" s="172" t="s">
        <v>53</v>
      </c>
      <c r="E23" s="172" t="s">
        <v>46</v>
      </c>
      <c r="F23" s="173" t="s">
        <v>57</v>
      </c>
      <c r="G23" s="172" t="s">
        <v>48</v>
      </c>
      <c r="H23" s="172" t="s">
        <v>49</v>
      </c>
      <c r="I23" s="190">
        <v>32</v>
      </c>
      <c r="J23" s="172">
        <v>22</v>
      </c>
      <c r="K23" s="191">
        <v>15000</v>
      </c>
      <c r="L23" s="185">
        <v>1</v>
      </c>
      <c r="M23" s="171" t="s">
        <v>50</v>
      </c>
      <c r="N23" s="186">
        <v>43775.9939467593</v>
      </c>
    </row>
    <row r="24" s="148" customFormat="1" ht="30" customHeight="1" spans="1:14">
      <c r="A24" s="174">
        <v>14</v>
      </c>
      <c r="B24" s="175" t="s">
        <v>56</v>
      </c>
      <c r="C24" s="176" t="s">
        <v>44</v>
      </c>
      <c r="D24" s="177" t="s">
        <v>45</v>
      </c>
      <c r="E24" s="177" t="s">
        <v>46</v>
      </c>
      <c r="F24" s="178" t="s">
        <v>54</v>
      </c>
      <c r="G24" s="177" t="s">
        <v>48</v>
      </c>
      <c r="H24" s="177" t="s">
        <v>49</v>
      </c>
      <c r="I24" s="192">
        <v>33</v>
      </c>
      <c r="J24" s="177">
        <v>23</v>
      </c>
      <c r="K24" s="193">
        <v>50000</v>
      </c>
      <c r="L24" s="194">
        <v>1</v>
      </c>
      <c r="M24" s="176" t="s">
        <v>50</v>
      </c>
      <c r="N24" s="195">
        <v>43776.9939467593</v>
      </c>
    </row>
    <row r="25" s="148" customFormat="1" ht="30" customHeight="1" spans="1:14">
      <c r="A25" s="161">
        <v>15</v>
      </c>
      <c r="B25" s="170" t="s">
        <v>68</v>
      </c>
      <c r="C25" s="171" t="s">
        <v>44</v>
      </c>
      <c r="D25" s="172" t="s">
        <v>45</v>
      </c>
      <c r="E25" s="172" t="s">
        <v>46</v>
      </c>
      <c r="F25" s="173" t="s">
        <v>47</v>
      </c>
      <c r="G25" s="172" t="s">
        <v>58</v>
      </c>
      <c r="H25" s="172" t="s">
        <v>49</v>
      </c>
      <c r="I25" s="190">
        <v>34</v>
      </c>
      <c r="J25" s="172">
        <v>24</v>
      </c>
      <c r="K25" s="191">
        <v>15000</v>
      </c>
      <c r="L25" s="185">
        <v>1</v>
      </c>
      <c r="M25" s="171" t="s">
        <v>50</v>
      </c>
      <c r="N25" s="186">
        <v>43777.9939467593</v>
      </c>
    </row>
    <row r="26" s="148" customFormat="1" ht="30" customHeight="1" spans="1:14">
      <c r="A26" s="174">
        <v>16</v>
      </c>
      <c r="B26" s="175" t="s">
        <v>69</v>
      </c>
      <c r="C26" s="176" t="s">
        <v>44</v>
      </c>
      <c r="D26" s="177" t="s">
        <v>45</v>
      </c>
      <c r="E26" s="177" t="s">
        <v>46</v>
      </c>
      <c r="F26" s="178" t="s">
        <v>57</v>
      </c>
      <c r="G26" s="177" t="s">
        <v>58</v>
      </c>
      <c r="H26" s="177" t="s">
        <v>49</v>
      </c>
      <c r="I26" s="192">
        <v>35</v>
      </c>
      <c r="J26" s="177">
        <v>25</v>
      </c>
      <c r="K26" s="193">
        <v>50000</v>
      </c>
      <c r="L26" s="194">
        <v>1</v>
      </c>
      <c r="M26" s="176" t="s">
        <v>50</v>
      </c>
      <c r="N26" s="195">
        <v>43778.9939467593</v>
      </c>
    </row>
    <row r="27" s="148" customFormat="1" ht="30" customHeight="1" spans="1:14">
      <c r="A27" s="161">
        <v>17</v>
      </c>
      <c r="B27" s="170" t="s">
        <v>70</v>
      </c>
      <c r="C27" s="171" t="s">
        <v>44</v>
      </c>
      <c r="D27" s="172" t="s">
        <v>45</v>
      </c>
      <c r="E27" s="172" t="s">
        <v>46</v>
      </c>
      <c r="F27" s="173" t="s">
        <v>57</v>
      </c>
      <c r="G27" s="172" t="s">
        <v>58</v>
      </c>
      <c r="H27" s="172" t="s">
        <v>49</v>
      </c>
      <c r="I27" s="190">
        <v>36</v>
      </c>
      <c r="J27" s="172">
        <v>26</v>
      </c>
      <c r="K27" s="191">
        <v>15000</v>
      </c>
      <c r="L27" s="185">
        <v>1</v>
      </c>
      <c r="M27" s="171" t="s">
        <v>50</v>
      </c>
      <c r="N27" s="186">
        <v>43779.9939467593</v>
      </c>
    </row>
    <row r="28" s="148" customFormat="1" ht="30" customHeight="1" spans="1:14">
      <c r="A28" s="174">
        <v>18</v>
      </c>
      <c r="B28" s="175" t="s">
        <v>71</v>
      </c>
      <c r="C28" s="176" t="s">
        <v>44</v>
      </c>
      <c r="D28" s="177" t="s">
        <v>45</v>
      </c>
      <c r="E28" s="177" t="s">
        <v>46</v>
      </c>
      <c r="F28" s="178" t="s">
        <v>57</v>
      </c>
      <c r="G28" s="177" t="s">
        <v>58</v>
      </c>
      <c r="H28" s="177" t="s">
        <v>49</v>
      </c>
      <c r="I28" s="192">
        <v>37</v>
      </c>
      <c r="J28" s="177">
        <v>27</v>
      </c>
      <c r="K28" s="193">
        <v>50000</v>
      </c>
      <c r="L28" s="194">
        <v>1</v>
      </c>
      <c r="M28" s="176" t="s">
        <v>50</v>
      </c>
      <c r="N28" s="195">
        <v>43780.9939467593</v>
      </c>
    </row>
    <row r="29" s="148" customFormat="1" ht="30" customHeight="1" spans="1:14">
      <c r="A29" s="161">
        <v>19</v>
      </c>
      <c r="B29" s="170" t="s">
        <v>72</v>
      </c>
      <c r="C29" s="171" t="s">
        <v>44</v>
      </c>
      <c r="D29" s="172" t="s">
        <v>45</v>
      </c>
      <c r="E29" s="172" t="s">
        <v>46</v>
      </c>
      <c r="F29" s="173" t="s">
        <v>57</v>
      </c>
      <c r="G29" s="172" t="s">
        <v>58</v>
      </c>
      <c r="H29" s="172" t="s">
        <v>49</v>
      </c>
      <c r="I29" s="190">
        <v>38</v>
      </c>
      <c r="J29" s="172">
        <v>28</v>
      </c>
      <c r="K29" s="191">
        <v>15000</v>
      </c>
      <c r="L29" s="185">
        <v>1</v>
      </c>
      <c r="M29" s="171" t="s">
        <v>50</v>
      </c>
      <c r="N29" s="186">
        <v>43781.9939467593</v>
      </c>
    </row>
    <row r="30" s="148" customFormat="1" ht="30" customHeight="1" spans="1:14">
      <c r="A30" s="174">
        <v>20</v>
      </c>
      <c r="B30" s="179" t="s">
        <v>71</v>
      </c>
      <c r="C30" s="176" t="s">
        <v>44</v>
      </c>
      <c r="D30" s="177" t="s">
        <v>45</v>
      </c>
      <c r="E30" s="177" t="s">
        <v>46</v>
      </c>
      <c r="F30" s="178" t="s">
        <v>57</v>
      </c>
      <c r="G30" s="177" t="s">
        <v>58</v>
      </c>
      <c r="H30" s="177" t="s">
        <v>49</v>
      </c>
      <c r="I30" s="192">
        <v>39</v>
      </c>
      <c r="J30" s="177">
        <v>29</v>
      </c>
      <c r="K30" s="193">
        <v>50000</v>
      </c>
      <c r="L30" s="194">
        <v>1</v>
      </c>
      <c r="M30" s="176" t="s">
        <v>50</v>
      </c>
      <c r="N30" s="195">
        <v>43782.9939467593</v>
      </c>
    </row>
    <row r="31" s="148" customFormat="1" ht="30" customHeight="1" spans="1:14">
      <c r="A31" s="161">
        <v>21</v>
      </c>
      <c r="B31" s="170" t="s">
        <v>73</v>
      </c>
      <c r="C31" s="171" t="s">
        <v>44</v>
      </c>
      <c r="D31" s="172" t="s">
        <v>45</v>
      </c>
      <c r="E31" s="172" t="s">
        <v>46</v>
      </c>
      <c r="F31" s="173" t="s">
        <v>57</v>
      </c>
      <c r="G31" s="172" t="s">
        <v>58</v>
      </c>
      <c r="H31" s="172" t="s">
        <v>49</v>
      </c>
      <c r="I31" s="190">
        <v>40</v>
      </c>
      <c r="J31" s="172">
        <v>30</v>
      </c>
      <c r="K31" s="191">
        <v>85000</v>
      </c>
      <c r="L31" s="185">
        <v>1</v>
      </c>
      <c r="M31" s="171" t="s">
        <v>50</v>
      </c>
      <c r="N31" s="186">
        <v>43783.9939467593</v>
      </c>
    </row>
    <row r="32" s="148" customFormat="1" ht="30" customHeight="1" spans="1:14">
      <c r="A32" s="174">
        <v>22</v>
      </c>
      <c r="B32" s="179" t="s">
        <v>74</v>
      </c>
      <c r="C32" s="176" t="s">
        <v>44</v>
      </c>
      <c r="D32" s="177" t="s">
        <v>45</v>
      </c>
      <c r="E32" s="177" t="s">
        <v>46</v>
      </c>
      <c r="F32" s="178" t="s">
        <v>57</v>
      </c>
      <c r="G32" s="177" t="s">
        <v>58</v>
      </c>
      <c r="H32" s="177" t="s">
        <v>49</v>
      </c>
      <c r="I32" s="192">
        <v>41</v>
      </c>
      <c r="J32" s="177">
        <v>31</v>
      </c>
      <c r="K32" s="193">
        <v>120000</v>
      </c>
      <c r="L32" s="194">
        <v>1</v>
      </c>
      <c r="M32" s="176" t="s">
        <v>50</v>
      </c>
      <c r="N32" s="195">
        <v>43784.9939467593</v>
      </c>
    </row>
    <row r="33" s="148" customFormat="1" ht="30" customHeight="1" spans="1:14">
      <c r="A33" s="161">
        <v>23</v>
      </c>
      <c r="B33" s="170" t="s">
        <v>75</v>
      </c>
      <c r="C33" s="171" t="s">
        <v>44</v>
      </c>
      <c r="D33" s="172" t="s">
        <v>45</v>
      </c>
      <c r="E33" s="172" t="s">
        <v>46</v>
      </c>
      <c r="F33" s="173" t="s">
        <v>57</v>
      </c>
      <c r="G33" s="172" t="s">
        <v>58</v>
      </c>
      <c r="H33" s="172" t="s">
        <v>49</v>
      </c>
      <c r="I33" s="190">
        <v>42</v>
      </c>
      <c r="J33" s="172">
        <v>32</v>
      </c>
      <c r="K33" s="191">
        <v>155000</v>
      </c>
      <c r="L33" s="185">
        <v>1</v>
      </c>
      <c r="M33" s="171" t="s">
        <v>50</v>
      </c>
      <c r="N33" s="186">
        <v>43785.9939467593</v>
      </c>
    </row>
    <row r="34" s="148" customFormat="1" ht="30" customHeight="1" spans="1:14">
      <c r="A34" s="174">
        <v>24</v>
      </c>
      <c r="B34" s="179" t="s">
        <v>76</v>
      </c>
      <c r="C34" s="176" t="s">
        <v>44</v>
      </c>
      <c r="D34" s="177" t="s">
        <v>45</v>
      </c>
      <c r="E34" s="177" t="s">
        <v>46</v>
      </c>
      <c r="F34" s="178" t="s">
        <v>57</v>
      </c>
      <c r="G34" s="177" t="s">
        <v>58</v>
      </c>
      <c r="H34" s="177" t="s">
        <v>49</v>
      </c>
      <c r="I34" s="192">
        <v>43</v>
      </c>
      <c r="J34" s="177">
        <v>33</v>
      </c>
      <c r="K34" s="193">
        <v>190000</v>
      </c>
      <c r="L34" s="194">
        <v>1</v>
      </c>
      <c r="M34" s="176" t="s">
        <v>50</v>
      </c>
      <c r="N34" s="195">
        <v>43786.9939467593</v>
      </c>
    </row>
    <row r="35" s="148" customFormat="1" ht="30" customHeight="1" spans="1:14">
      <c r="A35" s="161">
        <v>25</v>
      </c>
      <c r="B35" s="170" t="s">
        <v>77</v>
      </c>
      <c r="C35" s="171" t="s">
        <v>44</v>
      </c>
      <c r="D35" s="172" t="s">
        <v>45</v>
      </c>
      <c r="E35" s="172" t="s">
        <v>46</v>
      </c>
      <c r="F35" s="173" t="s">
        <v>57</v>
      </c>
      <c r="G35" s="172" t="s">
        <v>58</v>
      </c>
      <c r="H35" s="172" t="s">
        <v>49</v>
      </c>
      <c r="I35" s="190">
        <v>44</v>
      </c>
      <c r="J35" s="172">
        <v>34</v>
      </c>
      <c r="K35" s="191">
        <v>225000</v>
      </c>
      <c r="L35" s="185">
        <v>1</v>
      </c>
      <c r="M35" s="171" t="s">
        <v>50</v>
      </c>
      <c r="N35" s="186">
        <v>43787.9939467593</v>
      </c>
    </row>
    <row r="36" s="148" customFormat="1" ht="30" customHeight="1" spans="1:14">
      <c r="A36" s="174">
        <v>26</v>
      </c>
      <c r="B36" s="179" t="s">
        <v>78</v>
      </c>
      <c r="C36" s="176" t="s">
        <v>44</v>
      </c>
      <c r="D36" s="177" t="s">
        <v>45</v>
      </c>
      <c r="E36" s="177" t="s">
        <v>46</v>
      </c>
      <c r="F36" s="178" t="s">
        <v>57</v>
      </c>
      <c r="G36" s="177" t="s">
        <v>58</v>
      </c>
      <c r="H36" s="177" t="s">
        <v>49</v>
      </c>
      <c r="I36" s="192">
        <v>45</v>
      </c>
      <c r="J36" s="177">
        <v>35</v>
      </c>
      <c r="K36" s="193">
        <v>260000</v>
      </c>
      <c r="L36" s="194">
        <v>1</v>
      </c>
      <c r="M36" s="176" t="s">
        <v>50</v>
      </c>
      <c r="N36" s="195">
        <v>43788.9939467593</v>
      </c>
    </row>
    <row r="37" s="148" customFormat="1" ht="30" customHeight="1" spans="1:14">
      <c r="A37" s="161">
        <v>27</v>
      </c>
      <c r="B37" s="170" t="s">
        <v>79</v>
      </c>
      <c r="C37" s="171" t="s">
        <v>44</v>
      </c>
      <c r="D37" s="172" t="s">
        <v>45</v>
      </c>
      <c r="E37" s="172" t="s">
        <v>46</v>
      </c>
      <c r="F37" s="173" t="s">
        <v>57</v>
      </c>
      <c r="G37" s="172" t="s">
        <v>58</v>
      </c>
      <c r="H37" s="172" t="s">
        <v>49</v>
      </c>
      <c r="I37" s="190">
        <v>46</v>
      </c>
      <c r="J37" s="172">
        <v>36</v>
      </c>
      <c r="K37" s="191">
        <v>295000</v>
      </c>
      <c r="L37" s="185">
        <v>1</v>
      </c>
      <c r="M37" s="171" t="s">
        <v>50</v>
      </c>
      <c r="N37" s="186">
        <v>43789.9939467593</v>
      </c>
    </row>
    <row r="38" s="148" customFormat="1" ht="30" customHeight="1" spans="1:14">
      <c r="A38" s="174">
        <v>28</v>
      </c>
      <c r="B38" s="179" t="s">
        <v>80</v>
      </c>
      <c r="C38" s="176" t="s">
        <v>44</v>
      </c>
      <c r="D38" s="177" t="s">
        <v>45</v>
      </c>
      <c r="E38" s="177" t="s">
        <v>46</v>
      </c>
      <c r="F38" s="178" t="s">
        <v>57</v>
      </c>
      <c r="G38" s="177" t="s">
        <v>58</v>
      </c>
      <c r="H38" s="177" t="s">
        <v>49</v>
      </c>
      <c r="I38" s="192">
        <v>47</v>
      </c>
      <c r="J38" s="177">
        <v>37</v>
      </c>
      <c r="K38" s="193">
        <v>330000</v>
      </c>
      <c r="L38" s="194">
        <v>1</v>
      </c>
      <c r="M38" s="176" t="s">
        <v>50</v>
      </c>
      <c r="N38" s="195">
        <v>43790.9939467593</v>
      </c>
    </row>
    <row r="39" s="148" customFormat="1" ht="30" customHeight="1" spans="1:14">
      <c r="A39" s="161">
        <v>29</v>
      </c>
      <c r="B39" s="170" t="s">
        <v>81</v>
      </c>
      <c r="C39" s="171" t="s">
        <v>44</v>
      </c>
      <c r="D39" s="172" t="s">
        <v>45</v>
      </c>
      <c r="E39" s="172" t="s">
        <v>46</v>
      </c>
      <c r="F39" s="173" t="s">
        <v>57</v>
      </c>
      <c r="G39" s="172" t="s">
        <v>58</v>
      </c>
      <c r="H39" s="172" t="s">
        <v>49</v>
      </c>
      <c r="I39" s="190">
        <v>48</v>
      </c>
      <c r="J39" s="172">
        <v>38</v>
      </c>
      <c r="K39" s="191">
        <v>365000</v>
      </c>
      <c r="L39" s="185">
        <v>1</v>
      </c>
      <c r="M39" s="171" t="s">
        <v>50</v>
      </c>
      <c r="N39" s="186">
        <v>43791.9939467593</v>
      </c>
    </row>
    <row r="40" s="148" customFormat="1" ht="30" customHeight="1" spans="1:14">
      <c r="A40" s="174">
        <v>30</v>
      </c>
      <c r="B40" s="179" t="s">
        <v>82</v>
      </c>
      <c r="C40" s="176" t="s">
        <v>44</v>
      </c>
      <c r="D40" s="177" t="s">
        <v>45</v>
      </c>
      <c r="E40" s="177" t="s">
        <v>46</v>
      </c>
      <c r="F40" s="178" t="s">
        <v>57</v>
      </c>
      <c r="G40" s="177" t="s">
        <v>58</v>
      </c>
      <c r="H40" s="177" t="s">
        <v>49</v>
      </c>
      <c r="I40" s="192">
        <v>49</v>
      </c>
      <c r="J40" s="177">
        <v>39</v>
      </c>
      <c r="K40" s="193">
        <v>400000</v>
      </c>
      <c r="L40" s="194">
        <v>1</v>
      </c>
      <c r="M40" s="176" t="s">
        <v>50</v>
      </c>
      <c r="N40" s="195">
        <v>43792.9939467593</v>
      </c>
    </row>
    <row r="41" s="148" customFormat="1" ht="30" customHeight="1" spans="1:14">
      <c r="A41" s="161">
        <v>31</v>
      </c>
      <c r="B41" s="170" t="s">
        <v>83</v>
      </c>
      <c r="C41" s="171" t="s">
        <v>44</v>
      </c>
      <c r="D41" s="172" t="s">
        <v>45</v>
      </c>
      <c r="E41" s="172" t="s">
        <v>46</v>
      </c>
      <c r="F41" s="173" t="s">
        <v>57</v>
      </c>
      <c r="G41" s="172" t="s">
        <v>58</v>
      </c>
      <c r="H41" s="172" t="s">
        <v>49</v>
      </c>
      <c r="I41" s="190">
        <v>50</v>
      </c>
      <c r="J41" s="172">
        <v>40</v>
      </c>
      <c r="K41" s="191">
        <v>435000</v>
      </c>
      <c r="L41" s="185">
        <v>1</v>
      </c>
      <c r="M41" s="171" t="s">
        <v>50</v>
      </c>
      <c r="N41" s="186">
        <v>43793.9939467593</v>
      </c>
    </row>
    <row r="42" s="148" customFormat="1" ht="30" customHeight="1" spans="1:14">
      <c r="A42" s="174">
        <v>32</v>
      </c>
      <c r="B42" s="179" t="s">
        <v>84</v>
      </c>
      <c r="C42" s="176" t="s">
        <v>44</v>
      </c>
      <c r="D42" s="177" t="s">
        <v>45</v>
      </c>
      <c r="E42" s="177" t="s">
        <v>46</v>
      </c>
      <c r="F42" s="178" t="s">
        <v>57</v>
      </c>
      <c r="G42" s="177" t="s">
        <v>58</v>
      </c>
      <c r="H42" s="177" t="s">
        <v>49</v>
      </c>
      <c r="I42" s="192">
        <v>51</v>
      </c>
      <c r="J42" s="177">
        <v>41</v>
      </c>
      <c r="K42" s="193">
        <v>470000</v>
      </c>
      <c r="L42" s="194">
        <v>1</v>
      </c>
      <c r="M42" s="176" t="s">
        <v>50</v>
      </c>
      <c r="N42" s="195">
        <v>43794.9939467593</v>
      </c>
    </row>
    <row r="43" s="148" customFormat="1" ht="30" customHeight="1" spans="1:14">
      <c r="A43" s="161">
        <v>33</v>
      </c>
      <c r="B43" s="170" t="s">
        <v>85</v>
      </c>
      <c r="C43" s="171" t="s">
        <v>44</v>
      </c>
      <c r="D43" s="172" t="s">
        <v>45</v>
      </c>
      <c r="E43" s="172" t="s">
        <v>46</v>
      </c>
      <c r="F43" s="173" t="s">
        <v>57</v>
      </c>
      <c r="G43" s="172" t="s">
        <v>58</v>
      </c>
      <c r="H43" s="172" t="s">
        <v>49</v>
      </c>
      <c r="I43" s="190">
        <v>52</v>
      </c>
      <c r="J43" s="172">
        <v>42</v>
      </c>
      <c r="K43" s="191">
        <v>505000</v>
      </c>
      <c r="L43" s="185">
        <v>1</v>
      </c>
      <c r="M43" s="171" t="s">
        <v>50</v>
      </c>
      <c r="N43" s="186">
        <v>43795.9939467593</v>
      </c>
    </row>
    <row r="44" s="148" customFormat="1" ht="30" customHeight="1" spans="1:14">
      <c r="A44" s="174">
        <v>34</v>
      </c>
      <c r="B44" s="179" t="s">
        <v>86</v>
      </c>
      <c r="C44" s="176" t="s">
        <v>44</v>
      </c>
      <c r="D44" s="177" t="s">
        <v>45</v>
      </c>
      <c r="E44" s="177" t="s">
        <v>46</v>
      </c>
      <c r="F44" s="178" t="s">
        <v>57</v>
      </c>
      <c r="G44" s="177" t="s">
        <v>58</v>
      </c>
      <c r="H44" s="177" t="s">
        <v>49</v>
      </c>
      <c r="I44" s="192">
        <v>53</v>
      </c>
      <c r="J44" s="177">
        <v>43</v>
      </c>
      <c r="K44" s="193">
        <v>540000</v>
      </c>
      <c r="L44" s="194">
        <v>1</v>
      </c>
      <c r="M44" s="176" t="s">
        <v>50</v>
      </c>
      <c r="N44" s="195">
        <v>43796.9939467593</v>
      </c>
    </row>
    <row r="45" s="148" customFormat="1" ht="30" customHeight="1" spans="1:14">
      <c r="A45" s="161">
        <v>35</v>
      </c>
      <c r="B45" s="170" t="s">
        <v>87</v>
      </c>
      <c r="C45" s="171" t="s">
        <v>44</v>
      </c>
      <c r="D45" s="172" t="s">
        <v>45</v>
      </c>
      <c r="E45" s="172" t="s">
        <v>46</v>
      </c>
      <c r="F45" s="173" t="s">
        <v>57</v>
      </c>
      <c r="G45" s="172" t="s">
        <v>58</v>
      </c>
      <c r="H45" s="172" t="s">
        <v>49</v>
      </c>
      <c r="I45" s="190">
        <v>54</v>
      </c>
      <c r="J45" s="172">
        <v>44</v>
      </c>
      <c r="K45" s="191">
        <v>575000</v>
      </c>
      <c r="L45" s="185">
        <v>1</v>
      </c>
      <c r="M45" s="171" t="s">
        <v>50</v>
      </c>
      <c r="N45" s="186">
        <v>43797.9939467593</v>
      </c>
    </row>
    <row r="46" s="148" customFormat="1" ht="30" customHeight="1" spans="1:14">
      <c r="A46" s="174">
        <v>36</v>
      </c>
      <c r="B46" s="179" t="s">
        <v>88</v>
      </c>
      <c r="C46" s="176" t="s">
        <v>44</v>
      </c>
      <c r="D46" s="177" t="s">
        <v>45</v>
      </c>
      <c r="E46" s="177" t="s">
        <v>46</v>
      </c>
      <c r="F46" s="178" t="s">
        <v>57</v>
      </c>
      <c r="G46" s="177" t="s">
        <v>58</v>
      </c>
      <c r="H46" s="177" t="s">
        <v>49</v>
      </c>
      <c r="I46" s="192">
        <v>55</v>
      </c>
      <c r="J46" s="177">
        <v>45</v>
      </c>
      <c r="K46" s="193">
        <v>610000</v>
      </c>
      <c r="L46" s="194">
        <v>1</v>
      </c>
      <c r="M46" s="176" t="s">
        <v>50</v>
      </c>
      <c r="N46" s="195">
        <v>43798.9939467593</v>
      </c>
    </row>
    <row r="47" s="148" customFormat="1" ht="30" customHeight="1" spans="1:14">
      <c r="A47" s="161">
        <v>37</v>
      </c>
      <c r="B47" s="170" t="s">
        <v>89</v>
      </c>
      <c r="C47" s="171" t="s">
        <v>44</v>
      </c>
      <c r="D47" s="172" t="s">
        <v>45</v>
      </c>
      <c r="E47" s="172" t="s">
        <v>46</v>
      </c>
      <c r="F47" s="173" t="s">
        <v>57</v>
      </c>
      <c r="G47" s="172" t="s">
        <v>58</v>
      </c>
      <c r="H47" s="172" t="s">
        <v>49</v>
      </c>
      <c r="I47" s="190">
        <v>56</v>
      </c>
      <c r="J47" s="172">
        <v>46</v>
      </c>
      <c r="K47" s="191">
        <v>645000</v>
      </c>
      <c r="L47" s="185">
        <v>1</v>
      </c>
      <c r="M47" s="171" t="s">
        <v>50</v>
      </c>
      <c r="N47" s="186">
        <v>43799.9939467593</v>
      </c>
    </row>
    <row r="48" s="148" customFormat="1" ht="30" customHeight="1" spans="1:14">
      <c r="A48" s="174">
        <v>38</v>
      </c>
      <c r="B48" s="179" t="s">
        <v>90</v>
      </c>
      <c r="C48" s="176" t="s">
        <v>44</v>
      </c>
      <c r="D48" s="177" t="s">
        <v>45</v>
      </c>
      <c r="E48" s="177" t="s">
        <v>46</v>
      </c>
      <c r="F48" s="178" t="s">
        <v>57</v>
      </c>
      <c r="G48" s="177" t="s">
        <v>58</v>
      </c>
      <c r="H48" s="177" t="s">
        <v>49</v>
      </c>
      <c r="I48" s="192">
        <v>57</v>
      </c>
      <c r="J48" s="177">
        <v>47</v>
      </c>
      <c r="K48" s="193">
        <v>680000</v>
      </c>
      <c r="L48" s="194">
        <v>1</v>
      </c>
      <c r="M48" s="176" t="s">
        <v>50</v>
      </c>
      <c r="N48" s="195">
        <v>43800.9939467593</v>
      </c>
    </row>
    <row r="49" s="148" customFormat="1" ht="30" customHeight="1" spans="1:14">
      <c r="A49" s="161">
        <v>39</v>
      </c>
      <c r="B49" s="170" t="s">
        <v>91</v>
      </c>
      <c r="C49" s="171" t="s">
        <v>44</v>
      </c>
      <c r="D49" s="172" t="s">
        <v>45</v>
      </c>
      <c r="E49" s="172" t="s">
        <v>46</v>
      </c>
      <c r="F49" s="173" t="s">
        <v>57</v>
      </c>
      <c r="G49" s="172" t="s">
        <v>58</v>
      </c>
      <c r="H49" s="172" t="s">
        <v>49</v>
      </c>
      <c r="I49" s="190">
        <v>58</v>
      </c>
      <c r="J49" s="172">
        <v>48</v>
      </c>
      <c r="K49" s="191">
        <v>715000</v>
      </c>
      <c r="L49" s="185">
        <v>1</v>
      </c>
      <c r="M49" s="171" t="s">
        <v>50</v>
      </c>
      <c r="N49" s="186">
        <v>43801.9939467593</v>
      </c>
    </row>
    <row r="50" s="148" customFormat="1" ht="30" customHeight="1" spans="1:14">
      <c r="A50" s="174">
        <v>40</v>
      </c>
      <c r="B50" s="179" t="s">
        <v>92</v>
      </c>
      <c r="C50" s="176" t="s">
        <v>44</v>
      </c>
      <c r="D50" s="177" t="s">
        <v>45</v>
      </c>
      <c r="E50" s="177" t="s">
        <v>46</v>
      </c>
      <c r="F50" s="178" t="s">
        <v>57</v>
      </c>
      <c r="G50" s="177" t="s">
        <v>58</v>
      </c>
      <c r="H50" s="177" t="s">
        <v>49</v>
      </c>
      <c r="I50" s="192">
        <v>59</v>
      </c>
      <c r="J50" s="177">
        <v>49</v>
      </c>
      <c r="K50" s="193">
        <v>750000</v>
      </c>
      <c r="L50" s="194">
        <v>1</v>
      </c>
      <c r="M50" s="176" t="s">
        <v>50</v>
      </c>
      <c r="N50" s="195">
        <v>43802.9939467593</v>
      </c>
    </row>
    <row r="51" s="148" customFormat="1" ht="30" customHeight="1" spans="1:14">
      <c r="A51" s="161">
        <v>41</v>
      </c>
      <c r="B51" s="170" t="s">
        <v>93</v>
      </c>
      <c r="C51" s="171" t="s">
        <v>44</v>
      </c>
      <c r="D51" s="172" t="s">
        <v>45</v>
      </c>
      <c r="E51" s="172" t="s">
        <v>46</v>
      </c>
      <c r="F51" s="173" t="s">
        <v>57</v>
      </c>
      <c r="G51" s="172" t="s">
        <v>58</v>
      </c>
      <c r="H51" s="172" t="s">
        <v>49</v>
      </c>
      <c r="I51" s="190">
        <v>60</v>
      </c>
      <c r="J51" s="172">
        <v>50</v>
      </c>
      <c r="K51" s="191">
        <v>785000</v>
      </c>
      <c r="L51" s="185">
        <v>1</v>
      </c>
      <c r="M51" s="171" t="s">
        <v>50</v>
      </c>
      <c r="N51" s="186">
        <v>43803.9939467593</v>
      </c>
    </row>
    <row r="52" s="148" customFormat="1" ht="30" customHeight="1" spans="1:14">
      <c r="A52" s="174">
        <v>42</v>
      </c>
      <c r="B52" s="179" t="s">
        <v>94</v>
      </c>
      <c r="C52" s="176" t="s">
        <v>44</v>
      </c>
      <c r="D52" s="177" t="s">
        <v>45</v>
      </c>
      <c r="E52" s="177" t="s">
        <v>46</v>
      </c>
      <c r="F52" s="178" t="s">
        <v>57</v>
      </c>
      <c r="G52" s="177" t="s">
        <v>58</v>
      </c>
      <c r="H52" s="177" t="s">
        <v>49</v>
      </c>
      <c r="I52" s="192">
        <v>61</v>
      </c>
      <c r="J52" s="177">
        <v>51</v>
      </c>
      <c r="K52" s="193">
        <v>820000</v>
      </c>
      <c r="L52" s="194">
        <v>1</v>
      </c>
      <c r="M52" s="176" t="s">
        <v>50</v>
      </c>
      <c r="N52" s="195">
        <v>43804.9939467593</v>
      </c>
    </row>
    <row r="53" s="148" customFormat="1" ht="30" customHeight="1" spans="1:14">
      <c r="A53" s="161">
        <v>43</v>
      </c>
      <c r="B53" s="170" t="s">
        <v>95</v>
      </c>
      <c r="C53" s="171" t="s">
        <v>44</v>
      </c>
      <c r="D53" s="172" t="s">
        <v>45</v>
      </c>
      <c r="E53" s="172" t="s">
        <v>46</v>
      </c>
      <c r="F53" s="173" t="s">
        <v>57</v>
      </c>
      <c r="G53" s="172" t="s">
        <v>58</v>
      </c>
      <c r="H53" s="172" t="s">
        <v>49</v>
      </c>
      <c r="I53" s="190">
        <v>62</v>
      </c>
      <c r="J53" s="172">
        <v>52</v>
      </c>
      <c r="K53" s="191">
        <v>855000</v>
      </c>
      <c r="L53" s="185">
        <v>1</v>
      </c>
      <c r="M53" s="171" t="s">
        <v>50</v>
      </c>
      <c r="N53" s="186">
        <v>43805.9939467593</v>
      </c>
    </row>
    <row r="54" s="148" customFormat="1" ht="30" customHeight="1" spans="1:14">
      <c r="A54" s="174">
        <v>44</v>
      </c>
      <c r="B54" s="179" t="s">
        <v>96</v>
      </c>
      <c r="C54" s="176" t="s">
        <v>44</v>
      </c>
      <c r="D54" s="177" t="s">
        <v>45</v>
      </c>
      <c r="E54" s="177" t="s">
        <v>46</v>
      </c>
      <c r="F54" s="178" t="s">
        <v>57</v>
      </c>
      <c r="G54" s="177" t="s">
        <v>58</v>
      </c>
      <c r="H54" s="177" t="s">
        <v>49</v>
      </c>
      <c r="I54" s="192">
        <v>63</v>
      </c>
      <c r="J54" s="177">
        <v>53</v>
      </c>
      <c r="K54" s="193">
        <v>890000</v>
      </c>
      <c r="L54" s="194">
        <v>1</v>
      </c>
      <c r="M54" s="176" t="s">
        <v>50</v>
      </c>
      <c r="N54" s="195">
        <v>43806.9939467593</v>
      </c>
    </row>
    <row r="55" s="148" customFormat="1" ht="30" customHeight="1" spans="1:14">
      <c r="A55" s="161">
        <v>45</v>
      </c>
      <c r="B55" s="170" t="s">
        <v>97</v>
      </c>
      <c r="C55" s="171" t="s">
        <v>44</v>
      </c>
      <c r="D55" s="172" t="s">
        <v>45</v>
      </c>
      <c r="E55" s="172" t="s">
        <v>46</v>
      </c>
      <c r="F55" s="173" t="s">
        <v>57</v>
      </c>
      <c r="G55" s="172" t="s">
        <v>58</v>
      </c>
      <c r="H55" s="172" t="s">
        <v>49</v>
      </c>
      <c r="I55" s="190">
        <v>64</v>
      </c>
      <c r="J55" s="172">
        <v>54</v>
      </c>
      <c r="K55" s="191">
        <v>925000</v>
      </c>
      <c r="L55" s="185">
        <v>1</v>
      </c>
      <c r="M55" s="171" t="s">
        <v>50</v>
      </c>
      <c r="N55" s="186">
        <v>43807.9939467593</v>
      </c>
    </row>
    <row r="56" s="148" customFormat="1" ht="30" customHeight="1" spans="1:14">
      <c r="A56" s="174">
        <v>46</v>
      </c>
      <c r="B56" s="179" t="s">
        <v>98</v>
      </c>
      <c r="C56" s="176" t="s">
        <v>44</v>
      </c>
      <c r="D56" s="177" t="s">
        <v>45</v>
      </c>
      <c r="E56" s="177" t="s">
        <v>46</v>
      </c>
      <c r="F56" s="178" t="s">
        <v>57</v>
      </c>
      <c r="G56" s="177" t="s">
        <v>58</v>
      </c>
      <c r="H56" s="177" t="s">
        <v>49</v>
      </c>
      <c r="I56" s="192">
        <v>65</v>
      </c>
      <c r="J56" s="177">
        <v>55</v>
      </c>
      <c r="K56" s="193">
        <v>960000</v>
      </c>
      <c r="L56" s="194">
        <v>1</v>
      </c>
      <c r="M56" s="176" t="s">
        <v>50</v>
      </c>
      <c r="N56" s="195">
        <v>43808.9939467593</v>
      </c>
    </row>
    <row r="57" s="148" customFormat="1" ht="30" customHeight="1" spans="1:14">
      <c r="A57" s="161">
        <v>47</v>
      </c>
      <c r="B57" s="170" t="s">
        <v>99</v>
      </c>
      <c r="C57" s="171" t="s">
        <v>44</v>
      </c>
      <c r="D57" s="172" t="s">
        <v>45</v>
      </c>
      <c r="E57" s="172" t="s">
        <v>46</v>
      </c>
      <c r="F57" s="173" t="s">
        <v>57</v>
      </c>
      <c r="G57" s="172" t="s">
        <v>58</v>
      </c>
      <c r="H57" s="172" t="s">
        <v>49</v>
      </c>
      <c r="I57" s="190">
        <v>66</v>
      </c>
      <c r="J57" s="172">
        <v>56</v>
      </c>
      <c r="K57" s="191">
        <v>995000</v>
      </c>
      <c r="L57" s="185">
        <v>1</v>
      </c>
      <c r="M57" s="171" t="s">
        <v>50</v>
      </c>
      <c r="N57" s="186">
        <v>43809.9939467593</v>
      </c>
    </row>
    <row r="58" s="148" customFormat="1" ht="30" customHeight="1" spans="1:14">
      <c r="A58" s="174">
        <v>48</v>
      </c>
      <c r="B58" s="179" t="s">
        <v>100</v>
      </c>
      <c r="C58" s="176" t="s">
        <v>44</v>
      </c>
      <c r="D58" s="177" t="s">
        <v>45</v>
      </c>
      <c r="E58" s="177" t="s">
        <v>46</v>
      </c>
      <c r="F58" s="178" t="s">
        <v>57</v>
      </c>
      <c r="G58" s="177" t="s">
        <v>58</v>
      </c>
      <c r="H58" s="177" t="s">
        <v>49</v>
      </c>
      <c r="I58" s="192">
        <v>67</v>
      </c>
      <c r="J58" s="177">
        <v>57</v>
      </c>
      <c r="K58" s="193">
        <v>1030000</v>
      </c>
      <c r="L58" s="194">
        <v>1</v>
      </c>
      <c r="M58" s="176" t="s">
        <v>50</v>
      </c>
      <c r="N58" s="195">
        <v>43810.9939467593</v>
      </c>
    </row>
    <row r="59" s="148" customFormat="1" ht="30" customHeight="1" spans="1:14">
      <c r="A59" s="161"/>
      <c r="B59" s="162"/>
      <c r="C59" s="171"/>
      <c r="D59" s="172"/>
      <c r="E59" s="172"/>
      <c r="F59" s="173"/>
      <c r="G59" s="172"/>
      <c r="H59" s="172"/>
      <c r="I59" s="196">
        <f>SUM(I9:I58)</f>
        <v>2088</v>
      </c>
      <c r="J59" s="197">
        <f>SUM(J9:J58)</f>
        <v>1683</v>
      </c>
      <c r="K59" s="196">
        <f>SUM(K9:K58)</f>
        <v>17245000</v>
      </c>
      <c r="L59" s="185"/>
      <c r="M59" s="171"/>
      <c r="N59" s="186"/>
    </row>
    <row r="60" ht="30" customHeight="1" spans="1:14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98"/>
    </row>
  </sheetData>
  <mergeCells count="14">
    <mergeCell ref="A4:B4"/>
    <mergeCell ref="A60:N60"/>
    <mergeCell ref="A9:A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M9:M11"/>
    <mergeCell ref="N9:N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6"/>
  <sheetViews>
    <sheetView workbookViewId="0">
      <selection activeCell="B5" sqref="B5:H9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101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6"/>
    </row>
    <row r="2" s="1" customFormat="1" ht="25" customHeight="1" spans="2:21">
      <c r="B2" s="7" t="s">
        <v>102</v>
      </c>
      <c r="C2" s="8"/>
      <c r="D2" s="9" t="s">
        <v>103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68"/>
      <c r="Q2" s="68"/>
      <c r="R2" s="68"/>
      <c r="S2" s="68"/>
      <c r="T2" s="107"/>
      <c r="U2" s="108"/>
    </row>
    <row r="3" s="1" customFormat="1" ht="25" customHeight="1" spans="2:21">
      <c r="B3" s="7" t="s">
        <v>104</v>
      </c>
      <c r="C3" s="8"/>
      <c r="D3" s="8" t="s">
        <v>105</v>
      </c>
      <c r="E3" s="8"/>
      <c r="F3" s="8" t="s">
        <v>106</v>
      </c>
      <c r="G3" s="8"/>
      <c r="H3" s="8" t="s">
        <v>107</v>
      </c>
      <c r="I3" s="8"/>
      <c r="J3" s="8" t="s">
        <v>108</v>
      </c>
      <c r="K3" s="8"/>
      <c r="L3" s="8"/>
      <c r="M3" s="8"/>
      <c r="N3" s="8"/>
      <c r="O3" s="8"/>
      <c r="P3" s="68"/>
      <c r="Q3" s="68"/>
      <c r="R3" s="68"/>
      <c r="S3" s="68"/>
      <c r="T3" s="107"/>
      <c r="U3" s="108"/>
    </row>
    <row r="4" ht="25" customHeight="1" spans="2:20">
      <c r="B4" s="10" t="s">
        <v>109</v>
      </c>
      <c r="C4" s="11"/>
      <c r="D4" s="11"/>
      <c r="E4" s="12" t="s">
        <v>110</v>
      </c>
      <c r="F4" s="12"/>
      <c r="G4" s="12"/>
      <c r="H4" s="12" t="s">
        <v>111</v>
      </c>
      <c r="I4" s="12"/>
      <c r="J4" s="12"/>
      <c r="K4" s="69"/>
      <c r="L4" s="70"/>
      <c r="M4" s="71"/>
      <c r="N4" s="71"/>
      <c r="O4" s="71"/>
      <c r="P4" s="71"/>
      <c r="Q4" s="71"/>
      <c r="R4" s="71"/>
      <c r="S4" s="71"/>
      <c r="T4" s="109"/>
    </row>
    <row r="5" s="143" customFormat="1" ht="25" customHeight="1" spans="2:21">
      <c r="B5" s="13" t="s">
        <v>112</v>
      </c>
      <c r="C5" s="14"/>
      <c r="D5" s="15" t="s">
        <v>113</v>
      </c>
      <c r="E5" s="16" t="s">
        <v>114</v>
      </c>
      <c r="F5" s="16"/>
      <c r="G5" s="16" t="s">
        <v>38</v>
      </c>
      <c r="H5" s="16"/>
      <c r="I5" s="16" t="s">
        <v>115</v>
      </c>
      <c r="J5" s="16"/>
      <c r="K5" s="16" t="s">
        <v>116</v>
      </c>
      <c r="L5" s="16"/>
      <c r="M5" s="16" t="s">
        <v>117</v>
      </c>
      <c r="N5" s="16"/>
      <c r="O5" s="16" t="s">
        <v>118</v>
      </c>
      <c r="P5" s="16"/>
      <c r="Q5" s="16" t="s">
        <v>40</v>
      </c>
      <c r="R5" s="16"/>
      <c r="S5" s="16" t="s">
        <v>119</v>
      </c>
      <c r="T5" s="110"/>
      <c r="U5" s="144"/>
    </row>
    <row r="6" ht="25" customHeight="1" spans="2:20">
      <c r="B6" s="17" t="s">
        <v>120</v>
      </c>
      <c r="C6" s="18"/>
      <c r="D6" s="19" t="s">
        <v>121</v>
      </c>
      <c r="E6" s="20">
        <v>25</v>
      </c>
      <c r="F6" s="20"/>
      <c r="G6" s="20">
        <v>20</v>
      </c>
      <c r="H6" s="20"/>
      <c r="I6" s="72">
        <v>1300</v>
      </c>
      <c r="J6" s="72"/>
      <c r="K6" s="73">
        <v>0.52</v>
      </c>
      <c r="L6" s="73"/>
      <c r="M6" s="73">
        <v>0.52</v>
      </c>
      <c r="N6" s="73"/>
      <c r="O6" s="74">
        <v>0.52</v>
      </c>
      <c r="P6" s="74"/>
      <c r="Q6" s="111">
        <v>0.6</v>
      </c>
      <c r="R6" s="111"/>
      <c r="S6" s="111">
        <v>0.58</v>
      </c>
      <c r="T6" s="112"/>
    </row>
    <row r="7" ht="25" customHeight="1" spans="2:20">
      <c r="B7" s="21" t="s">
        <v>122</v>
      </c>
      <c r="C7" s="22"/>
      <c r="D7" s="19" t="s">
        <v>123</v>
      </c>
      <c r="E7" s="20">
        <v>20</v>
      </c>
      <c r="F7" s="20"/>
      <c r="G7" s="20">
        <v>20</v>
      </c>
      <c r="H7" s="20"/>
      <c r="I7" s="72">
        <v>1000</v>
      </c>
      <c r="J7" s="72"/>
      <c r="K7" s="73">
        <v>0.4</v>
      </c>
      <c r="L7" s="73"/>
      <c r="M7" s="73">
        <v>0.4</v>
      </c>
      <c r="N7" s="73"/>
      <c r="O7" s="74">
        <v>0.4</v>
      </c>
      <c r="P7" s="74"/>
      <c r="Q7" s="111">
        <v>0.3</v>
      </c>
      <c r="R7" s="111"/>
      <c r="S7" s="111">
        <v>0.34</v>
      </c>
      <c r="T7" s="112"/>
    </row>
    <row r="8" ht="25" customHeight="1" spans="2:20">
      <c r="B8" s="21" t="s">
        <v>124</v>
      </c>
      <c r="C8" s="22"/>
      <c r="D8" s="19" t="s">
        <v>125</v>
      </c>
      <c r="E8" s="20">
        <v>5</v>
      </c>
      <c r="F8" s="20"/>
      <c r="G8" s="20">
        <v>10</v>
      </c>
      <c r="H8" s="20"/>
      <c r="I8" s="72">
        <v>200</v>
      </c>
      <c r="J8" s="72"/>
      <c r="K8" s="73">
        <v>0.08</v>
      </c>
      <c r="L8" s="73"/>
      <c r="M8" s="73">
        <v>0.08</v>
      </c>
      <c r="N8" s="73"/>
      <c r="O8" s="74">
        <v>0.08</v>
      </c>
      <c r="P8" s="74"/>
      <c r="Q8" s="74">
        <v>0.1</v>
      </c>
      <c r="R8" s="74"/>
      <c r="S8" s="74">
        <v>0.08</v>
      </c>
      <c r="T8" s="113"/>
    </row>
    <row r="9" ht="25" customHeight="1" spans="2:20">
      <c r="B9" s="21"/>
      <c r="C9" s="19"/>
      <c r="D9" s="19"/>
      <c r="E9" s="23">
        <f t="shared" ref="E9:I9" si="0">SUM(E6:E8)</f>
        <v>50</v>
      </c>
      <c r="F9" s="23"/>
      <c r="G9" s="23">
        <f t="shared" si="0"/>
        <v>50</v>
      </c>
      <c r="H9" s="23"/>
      <c r="I9" s="75">
        <f t="shared" si="0"/>
        <v>2500</v>
      </c>
      <c r="J9" s="75"/>
      <c r="K9" s="73">
        <f t="shared" ref="K9:O9" si="1">SUM(K6:K8)</f>
        <v>1</v>
      </c>
      <c r="L9" s="73"/>
      <c r="M9" s="73">
        <f t="shared" si="1"/>
        <v>1</v>
      </c>
      <c r="N9" s="73"/>
      <c r="O9" s="73">
        <f t="shared" si="1"/>
        <v>1</v>
      </c>
      <c r="P9" s="73"/>
      <c r="Q9" s="73">
        <f>SUM(Q6:Q8)</f>
        <v>1</v>
      </c>
      <c r="R9" s="73"/>
      <c r="S9" s="73">
        <f>SUM(S6:S8)</f>
        <v>1</v>
      </c>
      <c r="T9" s="113"/>
    </row>
    <row r="10" ht="25" customHeight="1" spans="2:20">
      <c r="B10" s="24" t="s">
        <v>126</v>
      </c>
      <c r="C10" s="25"/>
      <c r="D10" s="25"/>
      <c r="E10" s="25"/>
      <c r="F10" s="25"/>
      <c r="G10" s="25"/>
      <c r="H10" s="26" t="s">
        <v>127</v>
      </c>
      <c r="I10" s="25"/>
      <c r="J10" s="25"/>
      <c r="K10" s="25"/>
      <c r="L10" s="25"/>
      <c r="M10" s="25"/>
      <c r="N10" s="76" t="s">
        <v>128</v>
      </c>
      <c r="O10" s="77"/>
      <c r="P10" s="77"/>
      <c r="Q10" s="114"/>
      <c r="R10" s="115"/>
      <c r="S10" s="115"/>
      <c r="T10" s="116"/>
    </row>
    <row r="11" ht="25" customHeight="1" spans="2:20">
      <c r="B11" s="27" t="s">
        <v>129</v>
      </c>
      <c r="C11" s="28"/>
      <c r="D11" s="29" t="s">
        <v>130</v>
      </c>
      <c r="E11" s="28"/>
      <c r="F11" s="28" t="s">
        <v>131</v>
      </c>
      <c r="G11" s="28"/>
      <c r="H11" s="30" t="s">
        <v>132</v>
      </c>
      <c r="I11" s="28"/>
      <c r="J11" s="28" t="s">
        <v>133</v>
      </c>
      <c r="K11" s="28"/>
      <c r="L11" s="28" t="s">
        <v>131</v>
      </c>
      <c r="M11" s="28"/>
      <c r="N11" s="78">
        <v>50000</v>
      </c>
      <c r="O11" s="79"/>
      <c r="P11" s="79"/>
      <c r="Q11" s="117"/>
      <c r="R11" s="118"/>
      <c r="S11" s="118"/>
      <c r="T11" s="119"/>
    </row>
    <row r="12" ht="25" customHeight="1" spans="2:20">
      <c r="B12" s="31">
        <v>8500</v>
      </c>
      <c r="C12" s="32"/>
      <c r="D12" s="33">
        <v>4500</v>
      </c>
      <c r="E12" s="33"/>
      <c r="F12" s="33">
        <v>13000</v>
      </c>
      <c r="G12" s="33"/>
      <c r="H12" s="34">
        <v>75710</v>
      </c>
      <c r="I12" s="33"/>
      <c r="J12" s="33">
        <v>814</v>
      </c>
      <c r="K12" s="33"/>
      <c r="L12" s="33">
        <v>76524</v>
      </c>
      <c r="M12" s="33"/>
      <c r="N12" s="80"/>
      <c r="O12" s="81"/>
      <c r="P12" s="81"/>
      <c r="Q12" s="120"/>
      <c r="R12" s="121"/>
      <c r="S12" s="121"/>
      <c r="T12" s="122"/>
    </row>
    <row r="13" ht="25" customHeight="1" spans="2:20">
      <c r="B13" s="35" t="s">
        <v>134</v>
      </c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123"/>
    </row>
    <row r="14" ht="25" customHeight="1" spans="2:20">
      <c r="B14" s="56" t="s">
        <v>135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133"/>
    </row>
    <row r="15" s="2" customFormat="1" ht="25" customHeight="1" spans="2:21">
      <c r="B15" s="56" t="s">
        <v>136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133"/>
      <c r="U15" s="3"/>
    </row>
    <row r="16" ht="25" customHeight="1" spans="2:20">
      <c r="B16" s="66" t="s">
        <v>137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142"/>
    </row>
  </sheetData>
  <mergeCells count="82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C5"/>
    <mergeCell ref="E5:F5"/>
    <mergeCell ref="G5:H5"/>
    <mergeCell ref="I5:J5"/>
    <mergeCell ref="K5:L5"/>
    <mergeCell ref="M5:N5"/>
    <mergeCell ref="O5:P5"/>
    <mergeCell ref="Q5:R5"/>
    <mergeCell ref="S5:T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E9:F9"/>
    <mergeCell ref="G9:H9"/>
    <mergeCell ref="I9:J9"/>
    <mergeCell ref="K9:L9"/>
    <mergeCell ref="M9:N9"/>
    <mergeCell ref="O9:P9"/>
    <mergeCell ref="Q9:R9"/>
    <mergeCell ref="S9:T9"/>
    <mergeCell ref="B10:G10"/>
    <mergeCell ref="H10:M10"/>
    <mergeCell ref="N10:P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T13"/>
    <mergeCell ref="B14:T14"/>
    <mergeCell ref="B15:T15"/>
    <mergeCell ref="B16:T16"/>
    <mergeCell ref="N11:P12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6"/>
  <sheetViews>
    <sheetView workbookViewId="0">
      <selection activeCell="M8" sqref="M8:N8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101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6"/>
    </row>
    <row r="2" s="1" customFormat="1" ht="25" customHeight="1" spans="2:21">
      <c r="B2" s="7" t="s">
        <v>102</v>
      </c>
      <c r="C2" s="8"/>
      <c r="D2" s="9" t="s">
        <v>103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68"/>
      <c r="Q2" s="68"/>
      <c r="R2" s="68"/>
      <c r="S2" s="68"/>
      <c r="T2" s="107"/>
      <c r="U2" s="108"/>
    </row>
    <row r="3" s="1" customFormat="1" ht="25" customHeight="1" spans="2:21">
      <c r="B3" s="7" t="s">
        <v>104</v>
      </c>
      <c r="C3" s="8"/>
      <c r="D3" s="8" t="s">
        <v>105</v>
      </c>
      <c r="E3" s="8"/>
      <c r="F3" s="8" t="s">
        <v>106</v>
      </c>
      <c r="G3" s="8"/>
      <c r="H3" s="8" t="s">
        <v>107</v>
      </c>
      <c r="I3" s="8"/>
      <c r="J3" s="8" t="s">
        <v>108</v>
      </c>
      <c r="K3" s="8"/>
      <c r="L3" s="8"/>
      <c r="M3" s="8"/>
      <c r="N3" s="8"/>
      <c r="O3" s="8"/>
      <c r="P3" s="68"/>
      <c r="Q3" s="68"/>
      <c r="R3" s="68"/>
      <c r="S3" s="68"/>
      <c r="T3" s="107"/>
      <c r="U3" s="108"/>
    </row>
    <row r="4" ht="25" customHeight="1" spans="2:20">
      <c r="B4" s="10" t="s">
        <v>109</v>
      </c>
      <c r="C4" s="11"/>
      <c r="D4" s="11"/>
      <c r="E4" s="12" t="s">
        <v>110</v>
      </c>
      <c r="F4" s="12"/>
      <c r="G4" s="12"/>
      <c r="H4" s="12" t="s">
        <v>111</v>
      </c>
      <c r="I4" s="12"/>
      <c r="J4" s="12"/>
      <c r="K4" s="69"/>
      <c r="L4" s="70"/>
      <c r="M4" s="71"/>
      <c r="N4" s="71"/>
      <c r="O4" s="71"/>
      <c r="P4" s="71"/>
      <c r="Q4" s="71"/>
      <c r="R4" s="71"/>
      <c r="S4" s="71"/>
      <c r="T4" s="109"/>
    </row>
    <row r="5" ht="25" customHeight="1" spans="2:20">
      <c r="B5" s="13" t="s">
        <v>112</v>
      </c>
      <c r="C5" s="14"/>
      <c r="D5" s="15" t="s">
        <v>113</v>
      </c>
      <c r="E5" s="16" t="s">
        <v>114</v>
      </c>
      <c r="F5" s="16"/>
      <c r="G5" s="16" t="s">
        <v>38</v>
      </c>
      <c r="H5" s="16"/>
      <c r="I5" s="16" t="s">
        <v>115</v>
      </c>
      <c r="J5" s="16"/>
      <c r="K5" s="16" t="s">
        <v>116</v>
      </c>
      <c r="L5" s="16"/>
      <c r="M5" s="16" t="s">
        <v>117</v>
      </c>
      <c r="N5" s="16"/>
      <c r="O5" s="16" t="s">
        <v>118</v>
      </c>
      <c r="P5" s="16"/>
      <c r="Q5" s="16" t="s">
        <v>40</v>
      </c>
      <c r="R5" s="16"/>
      <c r="S5" s="16" t="s">
        <v>119</v>
      </c>
      <c r="T5" s="110"/>
    </row>
    <row r="6" ht="25" customHeight="1" spans="2:20">
      <c r="B6" s="17" t="s">
        <v>120</v>
      </c>
      <c r="C6" s="18"/>
      <c r="D6" s="19" t="s">
        <v>121</v>
      </c>
      <c r="E6" s="20">
        <v>25</v>
      </c>
      <c r="F6" s="20"/>
      <c r="G6" s="20">
        <v>20</v>
      </c>
      <c r="H6" s="20"/>
      <c r="I6" s="72">
        <v>1300</v>
      </c>
      <c r="J6" s="72"/>
      <c r="K6" s="73">
        <v>0.52</v>
      </c>
      <c r="L6" s="73"/>
      <c r="M6" s="73">
        <v>0.52</v>
      </c>
      <c r="N6" s="73"/>
      <c r="O6" s="74">
        <v>0.52</v>
      </c>
      <c r="P6" s="74"/>
      <c r="Q6" s="111">
        <v>0.6</v>
      </c>
      <c r="R6" s="111"/>
      <c r="S6" s="111">
        <v>0.58</v>
      </c>
      <c r="T6" s="112"/>
    </row>
    <row r="7" ht="25" customHeight="1" spans="2:20">
      <c r="B7" s="21" t="s">
        <v>122</v>
      </c>
      <c r="C7" s="22"/>
      <c r="D7" s="19" t="s">
        <v>123</v>
      </c>
      <c r="E7" s="20">
        <v>20</v>
      </c>
      <c r="F7" s="20"/>
      <c r="G7" s="20">
        <v>20</v>
      </c>
      <c r="H7" s="20"/>
      <c r="I7" s="72">
        <v>1000</v>
      </c>
      <c r="J7" s="72"/>
      <c r="K7" s="73">
        <v>0.4</v>
      </c>
      <c r="L7" s="73"/>
      <c r="M7" s="73">
        <v>0.4</v>
      </c>
      <c r="N7" s="73"/>
      <c r="O7" s="74">
        <v>0.4</v>
      </c>
      <c r="P7" s="74"/>
      <c r="Q7" s="111">
        <v>0.7</v>
      </c>
      <c r="R7" s="111"/>
      <c r="S7" s="111">
        <v>0.34</v>
      </c>
      <c r="T7" s="112"/>
    </row>
    <row r="8" ht="25" customHeight="1" spans="2:20">
      <c r="B8" s="21" t="s">
        <v>124</v>
      </c>
      <c r="C8" s="22"/>
      <c r="D8" s="19" t="s">
        <v>125</v>
      </c>
      <c r="E8" s="20">
        <v>5</v>
      </c>
      <c r="F8" s="20"/>
      <c r="G8" s="20">
        <v>10</v>
      </c>
      <c r="H8" s="20"/>
      <c r="I8" s="72">
        <v>200</v>
      </c>
      <c r="J8" s="72"/>
      <c r="K8" s="73">
        <v>0.08</v>
      </c>
      <c r="L8" s="73"/>
      <c r="M8" s="73">
        <v>0.08</v>
      </c>
      <c r="N8" s="73"/>
      <c r="O8" s="74">
        <v>0.08</v>
      </c>
      <c r="P8" s="74"/>
      <c r="Q8" s="74">
        <v>0.6</v>
      </c>
      <c r="R8" s="74"/>
      <c r="S8" s="74">
        <v>0.08</v>
      </c>
      <c r="T8" s="113"/>
    </row>
    <row r="9" ht="25" customHeight="1" spans="2:20">
      <c r="B9" s="21"/>
      <c r="C9" s="19"/>
      <c r="D9" s="19"/>
      <c r="E9" s="23">
        <f>SUM(E6:E8)</f>
        <v>50</v>
      </c>
      <c r="F9" s="23"/>
      <c r="G9" s="23">
        <f>SUM(G6:G8)</f>
        <v>50</v>
      </c>
      <c r="H9" s="23"/>
      <c r="I9" s="75">
        <f>SUM(I6:I8)</f>
        <v>2500</v>
      </c>
      <c r="J9" s="75"/>
      <c r="K9" s="73">
        <f>SUM(K6:K8)</f>
        <v>1</v>
      </c>
      <c r="L9" s="73"/>
      <c r="M9" s="73">
        <f>SUM(M6:M8)</f>
        <v>1</v>
      </c>
      <c r="N9" s="73"/>
      <c r="O9" s="73">
        <f>SUM(O6:O8)</f>
        <v>1</v>
      </c>
      <c r="P9" s="73"/>
      <c r="Q9" s="73">
        <f>SUM(Q6:Q8)</f>
        <v>1.9</v>
      </c>
      <c r="R9" s="73"/>
      <c r="S9" s="73">
        <f>SUM(S6:S8)</f>
        <v>1</v>
      </c>
      <c r="T9" s="113"/>
    </row>
    <row r="10" ht="25" customHeight="1" spans="2:20">
      <c r="B10" s="24" t="s">
        <v>126</v>
      </c>
      <c r="C10" s="25"/>
      <c r="D10" s="25"/>
      <c r="E10" s="25"/>
      <c r="F10" s="25"/>
      <c r="G10" s="25"/>
      <c r="H10" s="26" t="s">
        <v>127</v>
      </c>
      <c r="I10" s="25"/>
      <c r="J10" s="25"/>
      <c r="K10" s="25"/>
      <c r="L10" s="25"/>
      <c r="M10" s="25"/>
      <c r="N10" s="76" t="s">
        <v>128</v>
      </c>
      <c r="O10" s="77"/>
      <c r="P10" s="77"/>
      <c r="Q10" s="114"/>
      <c r="R10" s="115"/>
      <c r="S10" s="115"/>
      <c r="T10" s="116"/>
    </row>
    <row r="11" ht="25" customHeight="1" spans="2:20">
      <c r="B11" s="27" t="s">
        <v>129</v>
      </c>
      <c r="C11" s="28"/>
      <c r="D11" s="29" t="s">
        <v>130</v>
      </c>
      <c r="E11" s="28"/>
      <c r="F11" s="28" t="s">
        <v>131</v>
      </c>
      <c r="G11" s="28"/>
      <c r="H11" s="30" t="s">
        <v>132</v>
      </c>
      <c r="I11" s="28"/>
      <c r="J11" s="28" t="s">
        <v>133</v>
      </c>
      <c r="K11" s="28"/>
      <c r="L11" s="28" t="s">
        <v>131</v>
      </c>
      <c r="M11" s="28"/>
      <c r="N11" s="78">
        <v>50000</v>
      </c>
      <c r="O11" s="79"/>
      <c r="P11" s="79"/>
      <c r="Q11" s="117"/>
      <c r="R11" s="118"/>
      <c r="S11" s="118"/>
      <c r="T11" s="119"/>
    </row>
    <row r="12" ht="25" customHeight="1" spans="2:20">
      <c r="B12" s="31">
        <v>8500</v>
      </c>
      <c r="C12" s="32"/>
      <c r="D12" s="33">
        <v>4500</v>
      </c>
      <c r="E12" s="33"/>
      <c r="F12" s="33">
        <v>13000</v>
      </c>
      <c r="G12" s="33"/>
      <c r="H12" s="34">
        <v>75710</v>
      </c>
      <c r="I12" s="33"/>
      <c r="J12" s="33">
        <v>814</v>
      </c>
      <c r="K12" s="33"/>
      <c r="L12" s="33">
        <v>76524</v>
      </c>
      <c r="M12" s="33"/>
      <c r="N12" s="80"/>
      <c r="O12" s="81"/>
      <c r="P12" s="81"/>
      <c r="Q12" s="120"/>
      <c r="R12" s="121"/>
      <c r="S12" s="121"/>
      <c r="T12" s="122"/>
    </row>
    <row r="13" ht="25" customHeight="1" spans="2:20">
      <c r="B13" s="35" t="s">
        <v>134</v>
      </c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123"/>
    </row>
    <row r="14" ht="25" customHeight="1" spans="2:20">
      <c r="B14" s="38" t="s">
        <v>138</v>
      </c>
      <c r="C14" s="39" t="s">
        <v>139</v>
      </c>
      <c r="D14" s="40"/>
      <c r="E14" s="41" t="s">
        <v>140</v>
      </c>
      <c r="F14" s="40"/>
      <c r="G14" s="42" t="s">
        <v>141</v>
      </c>
      <c r="H14" s="42"/>
      <c r="I14" s="39" t="s">
        <v>142</v>
      </c>
      <c r="J14" s="40"/>
      <c r="K14" s="41" t="s">
        <v>143</v>
      </c>
      <c r="L14" s="40"/>
      <c r="M14" s="39" t="s">
        <v>128</v>
      </c>
      <c r="N14" s="39"/>
      <c r="O14" s="39" t="s">
        <v>144</v>
      </c>
      <c r="P14" s="39"/>
      <c r="Q14" s="41" t="s">
        <v>145</v>
      </c>
      <c r="R14" s="40"/>
      <c r="S14" s="41" t="s">
        <v>146</v>
      </c>
      <c r="T14" s="124"/>
    </row>
    <row r="15" ht="25" customHeight="1" spans="2:20">
      <c r="B15" s="43" t="s">
        <v>147</v>
      </c>
      <c r="C15" s="44">
        <v>191025000038</v>
      </c>
      <c r="D15" s="45"/>
      <c r="E15" s="46" t="s">
        <v>148</v>
      </c>
      <c r="F15" s="46"/>
      <c r="G15" s="33">
        <v>20</v>
      </c>
      <c r="H15" s="33"/>
      <c r="I15" s="82">
        <v>1000</v>
      </c>
      <c r="J15" s="83"/>
      <c r="K15" s="82">
        <v>800</v>
      </c>
      <c r="L15" s="82"/>
      <c r="M15" s="33">
        <v>200</v>
      </c>
      <c r="N15" s="33"/>
      <c r="O15" s="84">
        <v>0.1</v>
      </c>
      <c r="P15" s="84"/>
      <c r="Q15" s="125" t="s">
        <v>149</v>
      </c>
      <c r="R15" s="46"/>
      <c r="S15" s="126" t="s">
        <v>150</v>
      </c>
      <c r="T15" s="127"/>
    </row>
    <row r="16" ht="25" customHeight="1" spans="2:20">
      <c r="B16" s="47"/>
      <c r="C16" s="44">
        <v>190922000006</v>
      </c>
      <c r="D16" s="45"/>
      <c r="E16" s="46" t="s">
        <v>148</v>
      </c>
      <c r="F16" s="46"/>
      <c r="G16" s="33">
        <v>21</v>
      </c>
      <c r="H16" s="33"/>
      <c r="I16" s="82">
        <v>1200</v>
      </c>
      <c r="J16" s="83"/>
      <c r="K16" s="82">
        <v>840</v>
      </c>
      <c r="L16" s="82"/>
      <c r="M16" s="33">
        <v>360</v>
      </c>
      <c r="N16" s="33"/>
      <c r="O16" s="84">
        <v>0.05</v>
      </c>
      <c r="P16" s="84"/>
      <c r="Q16" s="125" t="s">
        <v>149</v>
      </c>
      <c r="R16" s="46"/>
      <c r="S16" s="126" t="s">
        <v>151</v>
      </c>
      <c r="T16" s="127"/>
    </row>
    <row r="17" ht="25" customHeight="1" spans="2:20">
      <c r="B17" s="47"/>
      <c r="C17" s="44">
        <v>190828000021</v>
      </c>
      <c r="D17" s="45"/>
      <c r="E17" s="46" t="s">
        <v>148</v>
      </c>
      <c r="F17" s="46"/>
      <c r="G17" s="33">
        <v>22</v>
      </c>
      <c r="H17" s="33"/>
      <c r="I17" s="82">
        <v>1300</v>
      </c>
      <c r="J17" s="83"/>
      <c r="K17" s="82">
        <v>860</v>
      </c>
      <c r="L17" s="82"/>
      <c r="M17" s="33">
        <v>540</v>
      </c>
      <c r="N17" s="33"/>
      <c r="O17" s="85">
        <v>0.12</v>
      </c>
      <c r="P17" s="85"/>
      <c r="Q17" s="125" t="s">
        <v>149</v>
      </c>
      <c r="R17" s="46"/>
      <c r="S17" s="126" t="s">
        <v>152</v>
      </c>
      <c r="T17" s="127"/>
    </row>
    <row r="18" ht="25" customHeight="1" spans="2:20">
      <c r="B18" s="47"/>
      <c r="C18" s="44">
        <v>191025000041</v>
      </c>
      <c r="D18" s="45"/>
      <c r="E18" s="46" t="s">
        <v>148</v>
      </c>
      <c r="F18" s="46"/>
      <c r="G18" s="33">
        <v>23</v>
      </c>
      <c r="H18" s="33"/>
      <c r="I18" s="82">
        <v>1500</v>
      </c>
      <c r="J18" s="83"/>
      <c r="K18" s="82">
        <v>870</v>
      </c>
      <c r="L18" s="82"/>
      <c r="M18" s="33">
        <v>630</v>
      </c>
      <c r="N18" s="33"/>
      <c r="O18" s="85">
        <v>0.32</v>
      </c>
      <c r="P18" s="85"/>
      <c r="Q18" s="125" t="s">
        <v>149</v>
      </c>
      <c r="R18" s="46"/>
      <c r="S18" s="126" t="s">
        <v>153</v>
      </c>
      <c r="T18" s="127"/>
    </row>
    <row r="19" ht="25" customHeight="1" spans="2:20">
      <c r="B19" s="48" t="s">
        <v>154</v>
      </c>
      <c r="C19" s="49">
        <v>191025000038</v>
      </c>
      <c r="D19" s="49"/>
      <c r="E19" s="50" t="s">
        <v>148</v>
      </c>
      <c r="F19" s="50"/>
      <c r="G19" s="51">
        <v>20</v>
      </c>
      <c r="H19" s="51"/>
      <c r="I19" s="86">
        <v>1000</v>
      </c>
      <c r="J19" s="86"/>
      <c r="K19" s="86">
        <v>800</v>
      </c>
      <c r="L19" s="86"/>
      <c r="M19" s="51">
        <v>200</v>
      </c>
      <c r="N19" s="51"/>
      <c r="O19" s="87">
        <v>0.11</v>
      </c>
      <c r="P19" s="87"/>
      <c r="Q19" s="128" t="s">
        <v>149</v>
      </c>
      <c r="R19" s="50"/>
      <c r="S19" s="129" t="s">
        <v>153</v>
      </c>
      <c r="T19" s="130"/>
    </row>
    <row r="20" ht="25" customHeight="1" spans="2:20">
      <c r="B20" s="47"/>
      <c r="C20" s="44">
        <v>190922000006</v>
      </c>
      <c r="D20" s="45"/>
      <c r="E20" s="46" t="s">
        <v>148</v>
      </c>
      <c r="F20" s="46"/>
      <c r="G20" s="33">
        <v>21</v>
      </c>
      <c r="H20" s="33"/>
      <c r="I20" s="82">
        <v>1200</v>
      </c>
      <c r="J20" s="83"/>
      <c r="K20" s="82">
        <v>840</v>
      </c>
      <c r="L20" s="82"/>
      <c r="M20" s="33">
        <v>360</v>
      </c>
      <c r="N20" s="33"/>
      <c r="O20" s="84">
        <v>0.06</v>
      </c>
      <c r="P20" s="84"/>
      <c r="Q20" s="125" t="s">
        <v>149</v>
      </c>
      <c r="R20" s="46"/>
      <c r="S20" s="126" t="s">
        <v>155</v>
      </c>
      <c r="T20" s="127"/>
    </row>
    <row r="21" ht="25" customHeight="1" spans="2:20">
      <c r="B21" s="47"/>
      <c r="C21" s="44">
        <v>190828000021</v>
      </c>
      <c r="D21" s="45"/>
      <c r="E21" s="46" t="s">
        <v>148</v>
      </c>
      <c r="F21" s="46"/>
      <c r="G21" s="33">
        <v>22</v>
      </c>
      <c r="H21" s="33"/>
      <c r="I21" s="82">
        <v>1300</v>
      </c>
      <c r="J21" s="83"/>
      <c r="K21" s="82">
        <v>860</v>
      </c>
      <c r="L21" s="82"/>
      <c r="M21" s="33">
        <v>540</v>
      </c>
      <c r="N21" s="33"/>
      <c r="O21" s="85">
        <v>0.03</v>
      </c>
      <c r="P21" s="85"/>
      <c r="Q21" s="125" t="s">
        <v>149</v>
      </c>
      <c r="R21" s="46"/>
      <c r="S21" s="126" t="s">
        <v>156</v>
      </c>
      <c r="T21" s="127"/>
    </row>
    <row r="22" ht="25" customHeight="1" spans="2:20">
      <c r="B22" s="47"/>
      <c r="C22" s="44">
        <v>191025000041</v>
      </c>
      <c r="D22" s="45"/>
      <c r="E22" s="46" t="s">
        <v>148</v>
      </c>
      <c r="F22" s="46"/>
      <c r="G22" s="33">
        <v>23</v>
      </c>
      <c r="H22" s="33"/>
      <c r="I22" s="82">
        <v>1500</v>
      </c>
      <c r="J22" s="83"/>
      <c r="K22" s="82">
        <v>870</v>
      </c>
      <c r="L22" s="82"/>
      <c r="M22" s="33">
        <v>630</v>
      </c>
      <c r="N22" s="33"/>
      <c r="O22" s="85">
        <v>0.02</v>
      </c>
      <c r="P22" s="85"/>
      <c r="Q22" s="125" t="s">
        <v>149</v>
      </c>
      <c r="R22" s="46"/>
      <c r="S22" s="126" t="s">
        <v>157</v>
      </c>
      <c r="T22" s="127"/>
    </row>
    <row r="23" ht="25" customHeight="1" spans="2:20">
      <c r="B23" s="47"/>
      <c r="C23" s="44">
        <v>191025000041</v>
      </c>
      <c r="D23" s="45"/>
      <c r="E23" s="46" t="s">
        <v>148</v>
      </c>
      <c r="F23" s="46"/>
      <c r="G23" s="33">
        <v>23</v>
      </c>
      <c r="H23" s="33"/>
      <c r="I23" s="82">
        <v>1500</v>
      </c>
      <c r="J23" s="83"/>
      <c r="K23" s="82">
        <v>870</v>
      </c>
      <c r="L23" s="82"/>
      <c r="M23" s="33">
        <v>630</v>
      </c>
      <c r="N23" s="33"/>
      <c r="O23" s="85">
        <v>0.17</v>
      </c>
      <c r="P23" s="85"/>
      <c r="Q23" s="125" t="s">
        <v>158</v>
      </c>
      <c r="R23" s="46"/>
      <c r="S23" s="126" t="s">
        <v>159</v>
      </c>
      <c r="T23" s="127"/>
    </row>
    <row r="24" ht="25" customHeight="1" spans="2:20">
      <c r="B24" s="48" t="s">
        <v>160</v>
      </c>
      <c r="C24" s="49">
        <v>191025000041</v>
      </c>
      <c r="D24" s="49"/>
      <c r="E24" s="50" t="s">
        <v>148</v>
      </c>
      <c r="F24" s="50"/>
      <c r="G24" s="51">
        <v>23</v>
      </c>
      <c r="H24" s="51"/>
      <c r="I24" s="86">
        <v>1500</v>
      </c>
      <c r="J24" s="86"/>
      <c r="K24" s="86">
        <v>870</v>
      </c>
      <c r="L24" s="86"/>
      <c r="M24" s="51">
        <v>630</v>
      </c>
      <c r="N24" s="51"/>
      <c r="O24" s="88">
        <v>0.02</v>
      </c>
      <c r="P24" s="88"/>
      <c r="Q24" s="128" t="s">
        <v>158</v>
      </c>
      <c r="R24" s="50"/>
      <c r="S24" s="129" t="s">
        <v>161</v>
      </c>
      <c r="T24" s="130"/>
    </row>
    <row r="25" ht="25" customHeight="1" spans="2:20">
      <c r="B25" s="52"/>
      <c r="C25" s="53"/>
      <c r="D25" s="53"/>
      <c r="E25" s="54"/>
      <c r="F25" s="53"/>
      <c r="G25" s="55">
        <f>SUM(G15:G24)</f>
        <v>218</v>
      </c>
      <c r="H25" s="55"/>
      <c r="I25" s="55">
        <f>SUM(I15:I24)</f>
        <v>13000</v>
      </c>
      <c r="J25" s="55"/>
      <c r="K25" s="55">
        <f>SUM(K15:K24)</f>
        <v>8480</v>
      </c>
      <c r="L25" s="55"/>
      <c r="M25" s="55">
        <f>SUM(M15:M24)</f>
        <v>4720</v>
      </c>
      <c r="N25" s="55"/>
      <c r="O25" s="89">
        <f>SUM(O15:O24)</f>
        <v>1</v>
      </c>
      <c r="P25" s="89"/>
      <c r="Q25" s="89"/>
      <c r="R25" s="89"/>
      <c r="S25" s="131"/>
      <c r="T25" s="132"/>
    </row>
    <row r="26" ht="25" customHeight="1" spans="2:20">
      <c r="B26" s="56" t="s">
        <v>162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133"/>
    </row>
    <row r="27" ht="25" customHeight="1" spans="2:20">
      <c r="B27" s="58" t="s">
        <v>163</v>
      </c>
      <c r="C27" s="59" t="s">
        <v>164</v>
      </c>
      <c r="D27" s="59"/>
      <c r="E27" s="59"/>
      <c r="F27" s="59"/>
      <c r="G27" s="40" t="s">
        <v>139</v>
      </c>
      <c r="H27" s="40"/>
      <c r="I27" s="90" t="s">
        <v>165</v>
      </c>
      <c r="J27" s="90"/>
      <c r="K27" s="91" t="s">
        <v>166</v>
      </c>
      <c r="L27" s="91"/>
      <c r="M27" s="92" t="s">
        <v>167</v>
      </c>
      <c r="N27" s="92" t="s">
        <v>168</v>
      </c>
      <c r="O27" s="92"/>
      <c r="P27" s="93" t="s">
        <v>169</v>
      </c>
      <c r="Q27" s="134" t="s">
        <v>170</v>
      </c>
      <c r="R27" s="134"/>
      <c r="S27" s="134" t="s">
        <v>171</v>
      </c>
      <c r="T27" s="135"/>
    </row>
    <row r="28" ht="25" customHeight="1" spans="2:20">
      <c r="B28" s="60">
        <v>1</v>
      </c>
      <c r="C28" s="22" t="s">
        <v>172</v>
      </c>
      <c r="D28" s="22"/>
      <c r="E28" s="22"/>
      <c r="F28" s="22"/>
      <c r="G28" s="61" t="s">
        <v>173</v>
      </c>
      <c r="H28" s="61"/>
      <c r="I28" s="32" t="s">
        <v>174</v>
      </c>
      <c r="J28" s="32"/>
      <c r="K28" s="33">
        <v>30</v>
      </c>
      <c r="L28" s="33"/>
      <c r="M28" s="94">
        <v>2500</v>
      </c>
      <c r="N28" s="94">
        <v>75000</v>
      </c>
      <c r="O28" s="94"/>
      <c r="P28" s="95" t="s">
        <v>161</v>
      </c>
      <c r="Q28" s="136" t="s">
        <v>175</v>
      </c>
      <c r="R28" s="136"/>
      <c r="S28" s="137" t="s">
        <v>176</v>
      </c>
      <c r="T28" s="138"/>
    </row>
    <row r="29" ht="25" customHeight="1" spans="2:20">
      <c r="B29" s="60">
        <v>2</v>
      </c>
      <c r="C29" s="12" t="s">
        <v>177</v>
      </c>
      <c r="D29" s="22"/>
      <c r="E29" s="22"/>
      <c r="F29" s="22"/>
      <c r="G29" s="61" t="s">
        <v>173</v>
      </c>
      <c r="H29" s="61"/>
      <c r="I29" s="32" t="s">
        <v>178</v>
      </c>
      <c r="J29" s="32"/>
      <c r="K29" s="33">
        <v>350</v>
      </c>
      <c r="L29" s="33"/>
      <c r="M29" s="94">
        <v>1</v>
      </c>
      <c r="N29" s="94">
        <v>350</v>
      </c>
      <c r="O29" s="94"/>
      <c r="P29" s="96" t="s">
        <v>179</v>
      </c>
      <c r="Q29" s="136" t="s">
        <v>180</v>
      </c>
      <c r="R29" s="136"/>
      <c r="S29" s="137" t="s">
        <v>176</v>
      </c>
      <c r="T29" s="138"/>
    </row>
    <row r="30" ht="25" customHeight="1" spans="2:20">
      <c r="B30" s="60">
        <v>3</v>
      </c>
      <c r="C30" s="22" t="s">
        <v>181</v>
      </c>
      <c r="D30" s="22"/>
      <c r="E30" s="22"/>
      <c r="F30" s="22"/>
      <c r="G30" s="61" t="s">
        <v>173</v>
      </c>
      <c r="H30" s="61"/>
      <c r="I30" s="32" t="s">
        <v>182</v>
      </c>
      <c r="J30" s="32"/>
      <c r="K30" s="33">
        <v>30</v>
      </c>
      <c r="L30" s="33"/>
      <c r="M30" s="94">
        <v>1</v>
      </c>
      <c r="N30" s="94">
        <v>30</v>
      </c>
      <c r="O30" s="94"/>
      <c r="P30" s="96" t="s">
        <v>179</v>
      </c>
      <c r="Q30" s="136" t="s">
        <v>183</v>
      </c>
      <c r="R30" s="136"/>
      <c r="S30" s="137" t="s">
        <v>176</v>
      </c>
      <c r="T30" s="138"/>
    </row>
    <row r="31" ht="25" customHeight="1" spans="2:20">
      <c r="B31" s="60">
        <v>4</v>
      </c>
      <c r="C31" s="22" t="s">
        <v>181</v>
      </c>
      <c r="D31" s="22"/>
      <c r="E31" s="22"/>
      <c r="F31" s="22"/>
      <c r="G31" s="61" t="s">
        <v>173</v>
      </c>
      <c r="H31" s="61"/>
      <c r="I31" s="32" t="s">
        <v>184</v>
      </c>
      <c r="J31" s="32"/>
      <c r="K31" s="33">
        <v>30</v>
      </c>
      <c r="L31" s="33"/>
      <c r="M31" s="94">
        <v>1</v>
      </c>
      <c r="N31" s="94">
        <v>30</v>
      </c>
      <c r="O31" s="94"/>
      <c r="P31" s="96" t="s">
        <v>179</v>
      </c>
      <c r="Q31" s="136" t="s">
        <v>185</v>
      </c>
      <c r="R31" s="136"/>
      <c r="S31" s="137" t="s">
        <v>176</v>
      </c>
      <c r="T31" s="138"/>
    </row>
    <row r="32" ht="25" customHeight="1" spans="2:20">
      <c r="B32" s="60">
        <v>5</v>
      </c>
      <c r="C32" s="22" t="s">
        <v>181</v>
      </c>
      <c r="D32" s="22"/>
      <c r="E32" s="22"/>
      <c r="F32" s="22"/>
      <c r="G32" s="61" t="s">
        <v>173</v>
      </c>
      <c r="H32" s="61"/>
      <c r="I32" s="32" t="s">
        <v>186</v>
      </c>
      <c r="J32" s="32"/>
      <c r="K32" s="33">
        <v>30</v>
      </c>
      <c r="L32" s="33"/>
      <c r="M32" s="94">
        <v>2</v>
      </c>
      <c r="N32" s="94">
        <v>60</v>
      </c>
      <c r="O32" s="94"/>
      <c r="P32" s="96" t="s">
        <v>179</v>
      </c>
      <c r="Q32" s="136" t="s">
        <v>187</v>
      </c>
      <c r="R32" s="136"/>
      <c r="S32" s="137" t="s">
        <v>176</v>
      </c>
      <c r="T32" s="138"/>
    </row>
    <row r="33" ht="25" customHeight="1" spans="2:20">
      <c r="B33" s="60">
        <v>6</v>
      </c>
      <c r="C33" s="22" t="s">
        <v>181</v>
      </c>
      <c r="D33" s="22"/>
      <c r="E33" s="22"/>
      <c r="F33" s="22"/>
      <c r="G33" s="61">
        <v>190922000006</v>
      </c>
      <c r="H33" s="61"/>
      <c r="I33" s="32" t="s">
        <v>188</v>
      </c>
      <c r="J33" s="32"/>
      <c r="K33" s="33">
        <v>30</v>
      </c>
      <c r="L33" s="33"/>
      <c r="M33" s="94">
        <v>1</v>
      </c>
      <c r="N33" s="94">
        <v>30</v>
      </c>
      <c r="O33" s="94"/>
      <c r="P33" s="96" t="s">
        <v>179</v>
      </c>
      <c r="Q33" s="136" t="s">
        <v>189</v>
      </c>
      <c r="R33" s="136"/>
      <c r="S33" s="137" t="s">
        <v>176</v>
      </c>
      <c r="T33" s="138"/>
    </row>
    <row r="34" ht="25" customHeight="1" spans="2:20">
      <c r="B34" s="60">
        <v>7</v>
      </c>
      <c r="C34" s="22" t="s">
        <v>181</v>
      </c>
      <c r="D34" s="22"/>
      <c r="E34" s="22"/>
      <c r="F34" s="22"/>
      <c r="G34" s="61">
        <v>190922000006</v>
      </c>
      <c r="H34" s="61"/>
      <c r="I34" s="32" t="s">
        <v>190</v>
      </c>
      <c r="J34" s="32"/>
      <c r="K34" s="33">
        <v>30</v>
      </c>
      <c r="L34" s="33"/>
      <c r="M34" s="94">
        <v>2</v>
      </c>
      <c r="N34" s="94">
        <v>60</v>
      </c>
      <c r="O34" s="94"/>
      <c r="P34" s="96" t="s">
        <v>179</v>
      </c>
      <c r="Q34" s="136" t="s">
        <v>191</v>
      </c>
      <c r="R34" s="136"/>
      <c r="S34" s="137" t="s">
        <v>176</v>
      </c>
      <c r="T34" s="138"/>
    </row>
    <row r="35" ht="25" customHeight="1" spans="2:20">
      <c r="B35" s="60">
        <v>8</v>
      </c>
      <c r="C35" s="22" t="s">
        <v>181</v>
      </c>
      <c r="D35" s="22"/>
      <c r="E35" s="22"/>
      <c r="F35" s="22"/>
      <c r="G35" s="61">
        <v>191013000009</v>
      </c>
      <c r="H35" s="61"/>
      <c r="I35" s="32" t="s">
        <v>192</v>
      </c>
      <c r="J35" s="32"/>
      <c r="K35" s="33">
        <v>30</v>
      </c>
      <c r="L35" s="33"/>
      <c r="M35" s="94">
        <v>1</v>
      </c>
      <c r="N35" s="94">
        <v>30</v>
      </c>
      <c r="O35" s="94"/>
      <c r="P35" s="96" t="s">
        <v>179</v>
      </c>
      <c r="Q35" s="136" t="s">
        <v>193</v>
      </c>
      <c r="R35" s="136"/>
      <c r="S35" s="137" t="s">
        <v>176</v>
      </c>
      <c r="T35" s="138"/>
    </row>
    <row r="36" ht="25" customHeight="1" spans="2:20">
      <c r="B36" s="60">
        <v>9</v>
      </c>
      <c r="C36" s="22" t="s">
        <v>181</v>
      </c>
      <c r="D36" s="22"/>
      <c r="E36" s="22"/>
      <c r="F36" s="22"/>
      <c r="G36" s="61" t="s">
        <v>173</v>
      </c>
      <c r="H36" s="61"/>
      <c r="I36" s="32" t="s">
        <v>190</v>
      </c>
      <c r="J36" s="32"/>
      <c r="K36" s="33">
        <v>30</v>
      </c>
      <c r="L36" s="33"/>
      <c r="M36" s="94">
        <v>1</v>
      </c>
      <c r="N36" s="94">
        <v>30</v>
      </c>
      <c r="O36" s="94"/>
      <c r="P36" s="96" t="s">
        <v>179</v>
      </c>
      <c r="Q36" s="136" t="s">
        <v>194</v>
      </c>
      <c r="R36" s="136"/>
      <c r="S36" s="137" t="s">
        <v>176</v>
      </c>
      <c r="T36" s="138"/>
    </row>
    <row r="37" ht="25" customHeight="1" spans="2:20">
      <c r="B37" s="60">
        <v>10</v>
      </c>
      <c r="C37" s="22" t="s">
        <v>181</v>
      </c>
      <c r="D37" s="22"/>
      <c r="E37" s="22"/>
      <c r="F37" s="22"/>
      <c r="G37" s="61" t="s">
        <v>173</v>
      </c>
      <c r="H37" s="61"/>
      <c r="I37" s="32" t="s">
        <v>190</v>
      </c>
      <c r="J37" s="32"/>
      <c r="K37" s="33">
        <v>30</v>
      </c>
      <c r="L37" s="33"/>
      <c r="M37" s="94">
        <v>1</v>
      </c>
      <c r="N37" s="94">
        <v>30</v>
      </c>
      <c r="O37" s="94"/>
      <c r="P37" s="96" t="s">
        <v>179</v>
      </c>
      <c r="Q37" s="136" t="s">
        <v>195</v>
      </c>
      <c r="R37" s="136"/>
      <c r="S37" s="137" t="s">
        <v>176</v>
      </c>
      <c r="T37" s="138"/>
    </row>
    <row r="38" ht="25" customHeight="1" spans="2:20">
      <c r="B38" s="60">
        <v>11</v>
      </c>
      <c r="C38" s="22" t="s">
        <v>181</v>
      </c>
      <c r="D38" s="22"/>
      <c r="E38" s="22"/>
      <c r="F38" s="22"/>
      <c r="G38" s="61" t="s">
        <v>173</v>
      </c>
      <c r="H38" s="61"/>
      <c r="I38" s="32" t="s">
        <v>190</v>
      </c>
      <c r="J38" s="32"/>
      <c r="K38" s="33">
        <v>30</v>
      </c>
      <c r="L38" s="33"/>
      <c r="M38" s="94">
        <v>1</v>
      </c>
      <c r="N38" s="94">
        <v>30</v>
      </c>
      <c r="O38" s="94"/>
      <c r="P38" s="96" t="s">
        <v>196</v>
      </c>
      <c r="Q38" s="136" t="s">
        <v>197</v>
      </c>
      <c r="R38" s="136"/>
      <c r="S38" s="137" t="s">
        <v>176</v>
      </c>
      <c r="T38" s="138"/>
    </row>
    <row r="39" ht="25" customHeight="1" spans="2:20">
      <c r="B39" s="60">
        <v>12</v>
      </c>
      <c r="C39" s="22" t="s">
        <v>181</v>
      </c>
      <c r="D39" s="22"/>
      <c r="E39" s="22"/>
      <c r="F39" s="22"/>
      <c r="G39" s="61" t="s">
        <v>173</v>
      </c>
      <c r="H39" s="61"/>
      <c r="I39" s="32" t="s">
        <v>190</v>
      </c>
      <c r="J39" s="32"/>
      <c r="K39" s="32">
        <v>30</v>
      </c>
      <c r="L39" s="32"/>
      <c r="M39" s="94">
        <v>1</v>
      </c>
      <c r="N39" s="96">
        <v>30</v>
      </c>
      <c r="O39" s="96"/>
      <c r="P39" s="96" t="s">
        <v>196</v>
      </c>
      <c r="Q39" s="136" t="s">
        <v>198</v>
      </c>
      <c r="R39" s="136"/>
      <c r="S39" s="137" t="s">
        <v>176</v>
      </c>
      <c r="T39" s="138"/>
    </row>
    <row r="40" s="2" customFormat="1" ht="25" customHeight="1" spans="2:21">
      <c r="B40" s="62"/>
      <c r="C40" s="63"/>
      <c r="D40" s="63"/>
      <c r="E40" s="63"/>
      <c r="F40" s="63"/>
      <c r="G40" s="63"/>
      <c r="H40" s="64"/>
      <c r="I40" s="64"/>
      <c r="J40" s="64"/>
      <c r="K40" s="97"/>
      <c r="L40" s="98"/>
      <c r="M40" s="98"/>
      <c r="N40" s="99">
        <f>SUM(N28:N39)</f>
        <v>75710</v>
      </c>
      <c r="O40" s="99"/>
      <c r="P40" s="100"/>
      <c r="Q40" s="100"/>
      <c r="R40" s="105"/>
      <c r="S40" s="100"/>
      <c r="T40" s="139"/>
      <c r="U40" s="3"/>
    </row>
    <row r="41" ht="25" customHeight="1" spans="2:20">
      <c r="B41" s="56" t="s">
        <v>199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133"/>
    </row>
    <row r="42" ht="25" customHeight="1" spans="2:20">
      <c r="B42" s="65" t="s">
        <v>29</v>
      </c>
      <c r="C42" s="59" t="s">
        <v>164</v>
      </c>
      <c r="D42" s="59"/>
      <c r="E42" s="59"/>
      <c r="F42" s="59"/>
      <c r="G42" s="40" t="s">
        <v>139</v>
      </c>
      <c r="H42" s="40"/>
      <c r="I42" s="90" t="s">
        <v>165</v>
      </c>
      <c r="J42" s="90"/>
      <c r="K42" s="92" t="s">
        <v>200</v>
      </c>
      <c r="L42" s="92"/>
      <c r="M42" s="101" t="s">
        <v>201</v>
      </c>
      <c r="N42" s="101"/>
      <c r="O42" s="102" t="s">
        <v>202</v>
      </c>
      <c r="P42" s="102"/>
      <c r="Q42" s="102" t="s">
        <v>203</v>
      </c>
      <c r="R42" s="102"/>
      <c r="S42" s="134" t="s">
        <v>171</v>
      </c>
      <c r="T42" s="135"/>
    </row>
    <row r="43" ht="25" customHeight="1" spans="2:20">
      <c r="B43" s="60">
        <v>1</v>
      </c>
      <c r="C43" s="22" t="s">
        <v>172</v>
      </c>
      <c r="D43" s="22"/>
      <c r="E43" s="22"/>
      <c r="F43" s="22"/>
      <c r="G43" s="61" t="s">
        <v>173</v>
      </c>
      <c r="H43" s="61"/>
      <c r="I43" s="32" t="s">
        <v>174</v>
      </c>
      <c r="J43" s="32"/>
      <c r="K43" s="94">
        <v>75000</v>
      </c>
      <c r="L43" s="94"/>
      <c r="M43" s="94">
        <v>806.451612903226</v>
      </c>
      <c r="N43" s="94"/>
      <c r="O43" s="33" t="s">
        <v>204</v>
      </c>
      <c r="P43" s="33"/>
      <c r="Q43" s="140">
        <v>43763.9939467593</v>
      </c>
      <c r="R43" s="140"/>
      <c r="S43" s="137" t="s">
        <v>176</v>
      </c>
      <c r="T43" s="138"/>
    </row>
    <row r="44" ht="25" customHeight="1" spans="2:20">
      <c r="B44" s="60">
        <v>2</v>
      </c>
      <c r="C44" s="12" t="s">
        <v>177</v>
      </c>
      <c r="D44" s="22"/>
      <c r="E44" s="22"/>
      <c r="F44" s="22"/>
      <c r="G44" s="61" t="s">
        <v>173</v>
      </c>
      <c r="H44" s="61"/>
      <c r="I44" s="32" t="s">
        <v>178</v>
      </c>
      <c r="J44" s="32"/>
      <c r="K44" s="94">
        <v>350</v>
      </c>
      <c r="L44" s="94"/>
      <c r="M44" s="94">
        <v>3.76344086021505</v>
      </c>
      <c r="N44" s="94"/>
      <c r="O44" s="33" t="s">
        <v>204</v>
      </c>
      <c r="P44" s="33"/>
      <c r="Q44" s="140">
        <v>43763.9939467593</v>
      </c>
      <c r="R44" s="140"/>
      <c r="S44" s="137" t="s">
        <v>176</v>
      </c>
      <c r="T44" s="138"/>
    </row>
    <row r="45" ht="25" customHeight="1" spans="2:20">
      <c r="B45" s="60">
        <v>3</v>
      </c>
      <c r="C45" s="22" t="s">
        <v>181</v>
      </c>
      <c r="D45" s="22"/>
      <c r="E45" s="22"/>
      <c r="F45" s="22"/>
      <c r="G45" s="61" t="s">
        <v>173</v>
      </c>
      <c r="H45" s="61"/>
      <c r="I45" s="32" t="s">
        <v>182</v>
      </c>
      <c r="J45" s="32"/>
      <c r="K45" s="94">
        <v>30</v>
      </c>
      <c r="L45" s="94"/>
      <c r="M45" s="94">
        <v>0.32258064516129</v>
      </c>
      <c r="N45" s="94"/>
      <c r="O45" s="33" t="s">
        <v>204</v>
      </c>
      <c r="P45" s="33"/>
      <c r="Q45" s="140">
        <v>43763.9939467593</v>
      </c>
      <c r="R45" s="140"/>
      <c r="S45" s="137" t="s">
        <v>176</v>
      </c>
      <c r="T45" s="138"/>
    </row>
    <row r="46" ht="25" customHeight="1" spans="2:20">
      <c r="B46" s="60">
        <v>4</v>
      </c>
      <c r="C46" s="22" t="s">
        <v>181</v>
      </c>
      <c r="D46" s="22"/>
      <c r="E46" s="22"/>
      <c r="F46" s="22"/>
      <c r="G46" s="61" t="s">
        <v>173</v>
      </c>
      <c r="H46" s="61"/>
      <c r="I46" s="32" t="s">
        <v>184</v>
      </c>
      <c r="J46" s="32"/>
      <c r="K46" s="94">
        <v>30</v>
      </c>
      <c r="L46" s="94"/>
      <c r="M46" s="94">
        <v>0.32258064516129</v>
      </c>
      <c r="N46" s="94"/>
      <c r="O46" s="33" t="s">
        <v>204</v>
      </c>
      <c r="P46" s="33"/>
      <c r="Q46" s="140">
        <v>43763.9939467593</v>
      </c>
      <c r="R46" s="140"/>
      <c r="S46" s="137" t="s">
        <v>176</v>
      </c>
      <c r="T46" s="138"/>
    </row>
    <row r="47" ht="25" customHeight="1" spans="2:20">
      <c r="B47" s="60">
        <v>5</v>
      </c>
      <c r="C47" s="22" t="s">
        <v>181</v>
      </c>
      <c r="D47" s="22"/>
      <c r="E47" s="22"/>
      <c r="F47" s="22"/>
      <c r="G47" s="61" t="s">
        <v>173</v>
      </c>
      <c r="H47" s="61"/>
      <c r="I47" s="32" t="s">
        <v>186</v>
      </c>
      <c r="J47" s="32"/>
      <c r="K47" s="94">
        <v>60</v>
      </c>
      <c r="L47" s="94"/>
      <c r="M47" s="94">
        <v>0.645161290322581</v>
      </c>
      <c r="N47" s="94"/>
      <c r="O47" s="33" t="s">
        <v>204</v>
      </c>
      <c r="P47" s="33"/>
      <c r="Q47" s="140">
        <v>43763.9939467593</v>
      </c>
      <c r="R47" s="140"/>
      <c r="S47" s="137" t="s">
        <v>176</v>
      </c>
      <c r="T47" s="138"/>
    </row>
    <row r="48" ht="25" customHeight="1" spans="2:20">
      <c r="B48" s="60">
        <v>6</v>
      </c>
      <c r="C48" s="22" t="s">
        <v>181</v>
      </c>
      <c r="D48" s="22"/>
      <c r="E48" s="22"/>
      <c r="F48" s="22"/>
      <c r="G48" s="61">
        <v>190922000006</v>
      </c>
      <c r="H48" s="61"/>
      <c r="I48" s="32" t="s">
        <v>188</v>
      </c>
      <c r="J48" s="32"/>
      <c r="K48" s="94">
        <v>30</v>
      </c>
      <c r="L48" s="94"/>
      <c r="M48" s="94">
        <v>0.32258064516129</v>
      </c>
      <c r="N48" s="94"/>
      <c r="O48" s="33" t="s">
        <v>204</v>
      </c>
      <c r="P48" s="33"/>
      <c r="Q48" s="140">
        <v>43763.9939467593</v>
      </c>
      <c r="R48" s="140"/>
      <c r="S48" s="137" t="s">
        <v>176</v>
      </c>
      <c r="T48" s="138"/>
    </row>
    <row r="49" ht="25" customHeight="1" spans="2:20">
      <c r="B49" s="60">
        <v>7</v>
      </c>
      <c r="C49" s="22" t="s">
        <v>181</v>
      </c>
      <c r="D49" s="22"/>
      <c r="E49" s="22"/>
      <c r="F49" s="22"/>
      <c r="G49" s="61">
        <v>190922000006</v>
      </c>
      <c r="H49" s="61"/>
      <c r="I49" s="32" t="s">
        <v>190</v>
      </c>
      <c r="J49" s="32"/>
      <c r="K49" s="94">
        <v>60</v>
      </c>
      <c r="L49" s="94"/>
      <c r="M49" s="94">
        <v>0.645161290322581</v>
      </c>
      <c r="N49" s="94"/>
      <c r="O49" s="33" t="s">
        <v>204</v>
      </c>
      <c r="P49" s="33"/>
      <c r="Q49" s="140">
        <v>43763.9939467593</v>
      </c>
      <c r="R49" s="140"/>
      <c r="S49" s="137" t="s">
        <v>176</v>
      </c>
      <c r="T49" s="138"/>
    </row>
    <row r="50" ht="25" customHeight="1" spans="2:20">
      <c r="B50" s="60">
        <v>8</v>
      </c>
      <c r="C50" s="22" t="s">
        <v>181</v>
      </c>
      <c r="D50" s="22"/>
      <c r="E50" s="22"/>
      <c r="F50" s="22"/>
      <c r="G50" s="61">
        <v>191013000009</v>
      </c>
      <c r="H50" s="61"/>
      <c r="I50" s="32" t="s">
        <v>192</v>
      </c>
      <c r="J50" s="32"/>
      <c r="K50" s="94">
        <v>30</v>
      </c>
      <c r="L50" s="94"/>
      <c r="M50" s="94">
        <v>0.32258064516129</v>
      </c>
      <c r="N50" s="94"/>
      <c r="O50" s="33" t="s">
        <v>204</v>
      </c>
      <c r="P50" s="33"/>
      <c r="Q50" s="140">
        <v>43763.9939467593</v>
      </c>
      <c r="R50" s="140"/>
      <c r="S50" s="137" t="s">
        <v>176</v>
      </c>
      <c r="T50" s="138"/>
    </row>
    <row r="51" ht="25" customHeight="1" spans="2:20">
      <c r="B51" s="60">
        <v>9</v>
      </c>
      <c r="C51" s="22" t="s">
        <v>181</v>
      </c>
      <c r="D51" s="22"/>
      <c r="E51" s="22"/>
      <c r="F51" s="22"/>
      <c r="G51" s="61" t="s">
        <v>173</v>
      </c>
      <c r="H51" s="61"/>
      <c r="I51" s="32" t="s">
        <v>190</v>
      </c>
      <c r="J51" s="32"/>
      <c r="K51" s="94">
        <v>30</v>
      </c>
      <c r="L51" s="94"/>
      <c r="M51" s="94">
        <v>0.32258064516129</v>
      </c>
      <c r="N51" s="94"/>
      <c r="O51" s="33" t="s">
        <v>204</v>
      </c>
      <c r="P51" s="33"/>
      <c r="Q51" s="140">
        <v>43763.9939467593</v>
      </c>
      <c r="R51" s="140"/>
      <c r="S51" s="137" t="s">
        <v>176</v>
      </c>
      <c r="T51" s="138"/>
    </row>
    <row r="52" ht="25" customHeight="1" spans="2:20">
      <c r="B52" s="60">
        <v>10</v>
      </c>
      <c r="C52" s="22" t="s">
        <v>181</v>
      </c>
      <c r="D52" s="22"/>
      <c r="E52" s="22"/>
      <c r="F52" s="22"/>
      <c r="G52" s="61" t="s">
        <v>173</v>
      </c>
      <c r="H52" s="61"/>
      <c r="I52" s="32" t="s">
        <v>190</v>
      </c>
      <c r="J52" s="32"/>
      <c r="K52" s="94">
        <v>30</v>
      </c>
      <c r="L52" s="94"/>
      <c r="M52" s="94">
        <v>0.32258064516129</v>
      </c>
      <c r="N52" s="94"/>
      <c r="O52" s="33" t="s">
        <v>204</v>
      </c>
      <c r="P52" s="33"/>
      <c r="Q52" s="140">
        <v>43763.9939467593</v>
      </c>
      <c r="R52" s="140"/>
      <c r="S52" s="137" t="s">
        <v>176</v>
      </c>
      <c r="T52" s="138"/>
    </row>
    <row r="53" ht="25" customHeight="1" spans="2:20">
      <c r="B53" s="60">
        <v>11</v>
      </c>
      <c r="C53" s="22" t="s">
        <v>181</v>
      </c>
      <c r="D53" s="22"/>
      <c r="E53" s="22"/>
      <c r="F53" s="22"/>
      <c r="G53" s="61" t="s">
        <v>173</v>
      </c>
      <c r="H53" s="61"/>
      <c r="I53" s="32" t="s">
        <v>190</v>
      </c>
      <c r="J53" s="32"/>
      <c r="K53" s="94">
        <v>30</v>
      </c>
      <c r="L53" s="94"/>
      <c r="M53" s="94">
        <v>0.32258064516129</v>
      </c>
      <c r="N53" s="94"/>
      <c r="O53" s="33" t="s">
        <v>204</v>
      </c>
      <c r="P53" s="33"/>
      <c r="Q53" s="140">
        <v>43763.9939467593</v>
      </c>
      <c r="R53" s="140"/>
      <c r="S53" s="137" t="s">
        <v>176</v>
      </c>
      <c r="T53" s="138"/>
    </row>
    <row r="54" ht="25" customHeight="1" spans="2:20">
      <c r="B54" s="60">
        <v>12</v>
      </c>
      <c r="C54" s="22" t="s">
        <v>181</v>
      </c>
      <c r="D54" s="22"/>
      <c r="E54" s="22"/>
      <c r="F54" s="22"/>
      <c r="G54" s="61" t="s">
        <v>173</v>
      </c>
      <c r="H54" s="61"/>
      <c r="I54" s="32" t="s">
        <v>190</v>
      </c>
      <c r="J54" s="32"/>
      <c r="K54" s="96">
        <v>30</v>
      </c>
      <c r="L54" s="96"/>
      <c r="M54" s="94">
        <v>0.32258064516129</v>
      </c>
      <c r="N54" s="94"/>
      <c r="O54" s="33" t="s">
        <v>204</v>
      </c>
      <c r="P54" s="33"/>
      <c r="Q54" s="140">
        <v>43763.9939467593</v>
      </c>
      <c r="R54" s="140"/>
      <c r="S54" s="137" t="s">
        <v>176</v>
      </c>
      <c r="T54" s="138"/>
    </row>
    <row r="55" ht="25" customHeight="1" spans="2:20">
      <c r="B55" s="62"/>
      <c r="C55" s="63"/>
      <c r="D55" s="63"/>
      <c r="E55" s="63"/>
      <c r="F55" s="63"/>
      <c r="G55" s="63"/>
      <c r="H55" s="64"/>
      <c r="I55" s="98"/>
      <c r="J55" s="103"/>
      <c r="K55" s="99">
        <f>SUM(K43:K54)</f>
        <v>75710</v>
      </c>
      <c r="L55" s="99"/>
      <c r="M55" s="99">
        <f>SUM(M43:M54)</f>
        <v>814.086021505377</v>
      </c>
      <c r="N55" s="99"/>
      <c r="O55" s="104"/>
      <c r="P55" s="105"/>
      <c r="Q55" s="105"/>
      <c r="R55" s="105"/>
      <c r="S55" s="105"/>
      <c r="T55" s="141"/>
    </row>
    <row r="56" ht="25" customHeight="1" spans="2:20">
      <c r="B56" s="66" t="s">
        <v>205</v>
      </c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142"/>
    </row>
  </sheetData>
  <mergeCells count="38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C5"/>
    <mergeCell ref="E5:F5"/>
    <mergeCell ref="G5:H5"/>
    <mergeCell ref="I5:J5"/>
    <mergeCell ref="K5:L5"/>
    <mergeCell ref="M5:N5"/>
    <mergeCell ref="O5:P5"/>
    <mergeCell ref="Q5:R5"/>
    <mergeCell ref="S5:T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E9:F9"/>
    <mergeCell ref="G9:H9"/>
    <mergeCell ref="I9:J9"/>
    <mergeCell ref="K9:L9"/>
    <mergeCell ref="M9:N9"/>
    <mergeCell ref="O9:P9"/>
    <mergeCell ref="Q9:R9"/>
    <mergeCell ref="S9:T9"/>
    <mergeCell ref="B10:G10"/>
    <mergeCell ref="H10:M10"/>
    <mergeCell ref="N10:P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B26:T26"/>
    <mergeCell ref="C27:F27"/>
    <mergeCell ref="G27:H27"/>
    <mergeCell ref="I27:J27"/>
    <mergeCell ref="K27:L27"/>
    <mergeCell ref="N27:O27"/>
    <mergeCell ref="Q27:R27"/>
    <mergeCell ref="S27:T27"/>
    <mergeCell ref="C28:F28"/>
    <mergeCell ref="G28:H28"/>
    <mergeCell ref="I28:J28"/>
    <mergeCell ref="K28:L28"/>
    <mergeCell ref="N28:O28"/>
    <mergeCell ref="Q28:R28"/>
    <mergeCell ref="S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L40:M40"/>
    <mergeCell ref="N40:O40"/>
    <mergeCell ref="B41:T41"/>
    <mergeCell ref="C42:F42"/>
    <mergeCell ref="G42:H42"/>
    <mergeCell ref="I42:J42"/>
    <mergeCell ref="K42:L42"/>
    <mergeCell ref="M42:N42"/>
    <mergeCell ref="O42:P42"/>
    <mergeCell ref="Q42:R42"/>
    <mergeCell ref="S42:T42"/>
    <mergeCell ref="C43:F43"/>
    <mergeCell ref="G43:H43"/>
    <mergeCell ref="I43:J43"/>
    <mergeCell ref="K43:L43"/>
    <mergeCell ref="M43:N43"/>
    <mergeCell ref="O43:P43"/>
    <mergeCell ref="Q43:R43"/>
    <mergeCell ref="S43:T43"/>
    <mergeCell ref="C44:F44"/>
    <mergeCell ref="G44:H44"/>
    <mergeCell ref="I44:J44"/>
    <mergeCell ref="K44:L44"/>
    <mergeCell ref="M44:N44"/>
    <mergeCell ref="O44:P44"/>
    <mergeCell ref="Q44:R44"/>
    <mergeCell ref="S44:T44"/>
    <mergeCell ref="C45:F45"/>
    <mergeCell ref="G45:H45"/>
    <mergeCell ref="I45:J45"/>
    <mergeCell ref="K45:L45"/>
    <mergeCell ref="M45:N45"/>
    <mergeCell ref="O45:P45"/>
    <mergeCell ref="Q45:R45"/>
    <mergeCell ref="S45:T45"/>
    <mergeCell ref="C46:F46"/>
    <mergeCell ref="G46:H46"/>
    <mergeCell ref="I46:J46"/>
    <mergeCell ref="K46:L46"/>
    <mergeCell ref="M46:N46"/>
    <mergeCell ref="O46:P46"/>
    <mergeCell ref="Q46:R46"/>
    <mergeCell ref="S46:T46"/>
    <mergeCell ref="C47:F47"/>
    <mergeCell ref="G47:H47"/>
    <mergeCell ref="I47:J47"/>
    <mergeCell ref="K47:L47"/>
    <mergeCell ref="M47:N47"/>
    <mergeCell ref="O47:P47"/>
    <mergeCell ref="Q47:R47"/>
    <mergeCell ref="S47:T47"/>
    <mergeCell ref="C48:F48"/>
    <mergeCell ref="G48:H48"/>
    <mergeCell ref="I48:J48"/>
    <mergeCell ref="K48:L48"/>
    <mergeCell ref="M48:N48"/>
    <mergeCell ref="O48:P48"/>
    <mergeCell ref="Q48:R48"/>
    <mergeCell ref="S48:T48"/>
    <mergeCell ref="C49:F49"/>
    <mergeCell ref="G49:H49"/>
    <mergeCell ref="I49:J49"/>
    <mergeCell ref="K49:L49"/>
    <mergeCell ref="M49:N49"/>
    <mergeCell ref="O49:P49"/>
    <mergeCell ref="Q49:R49"/>
    <mergeCell ref="S49:T49"/>
    <mergeCell ref="C50:F50"/>
    <mergeCell ref="G50:H50"/>
    <mergeCell ref="I50:J50"/>
    <mergeCell ref="K50:L50"/>
    <mergeCell ref="M50:N50"/>
    <mergeCell ref="O50:P50"/>
    <mergeCell ref="Q50:R50"/>
    <mergeCell ref="S50:T50"/>
    <mergeCell ref="C51:F51"/>
    <mergeCell ref="G51:H51"/>
    <mergeCell ref="I51:J51"/>
    <mergeCell ref="K51:L51"/>
    <mergeCell ref="M51:N51"/>
    <mergeCell ref="O51:P51"/>
    <mergeCell ref="Q51:R51"/>
    <mergeCell ref="S51:T51"/>
    <mergeCell ref="C52:F52"/>
    <mergeCell ref="G52:H52"/>
    <mergeCell ref="I52:J52"/>
    <mergeCell ref="K52:L52"/>
    <mergeCell ref="M52:N52"/>
    <mergeCell ref="O52:P52"/>
    <mergeCell ref="Q52:R52"/>
    <mergeCell ref="S52:T52"/>
    <mergeCell ref="C53:F53"/>
    <mergeCell ref="G53:H53"/>
    <mergeCell ref="I53:J53"/>
    <mergeCell ref="K53:L53"/>
    <mergeCell ref="M53:N53"/>
    <mergeCell ref="O53:P53"/>
    <mergeCell ref="Q53:R53"/>
    <mergeCell ref="S53:T53"/>
    <mergeCell ref="C54:F54"/>
    <mergeCell ref="G54:H54"/>
    <mergeCell ref="I54:J54"/>
    <mergeCell ref="K54:L54"/>
    <mergeCell ref="M54:N54"/>
    <mergeCell ref="O54:P54"/>
    <mergeCell ref="Q54:R54"/>
    <mergeCell ref="S54:T54"/>
    <mergeCell ref="I55:J55"/>
    <mergeCell ref="K55:L55"/>
    <mergeCell ref="M55:N55"/>
    <mergeCell ref="B56:T56"/>
    <mergeCell ref="B15:B18"/>
    <mergeCell ref="B19:B23"/>
    <mergeCell ref="N11:P12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2022-07-11T07:14:23Z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790C9816CDC344209E76C05C88FD49E9</vt:lpwstr>
  </property>
</Properties>
</file>