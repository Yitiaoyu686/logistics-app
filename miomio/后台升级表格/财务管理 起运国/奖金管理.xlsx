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正常" sheetId="1" r:id="rId1"/>
  </sheets>
  <calcPr calcId="144525"/>
</workbook>
</file>

<file path=xl/sharedStrings.xml><?xml version="1.0" encoding="utf-8"?>
<sst xmlns="http://schemas.openxmlformats.org/spreadsheetml/2006/main" count="137" uniqueCount="64">
  <si>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</si>
  <si>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</si>
  <si>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</si>
  <si>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</si>
  <si>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</si>
  <si>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</si>
  <si>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</si>
  <si>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</si>
  <si>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</si>
  <si>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</si>
  <si>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</si>
  <si>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</si>
  <si>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</si>
  <si>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</si>
  <si>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</si>
  <si>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</si>
  <si>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</si>
  <si>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</si>
  <si>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</si>
  <si>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</si>
  <si>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</si>
  <si>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</si>
  <si>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</si>
  <si>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</si>
  <si>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</si>
  <si>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</si>
  <si>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</si>
  <si>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</si>
  <si>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</si>
  <si>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</si>
  <si>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</si>
  <si>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</si>
  <si>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</si>
  <si>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输入订单号/JOB/提单号/可查询</t>
  </si>
  <si>
    <t>序号</t>
  </si>
  <si>
    <t>业务员</t>
  </si>
  <si>
    <t>利润CNY</t>
  </si>
  <si>
    <t>订单数量</t>
  </si>
  <si>
    <t>计费重量kg</t>
  </si>
  <si>
    <t>奖金方案</t>
  </si>
  <si>
    <t>毛利奖金</t>
  </si>
  <si>
    <t>订单奖金</t>
  </si>
  <si>
    <t>奖金合计</t>
  </si>
  <si>
    <t>支付状态</t>
  </si>
  <si>
    <t>支付凭证</t>
  </si>
  <si>
    <t>支付日期</t>
  </si>
  <si>
    <t>审核状态</t>
  </si>
  <si>
    <t>审核账号</t>
  </si>
  <si>
    <t>审核日期</t>
  </si>
  <si>
    <t>操作</t>
  </si>
  <si>
    <t>更新日期</t>
  </si>
  <si>
    <t>SAM</t>
  </si>
  <si>
    <t>方案B</t>
  </si>
  <si>
    <t>已付</t>
  </si>
  <si>
    <t>查看</t>
  </si>
  <si>
    <t>待审核</t>
  </si>
  <si>
    <t>CANOFFICE</t>
  </si>
  <si>
    <t>审核 支付 @</t>
  </si>
  <si>
    <t>Smile</t>
  </si>
  <si>
    <t>未付</t>
  </si>
  <si>
    <t>已审核</t>
  </si>
  <si>
    <t>查看 @</t>
  </si>
  <si>
    <t>Ying</t>
  </si>
  <si>
    <t>Bella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</si>
</sst>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9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10"/>
      <color rgb="FF393939"/>
      <name val="Microsoft JhengHei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1" fillId="11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5" borderId="15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14" borderId="13" applyNumberFormat="0" applyAlignment="0" applyProtection="0">
      <alignment vertical="center"/>
    </xf>
    <xf numFmtId="0" fontId="18" fillId="14" borderId="10" applyNumberFormat="0" applyAlignment="0" applyProtection="0">
      <alignment vertical="center"/>
    </xf>
    <xf numFmtId="0" fontId="15" fillId="13" borderId="12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4" fontId="6" fillId="7" borderId="0" xfId="0" applyNumberFormat="1" applyFont="1" applyFill="1" applyBorder="1" applyAlignment="1">
      <alignment horizontal="center" vertical="center"/>
    </xf>
    <xf numFmtId="22" fontId="2" fillId="7" borderId="0" xfId="0" applyNumberFormat="1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 wrapText="1"/>
    </xf>
    <xf numFmtId="4" fontId="6" fillId="8" borderId="0" xfId="0" applyNumberFormat="1" applyFont="1" applyFill="1" applyBorder="1" applyAlignment="1">
      <alignment horizontal="center" vertical="center"/>
    </xf>
    <xf numFmtId="22" fontId="2" fillId="8" borderId="0" xfId="0" applyNumberFormat="1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22" fontId="2" fillId="7" borderId="7" xfId="0" applyNumberFormat="1" applyFont="1" applyFill="1" applyBorder="1" applyAlignment="1">
      <alignment horizontal="center" vertical="center"/>
    </xf>
    <xf numFmtId="22" fontId="2" fillId="8" borderId="7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0</xdr:colOff>
      <xdr:row>23</xdr:row>
      <xdr:rowOff>0</xdr:rowOff>
    </xdr:from>
    <xdr:to>
      <xdr:col>20</xdr:col>
      <xdr:colOff>0</xdr:colOff>
      <xdr:row>24</xdr:row>
      <xdr:rowOff>9525</xdr:rowOff>
    </xdr:to>
    <xdr:sp>
      <xdr:nvSpPr>
        <xdr:cNvPr id="25" name="Host Control  1"/>
        <xdr:cNvSpPr/>
      </xdr:nvSpPr>
      <xdr:spPr>
        <a:xfrm>
          <a:off x="16992600" y="7156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2"/>
  <sheetViews>
    <sheetView tabSelected="1" workbookViewId="0">
      <selection activeCell="N11" sqref="N11"/>
    </sheetView>
  </sheetViews>
  <sheetFormatPr defaultColWidth="9" defaultRowHeight="13.5"/>
  <cols>
    <col min="1" max="1" width="7.375" style="1" customWidth="1"/>
    <col min="2" max="3" width="13.625" style="1" customWidth="1"/>
    <col min="4" max="11" width="10.625" style="1" customWidth="1"/>
    <col min="12" max="12" width="15.625" style="1" customWidth="1"/>
    <col min="13" max="14" width="10.625" style="1" customWidth="1"/>
    <col min="15" max="15" width="15.625" style="1" customWidth="1"/>
    <col min="16" max="16" width="10.625" style="1" customWidth="1"/>
    <col min="17" max="18" width="15.625" style="1" customWidth="1"/>
    <col min="19" max="16384" width="9" style="1"/>
  </cols>
  <sheetData>
    <row r="1" s="1" customFormat="1" ht="25" customHeight="1" spans="1:5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</row>
    <row r="2" s="1" customFormat="1" ht="25" customHeight="1" spans="1:19">
      <c r="A2" s="5" t="s">
        <v>0</v>
      </c>
      <c r="B2" s="8" t="s">
        <v>5</v>
      </c>
      <c r="C2" s="5" t="s">
        <v>6</v>
      </c>
      <c r="D2" s="5" t="s">
        <v>7</v>
      </c>
      <c r="E2" s="5" t="s">
        <v>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="1" customFormat="1" ht="25" customHeight="1" spans="1:19">
      <c r="A3" s="10" t="s">
        <v>0</v>
      </c>
      <c r="B3" s="5" t="s">
        <v>9</v>
      </c>
      <c r="C3" s="5" t="s">
        <v>10</v>
      </c>
      <c r="D3" s="5" t="s">
        <v>11</v>
      </c>
      <c r="E3" s="5" t="s">
        <v>12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="1" customFormat="1" ht="25" customHeight="1" spans="1:19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4"/>
      <c r="S4" s="14"/>
    </row>
    <row r="5" s="2" customFormat="1" ht="25" customHeight="1" spans="1:16383">
      <c r="A5" s="11" t="s">
        <v>13</v>
      </c>
      <c r="B5" s="12" t="s">
        <v>14</v>
      </c>
      <c r="C5" s="12" t="s">
        <v>15</v>
      </c>
      <c r="D5" s="12" t="s">
        <v>16</v>
      </c>
      <c r="E5" s="12" t="s">
        <v>17</v>
      </c>
      <c r="F5" s="12" t="s">
        <v>18</v>
      </c>
      <c r="G5" s="12" t="s">
        <v>19</v>
      </c>
      <c r="H5" s="12" t="s">
        <v>20</v>
      </c>
      <c r="I5" s="12" t="s">
        <v>21</v>
      </c>
      <c r="J5" s="12" t="s">
        <v>22</v>
      </c>
      <c r="V5" s="9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</row>
    <row r="6" s="2" customFormat="1" ht="25" customHeight="1" spans="1:16383">
      <c r="A6" s="12" t="s">
        <v>23</v>
      </c>
      <c r="B6" s="12" t="s">
        <v>24</v>
      </c>
      <c r="C6" s="12" t="s">
        <v>25</v>
      </c>
      <c r="D6" s="12" t="s">
        <v>26</v>
      </c>
      <c r="E6" s="12" t="s">
        <v>27</v>
      </c>
      <c r="F6" s="12" t="s">
        <v>28</v>
      </c>
      <c r="G6" s="12" t="s">
        <v>29</v>
      </c>
      <c r="H6" s="12" t="s">
        <v>30</v>
      </c>
      <c r="I6" s="12" t="s">
        <v>31</v>
      </c>
      <c r="J6" s="12" t="s">
        <v>32</v>
      </c>
      <c r="V6" s="9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</row>
    <row r="7" s="1" customFormat="1" ht="25" customHeight="1" spans="1:19">
      <c r="A7" s="13" t="s">
        <v>33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="2" customFormat="1" ht="25" customHeight="1" spans="1:17">
      <c r="A8" s="15" t="s">
        <v>34</v>
      </c>
      <c r="B8" s="16" t="s">
        <v>35</v>
      </c>
      <c r="C8" s="16" t="s">
        <v>36</v>
      </c>
      <c r="D8" s="16" t="s">
        <v>37</v>
      </c>
      <c r="E8" s="16" t="s">
        <v>38</v>
      </c>
      <c r="F8" s="16" t="s">
        <v>39</v>
      </c>
      <c r="G8" s="16" t="s">
        <v>40</v>
      </c>
      <c r="H8" s="16" t="s">
        <v>41</v>
      </c>
      <c r="I8" s="16" t="s">
        <v>42</v>
      </c>
      <c r="J8" s="16" t="s">
        <v>43</v>
      </c>
      <c r="K8" s="16" t="s">
        <v>44</v>
      </c>
      <c r="L8" s="16" t="s">
        <v>45</v>
      </c>
      <c r="M8" s="16" t="s">
        <v>46</v>
      </c>
      <c r="N8" s="16" t="s">
        <v>47</v>
      </c>
      <c r="O8" s="16" t="s">
        <v>48</v>
      </c>
      <c r="P8" s="16" t="s">
        <v>49</v>
      </c>
      <c r="Q8" s="33" t="s">
        <v>50</v>
      </c>
    </row>
    <row r="9" s="3" customFormat="1" ht="25" customHeight="1" spans="1:17">
      <c r="A9" s="17">
        <v>1</v>
      </c>
      <c r="B9" s="18" t="s">
        <v>51</v>
      </c>
      <c r="C9" s="18">
        <v>100000</v>
      </c>
      <c r="D9" s="18">
        <v>50</v>
      </c>
      <c r="E9" s="19">
        <v>50000</v>
      </c>
      <c r="F9" s="19" t="s">
        <v>52</v>
      </c>
      <c r="G9" s="20">
        <v>50000</v>
      </c>
      <c r="H9" s="19">
        <v>500</v>
      </c>
      <c r="I9" s="20">
        <v>50000</v>
      </c>
      <c r="J9" s="27" t="s">
        <v>53</v>
      </c>
      <c r="K9" s="27" t="s">
        <v>54</v>
      </c>
      <c r="L9" s="28">
        <v>43763.9939467593</v>
      </c>
      <c r="M9" s="29" t="s">
        <v>55</v>
      </c>
      <c r="N9" s="29" t="s">
        <v>56</v>
      </c>
      <c r="O9" s="28">
        <v>43763.9939467593</v>
      </c>
      <c r="P9" s="18" t="s">
        <v>57</v>
      </c>
      <c r="Q9" s="34">
        <v>43763.9939467593</v>
      </c>
    </row>
    <row r="10" s="3" customFormat="1" ht="25" customHeight="1" spans="1:17">
      <c r="A10" s="21">
        <v>2</v>
      </c>
      <c r="B10" s="22" t="s">
        <v>58</v>
      </c>
      <c r="C10" s="22">
        <v>100000</v>
      </c>
      <c r="D10" s="22">
        <v>50</v>
      </c>
      <c r="E10" s="23">
        <v>50000</v>
      </c>
      <c r="F10" s="23" t="s">
        <v>52</v>
      </c>
      <c r="G10" s="24">
        <v>50000</v>
      </c>
      <c r="H10" s="23">
        <v>500</v>
      </c>
      <c r="I10" s="24">
        <v>50000</v>
      </c>
      <c r="J10" s="30" t="s">
        <v>59</v>
      </c>
      <c r="K10" s="30" t="s">
        <v>54</v>
      </c>
      <c r="L10" s="31">
        <v>43764.9939467593</v>
      </c>
      <c r="M10" s="32" t="s">
        <v>60</v>
      </c>
      <c r="N10" s="32" t="s">
        <v>56</v>
      </c>
      <c r="O10" s="31">
        <v>43764.9939467593</v>
      </c>
      <c r="P10" s="22" t="s">
        <v>61</v>
      </c>
      <c r="Q10" s="35">
        <v>43764.9939467593</v>
      </c>
    </row>
    <row r="11" s="3" customFormat="1" ht="25" customHeight="1" spans="1:17">
      <c r="A11" s="17">
        <v>3</v>
      </c>
      <c r="B11" s="18" t="s">
        <v>62</v>
      </c>
      <c r="C11" s="18">
        <v>100000</v>
      </c>
      <c r="D11" s="18">
        <v>50</v>
      </c>
      <c r="E11" s="19">
        <v>50000</v>
      </c>
      <c r="F11" s="19" t="s">
        <v>52</v>
      </c>
      <c r="G11" s="20">
        <v>50000</v>
      </c>
      <c r="H11" s="19">
        <v>500</v>
      </c>
      <c r="I11" s="20">
        <v>50000</v>
      </c>
      <c r="J11" s="27" t="s">
        <v>53</v>
      </c>
      <c r="K11" s="27" t="s">
        <v>54</v>
      </c>
      <c r="L11" s="28">
        <v>43765.9939467593</v>
      </c>
      <c r="M11" s="29" t="s">
        <v>55</v>
      </c>
      <c r="N11" s="29" t="s">
        <v>56</v>
      </c>
      <c r="O11" s="28">
        <v>43765.9939467593</v>
      </c>
      <c r="P11" s="18" t="s">
        <v>61</v>
      </c>
      <c r="Q11" s="34">
        <v>43765.9939467593</v>
      </c>
    </row>
    <row r="12" s="3" customFormat="1" ht="25" customHeight="1" spans="1:17">
      <c r="A12" s="21">
        <v>4</v>
      </c>
      <c r="B12" s="22" t="s">
        <v>63</v>
      </c>
      <c r="C12" s="22">
        <v>100000</v>
      </c>
      <c r="D12" s="22">
        <v>50</v>
      </c>
      <c r="E12" s="23">
        <v>50000</v>
      </c>
      <c r="F12" s="23" t="s">
        <v>52</v>
      </c>
      <c r="G12" s="24">
        <v>50000</v>
      </c>
      <c r="H12" s="23">
        <v>500</v>
      </c>
      <c r="I12" s="24">
        <v>50000</v>
      </c>
      <c r="J12" s="30" t="s">
        <v>59</v>
      </c>
      <c r="K12" s="30" t="s">
        <v>54</v>
      </c>
      <c r="L12" s="31">
        <v>43766.9939467593</v>
      </c>
      <c r="M12" s="32" t="s">
        <v>60</v>
      </c>
      <c r="N12" s="32" t="s">
        <v>56</v>
      </c>
      <c r="O12" s="31">
        <v>43766.9939467593</v>
      </c>
      <c r="P12" s="22" t="s">
        <v>57</v>
      </c>
      <c r="Q12" s="35">
        <v>43766.9939467593</v>
      </c>
    </row>
    <row r="13" s="3" customFormat="1" ht="25" customHeight="1" spans="1:17">
      <c r="A13" s="17">
        <v>5</v>
      </c>
      <c r="B13" s="18" t="s">
        <v>62</v>
      </c>
      <c r="C13" s="18">
        <v>100000</v>
      </c>
      <c r="D13" s="18">
        <v>50</v>
      </c>
      <c r="E13" s="19">
        <v>50000</v>
      </c>
      <c r="F13" s="19" t="s">
        <v>52</v>
      </c>
      <c r="G13" s="20">
        <v>50000</v>
      </c>
      <c r="H13" s="19">
        <v>500</v>
      </c>
      <c r="I13" s="20">
        <v>50000</v>
      </c>
      <c r="J13" s="27" t="s">
        <v>53</v>
      </c>
      <c r="K13" s="27" t="s">
        <v>54</v>
      </c>
      <c r="L13" s="28">
        <v>43767.9939467593</v>
      </c>
      <c r="M13" s="29" t="s">
        <v>55</v>
      </c>
      <c r="N13" s="29" t="s">
        <v>56</v>
      </c>
      <c r="O13" s="28">
        <v>43767.9939467593</v>
      </c>
      <c r="P13" s="18" t="s">
        <v>57</v>
      </c>
      <c r="Q13" s="34">
        <v>43767.9939467593</v>
      </c>
    </row>
    <row r="14" s="3" customFormat="1" ht="25" customHeight="1" spans="1:17">
      <c r="A14" s="21">
        <v>6</v>
      </c>
      <c r="B14" s="22" t="s">
        <v>63</v>
      </c>
      <c r="C14" s="22">
        <v>100000</v>
      </c>
      <c r="D14" s="22">
        <v>50</v>
      </c>
      <c r="E14" s="23">
        <v>50000</v>
      </c>
      <c r="F14" s="23" t="s">
        <v>52</v>
      </c>
      <c r="G14" s="24">
        <v>50000</v>
      </c>
      <c r="H14" s="23">
        <v>500</v>
      </c>
      <c r="I14" s="24">
        <v>50000</v>
      </c>
      <c r="J14" s="30" t="s">
        <v>59</v>
      </c>
      <c r="K14" s="30" t="s">
        <v>54</v>
      </c>
      <c r="L14" s="31">
        <v>43768.9939467593</v>
      </c>
      <c r="M14" s="32" t="s">
        <v>60</v>
      </c>
      <c r="N14" s="32" t="s">
        <v>56</v>
      </c>
      <c r="O14" s="31">
        <v>43768.9939467593</v>
      </c>
      <c r="P14" s="22" t="s">
        <v>57</v>
      </c>
      <c r="Q14" s="35">
        <v>43768.9939467593</v>
      </c>
    </row>
    <row r="15" s="3" customFormat="1" ht="25" customHeight="1" spans="1:17">
      <c r="A15" s="17">
        <v>7</v>
      </c>
      <c r="B15" s="18" t="s">
        <v>51</v>
      </c>
      <c r="C15" s="18">
        <v>100000</v>
      </c>
      <c r="D15" s="18">
        <v>50</v>
      </c>
      <c r="E15" s="19">
        <v>50000</v>
      </c>
      <c r="F15" s="19" t="s">
        <v>52</v>
      </c>
      <c r="G15" s="20">
        <v>50000</v>
      </c>
      <c r="H15" s="19">
        <v>500</v>
      </c>
      <c r="I15" s="20">
        <v>50000</v>
      </c>
      <c r="J15" s="27" t="s">
        <v>53</v>
      </c>
      <c r="K15" s="27" t="s">
        <v>54</v>
      </c>
      <c r="L15" s="28">
        <v>43769.9939467593</v>
      </c>
      <c r="M15" s="29" t="s">
        <v>55</v>
      </c>
      <c r="N15" s="29" t="s">
        <v>56</v>
      </c>
      <c r="O15" s="28">
        <v>43769.9939467593</v>
      </c>
      <c r="P15" s="18" t="s">
        <v>57</v>
      </c>
      <c r="Q15" s="34">
        <v>43769.9939467593</v>
      </c>
    </row>
    <row r="16" s="3" customFormat="1" ht="25" customHeight="1" spans="1:17">
      <c r="A16" s="21">
        <v>8</v>
      </c>
      <c r="B16" s="22" t="s">
        <v>58</v>
      </c>
      <c r="C16" s="22">
        <v>100000</v>
      </c>
      <c r="D16" s="22">
        <v>50</v>
      </c>
      <c r="E16" s="23">
        <v>50000</v>
      </c>
      <c r="F16" s="23" t="s">
        <v>52</v>
      </c>
      <c r="G16" s="24">
        <v>50000</v>
      </c>
      <c r="H16" s="23">
        <v>500</v>
      </c>
      <c r="I16" s="24">
        <v>50000</v>
      </c>
      <c r="J16" s="30" t="s">
        <v>59</v>
      </c>
      <c r="K16" s="30" t="s">
        <v>54</v>
      </c>
      <c r="L16" s="31">
        <v>43770.9939467593</v>
      </c>
      <c r="M16" s="32" t="s">
        <v>60</v>
      </c>
      <c r="N16" s="32" t="s">
        <v>56</v>
      </c>
      <c r="O16" s="31">
        <v>43770.9939467593</v>
      </c>
      <c r="P16" s="22" t="s">
        <v>57</v>
      </c>
      <c r="Q16" s="35">
        <v>43770.9939467593</v>
      </c>
    </row>
    <row r="17" s="3" customFormat="1" ht="25" customHeight="1" spans="1:17">
      <c r="A17" s="17">
        <v>9</v>
      </c>
      <c r="B17" s="18" t="s">
        <v>62</v>
      </c>
      <c r="C17" s="18">
        <v>100000</v>
      </c>
      <c r="D17" s="18">
        <v>50</v>
      </c>
      <c r="E17" s="19">
        <v>50000</v>
      </c>
      <c r="F17" s="19" t="s">
        <v>52</v>
      </c>
      <c r="G17" s="20">
        <v>50000</v>
      </c>
      <c r="H17" s="19">
        <v>500</v>
      </c>
      <c r="I17" s="20">
        <v>50000</v>
      </c>
      <c r="J17" s="27" t="s">
        <v>53</v>
      </c>
      <c r="K17" s="27" t="s">
        <v>54</v>
      </c>
      <c r="L17" s="28">
        <v>43771.9939467593</v>
      </c>
      <c r="M17" s="29" t="s">
        <v>55</v>
      </c>
      <c r="N17" s="29" t="s">
        <v>56</v>
      </c>
      <c r="O17" s="28">
        <v>43771.9939467593</v>
      </c>
      <c r="P17" s="18" t="s">
        <v>57</v>
      </c>
      <c r="Q17" s="34">
        <v>43771.9939467593</v>
      </c>
    </row>
    <row r="18" s="3" customFormat="1" ht="25" customHeight="1" spans="1:17">
      <c r="A18" s="21">
        <v>10</v>
      </c>
      <c r="B18" s="22" t="s">
        <v>63</v>
      </c>
      <c r="C18" s="22">
        <v>100000</v>
      </c>
      <c r="D18" s="22">
        <v>50</v>
      </c>
      <c r="E18" s="23">
        <v>50000</v>
      </c>
      <c r="F18" s="23" t="s">
        <v>52</v>
      </c>
      <c r="G18" s="24">
        <v>50000</v>
      </c>
      <c r="H18" s="23">
        <v>500</v>
      </c>
      <c r="I18" s="24">
        <v>50000</v>
      </c>
      <c r="J18" s="30" t="s">
        <v>59</v>
      </c>
      <c r="K18" s="30" t="s">
        <v>54</v>
      </c>
      <c r="L18" s="31">
        <v>43772.9939467593</v>
      </c>
      <c r="M18" s="32" t="s">
        <v>60</v>
      </c>
      <c r="N18" s="32" t="s">
        <v>56</v>
      </c>
      <c r="O18" s="31">
        <v>43772.9939467593</v>
      </c>
      <c r="P18" s="22" t="s">
        <v>57</v>
      </c>
      <c r="Q18" s="35">
        <v>43772.9939467593</v>
      </c>
    </row>
    <row r="19" s="3" customFormat="1" ht="25" customHeight="1" spans="1:17">
      <c r="A19" s="17">
        <v>11</v>
      </c>
      <c r="B19" s="18" t="s">
        <v>62</v>
      </c>
      <c r="C19" s="18">
        <v>100000</v>
      </c>
      <c r="D19" s="18">
        <v>50</v>
      </c>
      <c r="E19" s="19">
        <v>50000</v>
      </c>
      <c r="F19" s="19" t="s">
        <v>52</v>
      </c>
      <c r="G19" s="20">
        <v>50000</v>
      </c>
      <c r="H19" s="19">
        <v>500</v>
      </c>
      <c r="I19" s="20">
        <v>50000</v>
      </c>
      <c r="J19" s="27" t="s">
        <v>53</v>
      </c>
      <c r="K19" s="27" t="s">
        <v>54</v>
      </c>
      <c r="L19" s="28">
        <v>43773.9939467593</v>
      </c>
      <c r="M19" s="29" t="s">
        <v>55</v>
      </c>
      <c r="N19" s="29" t="s">
        <v>56</v>
      </c>
      <c r="O19" s="28">
        <v>43773.9939467593</v>
      </c>
      <c r="P19" s="18" t="s">
        <v>57</v>
      </c>
      <c r="Q19" s="34">
        <v>43773.9939467593</v>
      </c>
    </row>
    <row r="20" s="3" customFormat="1" ht="25" customHeight="1" spans="1:17">
      <c r="A20" s="21">
        <v>12</v>
      </c>
      <c r="B20" s="22" t="s">
        <v>63</v>
      </c>
      <c r="C20" s="22">
        <v>100000</v>
      </c>
      <c r="D20" s="22">
        <v>50</v>
      </c>
      <c r="E20" s="23">
        <v>50000</v>
      </c>
      <c r="F20" s="23" t="s">
        <v>52</v>
      </c>
      <c r="G20" s="24">
        <v>50000</v>
      </c>
      <c r="H20" s="23">
        <v>500</v>
      </c>
      <c r="I20" s="24">
        <v>50000</v>
      </c>
      <c r="J20" s="30" t="s">
        <v>59</v>
      </c>
      <c r="K20" s="30" t="s">
        <v>54</v>
      </c>
      <c r="L20" s="31">
        <v>43774.9939467593</v>
      </c>
      <c r="M20" s="32" t="s">
        <v>60</v>
      </c>
      <c r="N20" s="32" t="s">
        <v>56</v>
      </c>
      <c r="O20" s="31">
        <v>43774.9939467593</v>
      </c>
      <c r="P20" s="22" t="s">
        <v>57</v>
      </c>
      <c r="Q20" s="35">
        <v>43774.9939467593</v>
      </c>
    </row>
    <row r="21" s="3" customFormat="1" ht="25" customHeight="1" spans="1:17">
      <c r="A21" s="17"/>
      <c r="B21" s="18"/>
      <c r="C21" s="18">
        <f>SUM(C9:C20)</f>
        <v>1200000</v>
      </c>
      <c r="D21" s="18"/>
      <c r="E21" s="19">
        <f>SUM(E9:E20)</f>
        <v>600000</v>
      </c>
      <c r="F21" s="19"/>
      <c r="G21" s="20">
        <f>SUM(G9:G20)</f>
        <v>600000</v>
      </c>
      <c r="H21" s="19">
        <f>SUM(H9:H20)</f>
        <v>6000</v>
      </c>
      <c r="I21" s="20">
        <f>SUM(I9:I20)</f>
        <v>600000</v>
      </c>
      <c r="J21" s="27"/>
      <c r="K21" s="27"/>
      <c r="L21" s="28"/>
      <c r="M21" s="29"/>
      <c r="N21" s="29"/>
      <c r="O21" s="29"/>
      <c r="P21" s="18"/>
      <c r="Q21" s="34"/>
    </row>
    <row r="22" ht="25" customHeight="1" spans="1:17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6"/>
    </row>
  </sheetData>
  <mergeCells count="1">
    <mergeCell ref="A4:B4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2021-03-15T12:37:21Z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