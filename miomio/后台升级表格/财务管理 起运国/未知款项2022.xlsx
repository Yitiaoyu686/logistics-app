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3"/>
  </bookViews>
  <sheets>
    <sheet name="中国" sheetId="1" r:id="rId1"/>
    <sheet name="国外" sheetId="2" r:id="rId2"/>
    <sheet name="添加款项" sheetId="3" r:id="rId3"/>
    <sheet name="关联" sheetId="4" r:id="rId4"/>
  </sheets>
  <calcPr calcId="144525"/>
</workbook>
</file>

<file path=xl/sharedStrings.xml><?xml version="1.0" encoding="utf-8"?>
<sst xmlns="http://schemas.openxmlformats.org/spreadsheetml/2006/main" count="460" uniqueCount="97">
  <si>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</si>
  <si>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</si>
  <si>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</si>
  <si>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</si>
  <si>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</si>
  <si>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</si>
  <si>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</si>
  <si>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</si>
  <si>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</si>
  <si>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</si>
  <si>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</si>
  <si>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</si>
  <si>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</si>
  <si>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</si>
  <si>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</si>
  <si>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</si>
  <si>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</si>
  <si>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</si>
  <si>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</si>
  <si>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</si>
  <si>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</si>
  <si>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</si>
  <si>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</si>
  <si>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</si>
  <si>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</si>
  <si>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</si>
  <si>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</si>
  <si>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</si>
  <si>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</si>
  <si>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</si>
  <si>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十添加款项</t>
  </si>
  <si>
    <r>
      <rPr>
        <sz val="10"/>
        <color theme="1"/>
        <rFont val="Microsoft JhengHei"/>
        <charset val="134"/>
      </rPr>
      <t xml:space="preserve">人民币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</si>
  <si>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美金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</si>
  <si>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微信/公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</si>
  <si>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微信/私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</si>
  <si>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支付宝/公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</si>
  <si>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私账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</si>
  <si>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现金 </t>
    </r>
    <r>
      <rPr>
        <sz val="10"/>
        <color theme="1"/>
        <rFont val="Wingdings"/>
        <charset val="134"/>
      </rPr>
      <t>¨</t>
    </r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</si>
  <si>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</si>
  <si>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日期</t>
  </si>
  <si>
    <t>站点</t>
  </si>
  <si>
    <t>描述</t>
  </si>
  <si>
    <t>收入CNY</t>
  </si>
  <si>
    <t>支出CNY</t>
  </si>
  <si>
    <t>余额CNY</t>
  </si>
  <si>
    <t>途径</t>
  </si>
  <si>
    <t>操作</t>
  </si>
  <si>
    <t>收入USD</t>
  </si>
  <si>
    <t>支出USD</t>
  </si>
  <si>
    <t>余额USD</t>
  </si>
  <si>
    <t>支付途径</t>
  </si>
  <si>
    <r>
      <rPr>
        <sz val="9"/>
        <color theme="1"/>
        <rFont val="Microsoft JhengHei"/>
        <charset val="134"/>
      </rPr>
      <t>上月结余转入</t>
    </r>
    <r>
      <rPr>
        <sz val="9"/>
        <color theme="1"/>
        <rFont val="Arial"/>
        <charset val="134"/>
      </rPr>
      <t>Balance</t>
    </r>
  </si>
  <si>
    <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 xml:space="preserve">公  </t>
    </r>
    <r>
      <rPr>
        <sz val="8"/>
        <color rgb="FF0070C0"/>
        <rFont val="Microsoft JhengHei"/>
        <charset val="134"/>
      </rPr>
      <t>查看</t>
    </r>
  </si>
  <si>
    <t>关联</t>
  </si>
  <si>
    <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 xml:space="preserve">私  </t>
    </r>
    <r>
      <rPr>
        <sz val="8"/>
        <color rgb="FF0070C0"/>
        <rFont val="Microsoft JhengHei"/>
        <charset val="134"/>
      </rPr>
      <t>查看</t>
    </r>
  </si>
  <si>
    <r>
      <t>支付宝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 xml:space="preserve">公  </t>
    </r>
    <r>
      <rPr>
        <sz val="8"/>
        <color rgb="FF0070C0"/>
        <rFont val="Microsoft JhengHei"/>
        <charset val="134"/>
      </rPr>
      <t>查看</t>
    </r>
  </si>
  <si>
    <r>
      <t xml:space="preserve">私账2044  </t>
    </r>
    <r>
      <rPr>
        <sz val="8"/>
        <color rgb="FF0070C0"/>
        <rFont val="Microsoft JhengHei"/>
        <charset val="134"/>
      </rPr>
      <t>查看</t>
    </r>
  </si>
  <si>
    <t>2028年</t>
  </si>
  <si>
    <t>2029年</t>
  </si>
  <si>
    <t>2030年</t>
  </si>
  <si>
    <t>10月</t>
  </si>
  <si>
    <t>11月</t>
  </si>
  <si>
    <t>12月</t>
  </si>
  <si>
    <r>
      <rPr>
        <sz val="10"/>
        <color theme="1"/>
        <rFont val="Microsoft JhengHei"/>
        <charset val="134"/>
      </rPr>
      <t xml:space="preserve">奈拉 </t>
    </r>
    <r>
      <rPr>
        <sz val="10"/>
        <color theme="1"/>
        <rFont val="Wingdings"/>
        <charset val="134"/>
      </rPr>
      <t>¨</t>
    </r>
  </si>
  <si>
    <t>收入NGN</t>
  </si>
  <si>
    <t>支出NGN</t>
  </si>
  <si>
    <t>余额NGN</t>
  </si>
  <si>
    <t>添加款项</t>
  </si>
  <si>
    <t>未知款项</t>
  </si>
  <si>
    <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</si>
  <si>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r>
      <rPr>
        <b/>
        <sz val="11"/>
        <color theme="1"/>
        <rFont val="Arial"/>
        <charset val="134"/>
      </rP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</si>
  <si>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t>支付途径：</t>
  </si>
  <si>
    <t>选择</t>
  </si>
  <si>
    <t>支付日期：</t>
  </si>
  <si>
    <t>审核状态：</t>
  </si>
  <si>
    <t>待审核</t>
  </si>
  <si>
    <t>公账工行 2778</t>
  </si>
  <si>
    <t>已审核</t>
  </si>
  <si>
    <t>支付金额：</t>
  </si>
  <si>
    <t>录入</t>
  </si>
  <si>
    <t>录入账号：</t>
  </si>
  <si>
    <t>审核账号：</t>
  </si>
  <si>
    <t>无</t>
  </si>
  <si>
    <t>USD1,250.00</t>
  </si>
  <si>
    <t>Sampao</t>
  </si>
  <si>
    <t>CANSAMPAO</t>
  </si>
  <si>
    <t>支付凭证：</t>
  </si>
  <si>
    <t>查看 上传</t>
  </si>
  <si>
    <t>申请日期：</t>
  </si>
  <si>
    <t>审核日期：</t>
  </si>
  <si>
    <t>查看</t>
  </si>
  <si>
    <t>返回   提交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</si>
  <si>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:</t>
    </r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</si>
  <si>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:220506000026</t>
    </r>
  </si>
  <si>
    <r>
      <t xml:space="preserve">与此金额关联的订单号  </t>
    </r>
    <r>
      <rPr>
        <sz val="10"/>
        <color rgb="FF0070C0"/>
        <rFont val="宋体"/>
        <charset val="134"/>
      </rPr>
      <t>查找</t>
    </r>
  </si>
  <si>
    <r>
      <t>口</t>
    </r>
    <r>
      <rPr>
        <sz val="10"/>
        <color rgb="FF0070C0"/>
        <rFont val="Arial"/>
        <charset val="134"/>
      </rPr>
      <t xml:space="preserve"> 220506000036     </t>
    </r>
    <r>
      <rPr>
        <sz val="10"/>
        <color rgb="FF0070C0"/>
        <rFont val="宋体"/>
        <charset val="134"/>
      </rPr>
      <t>口</t>
    </r>
    <r>
      <rPr>
        <sz val="10"/>
        <color rgb="FF0070C0"/>
        <rFont val="Arial"/>
        <charset val="134"/>
      </rPr>
      <t xml:space="preserve"> 220506000013     </t>
    </r>
    <r>
      <rPr>
        <sz val="10"/>
        <color rgb="FF0070C0"/>
        <rFont val="宋体"/>
        <charset val="134"/>
      </rPr>
      <t>口</t>
    </r>
    <r>
      <rPr>
        <sz val="10"/>
        <color rgb="FF0070C0"/>
        <rFont val="Arial"/>
        <charset val="134"/>
      </rPr>
      <t xml:space="preserve"> 220501000023     </t>
    </r>
    <r>
      <rPr>
        <sz val="10"/>
        <color rgb="FF0070C0"/>
        <rFont val="宋体"/>
        <charset val="134"/>
      </rPr>
      <t>口</t>
    </r>
    <r>
      <rPr>
        <sz val="10"/>
        <color rgb="FF0070C0"/>
        <rFont val="Arial"/>
        <charset val="134"/>
      </rPr>
      <t xml:space="preserve"> 220418000023</t>
    </r>
  </si>
  <si>
    <r>
      <t>þ</t>
    </r>
    <r>
      <rPr>
        <sz val="10"/>
        <color rgb="FF0070C0"/>
        <rFont val="Arial"/>
        <charset val="134"/>
      </rPr>
      <t xml:space="preserve"> 220506000036     </t>
    </r>
    <r>
      <rPr>
        <sz val="10"/>
        <color rgb="FF0070C0"/>
        <rFont val="宋体"/>
        <charset val="134"/>
      </rPr>
      <t>口</t>
    </r>
    <r>
      <rPr>
        <sz val="10"/>
        <color rgb="FF0070C0"/>
        <rFont val="Arial"/>
        <charset val="134"/>
      </rPr>
      <t xml:space="preserve"> 220506000013     </t>
    </r>
    <r>
      <rPr>
        <sz val="10"/>
        <color rgb="FF0070C0"/>
        <rFont val="宋体"/>
        <charset val="134"/>
      </rPr>
      <t>口</t>
    </r>
    <r>
      <rPr>
        <sz val="10"/>
        <color rgb="FF0070C0"/>
        <rFont val="Arial"/>
        <charset val="134"/>
      </rPr>
      <t xml:space="preserve"> 220501000023     </t>
    </r>
    <r>
      <rPr>
        <sz val="10"/>
        <color rgb="FF0070C0"/>
        <rFont val="宋体"/>
        <charset val="134"/>
      </rPr>
      <t>口</t>
    </r>
    <r>
      <rPr>
        <sz val="10"/>
        <color rgb="FF0070C0"/>
        <rFont val="Arial"/>
        <charset val="134"/>
      </rPr>
      <t xml:space="preserve"> 220418000023</t>
    </r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</si>
</sst>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#,##0.00_ "/>
    <numFmt numFmtId="178" formatCode="[$-409]dd\-mmm\-yy;@"/>
    <numFmt numFmtId="179" formatCode="yyyy/m/d\ h:mm;@"/>
  </numFmts>
  <fonts count="5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1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sz val="10"/>
      <color rgb="FF0070C0"/>
      <name val="宋体"/>
      <charset val="134"/>
    </font>
    <font>
      <sz val="10"/>
      <color rgb="FF0070C0"/>
      <name val="Arial"/>
      <charset val="134"/>
    </font>
    <font>
      <sz val="10"/>
      <color rgb="FF0070C0"/>
      <name val="Wingdings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sz val="10"/>
      <color rgb="FFFF0000"/>
      <name val="宋体"/>
      <charset val="134"/>
    </font>
    <font>
      <b/>
      <sz val="11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4"/>
      <color rgb="FFFF0000"/>
      <name val="宋体"/>
      <charset val="134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rgb="FF0070C0"/>
      <name val="Microsoft JhengHei"/>
      <charset val="134"/>
    </font>
    <font>
      <b/>
      <sz val="9"/>
      <color theme="1"/>
      <name val="宋体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1"/>
      <name val="Wingdings"/>
      <charset val="134"/>
    </font>
    <font>
      <sz val="10"/>
      <color theme="1"/>
      <name val="Wingdings"/>
      <charset val="134"/>
    </font>
    <font>
      <sz val="8"/>
      <color rgb="FF0070C0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41" fillId="16" borderId="17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3" fillId="17" borderId="18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right" vertical="center"/>
    </xf>
    <xf numFmtId="22" fontId="5" fillId="3" borderId="0" xfId="0" applyNumberFormat="1" applyFont="1" applyFill="1" applyBorder="1" applyAlignment="1">
      <alignment horizontal="left" vertical="center"/>
    </xf>
    <xf numFmtId="0" fontId="6" fillId="3" borderId="5" xfId="0" applyFont="1" applyFill="1" applyBorder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5" fillId="3" borderId="5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22" fontId="5" fillId="3" borderId="0" xfId="0" applyNumberFormat="1" applyFont="1" applyFill="1" applyAlignment="1">
      <alignment horizontal="left" vertical="center"/>
    </xf>
    <xf numFmtId="22" fontId="5" fillId="3" borderId="5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6" fillId="3" borderId="0" xfId="0" applyFont="1" applyFill="1" applyBorder="1">
      <alignment vertical="center"/>
    </xf>
    <xf numFmtId="0" fontId="4" fillId="3" borderId="5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 vertical="center"/>
    </xf>
    <xf numFmtId="0" fontId="16" fillId="3" borderId="7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1" fillId="5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7" fontId="10" fillId="0" borderId="0" xfId="8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78" fontId="25" fillId="2" borderId="1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178" fontId="25" fillId="2" borderId="2" xfId="0" applyNumberFormat="1" applyFont="1" applyFill="1" applyBorder="1" applyAlignment="1">
      <alignment horizontal="center" vertical="center" wrapText="1"/>
    </xf>
    <xf numFmtId="179" fontId="15" fillId="6" borderId="4" xfId="0" applyNumberFormat="1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178" fontId="26" fillId="6" borderId="0" xfId="0" applyNumberFormat="1" applyFont="1" applyFill="1" applyBorder="1" applyAlignment="1">
      <alignment horizontal="left" vertical="center"/>
    </xf>
    <xf numFmtId="178" fontId="15" fillId="6" borderId="0" xfId="0" applyNumberFormat="1" applyFont="1" applyFill="1" applyBorder="1" applyAlignment="1">
      <alignment horizontal="left" vertical="center"/>
    </xf>
    <xf numFmtId="177" fontId="15" fillId="6" borderId="12" xfId="8" applyNumberFormat="1" applyFont="1" applyFill="1" applyBorder="1" applyAlignment="1">
      <alignment horizontal="center" vertical="center"/>
    </xf>
    <xf numFmtId="177" fontId="15" fillId="6" borderId="0" xfId="0" applyNumberFormat="1" applyFont="1" applyFill="1" applyBorder="1" applyAlignment="1">
      <alignment horizontal="center" vertical="center"/>
    </xf>
    <xf numFmtId="177" fontId="27" fillId="6" borderId="0" xfId="8" applyNumberFormat="1" applyFont="1" applyFill="1" applyBorder="1" applyAlignment="1">
      <alignment horizontal="center" vertical="center"/>
    </xf>
    <xf numFmtId="177" fontId="15" fillId="6" borderId="0" xfId="8" applyNumberFormat="1" applyFont="1" applyFill="1" applyBorder="1" applyAlignment="1">
      <alignment horizontal="center" vertical="center"/>
    </xf>
    <xf numFmtId="179" fontId="15" fillId="3" borderId="4" xfId="0" applyNumberFormat="1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178" fontId="26" fillId="3" borderId="0" xfId="0" applyNumberFormat="1" applyFont="1" applyFill="1" applyBorder="1" applyAlignment="1">
      <alignment horizontal="left" vertical="center"/>
    </xf>
    <xf numFmtId="178" fontId="15" fillId="3" borderId="0" xfId="0" applyNumberFormat="1" applyFont="1" applyFill="1" applyBorder="1" applyAlignment="1">
      <alignment horizontal="left" vertical="center"/>
    </xf>
    <xf numFmtId="177" fontId="15" fillId="3" borderId="12" xfId="0" applyNumberFormat="1" applyFont="1" applyFill="1" applyBorder="1" applyAlignment="1">
      <alignment horizontal="center" vertical="center"/>
    </xf>
    <xf numFmtId="177" fontId="15" fillId="3" borderId="0" xfId="8" applyNumberFormat="1" applyFont="1" applyFill="1" applyBorder="1" applyAlignment="1">
      <alignment horizontal="center" vertical="center"/>
    </xf>
    <xf numFmtId="177" fontId="27" fillId="3" borderId="0" xfId="8" applyNumberFormat="1" applyFont="1" applyFill="1" applyBorder="1" applyAlignment="1">
      <alignment horizontal="center" vertical="center"/>
    </xf>
    <xf numFmtId="1" fontId="15" fillId="6" borderId="0" xfId="0" applyNumberFormat="1" applyFont="1" applyFill="1" applyBorder="1" applyAlignment="1">
      <alignment horizontal="left" vertical="center"/>
    </xf>
    <xf numFmtId="177" fontId="15" fillId="6" borderId="12" xfId="0" applyNumberFormat="1" applyFont="1" applyFill="1" applyBorder="1" applyAlignment="1">
      <alignment horizontal="center" vertical="center"/>
    </xf>
    <xf numFmtId="177" fontId="26" fillId="6" borderId="0" xfId="8" applyNumberFormat="1" applyFont="1" applyFill="1" applyBorder="1" applyAlignment="1">
      <alignment horizontal="center" vertical="center"/>
    </xf>
    <xf numFmtId="1" fontId="15" fillId="3" borderId="0" xfId="0" applyNumberFormat="1" applyFont="1" applyFill="1" applyBorder="1" applyAlignment="1">
      <alignment horizontal="left" vertical="center"/>
    </xf>
    <xf numFmtId="177" fontId="26" fillId="3" borderId="0" xfId="8" applyNumberFormat="1" applyFont="1" applyFill="1" applyBorder="1" applyAlignment="1">
      <alignment horizontal="center" vertical="center"/>
    </xf>
    <xf numFmtId="177" fontId="15" fillId="3" borderId="12" xfId="8" applyNumberFormat="1" applyFont="1" applyFill="1" applyBorder="1" applyAlignment="1">
      <alignment horizontal="center" vertical="center"/>
    </xf>
    <xf numFmtId="177" fontId="15" fillId="3" borderId="0" xfId="0" applyNumberFormat="1" applyFont="1" applyFill="1" applyBorder="1" applyAlignment="1">
      <alignment horizontal="center" vertical="center"/>
    </xf>
    <xf numFmtId="177" fontId="28" fillId="6" borderId="0" xfId="8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78" fontId="25" fillId="2" borderId="3" xfId="0" applyNumberFormat="1" applyFont="1" applyFill="1" applyBorder="1" applyAlignment="1">
      <alignment horizontal="center" vertical="center" wrapText="1"/>
    </xf>
    <xf numFmtId="177" fontId="26" fillId="6" borderId="5" xfId="8" applyNumberFormat="1" applyFont="1" applyFill="1" applyBorder="1" applyAlignment="1">
      <alignment horizontal="center" vertical="center"/>
    </xf>
    <xf numFmtId="177" fontId="26" fillId="3" borderId="5" xfId="8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177" fontId="15" fillId="6" borderId="4" xfId="8" applyNumberFormat="1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177" fontId="27" fillId="6" borderId="12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10" workbookViewId="0">
      <selection activeCell="H14" sqref="H14:H31"/>
    </sheetView>
  </sheetViews>
  <sheetFormatPr defaultColWidth="9" defaultRowHeight="13.5"/>
  <cols>
    <col min="1" max="14" width="18.625" style="53" customWidth="1"/>
    <col min="15" max="16367" width="9" style="53"/>
  </cols>
  <sheetData>
    <row r="1" ht="25" customHeight="1"/>
    <row r="2" ht="25" customHeight="1" spans="1:9">
      <c r="A2" s="54" t="s">
        <v>0</v>
      </c>
      <c r="B2" s="55" t="s">
        <v>1</v>
      </c>
      <c r="C2" s="55" t="s">
        <v>2</v>
      </c>
      <c r="D2" s="55" t="s">
        <v>3</v>
      </c>
      <c r="F2" s="58"/>
      <c r="G2" s="58"/>
      <c r="H2" s="58"/>
      <c r="I2" s="58"/>
    </row>
    <row r="3" ht="25" customHeight="1" spans="1:9">
      <c r="A3" s="54" t="s">
        <v>4</v>
      </c>
      <c r="B3" s="56" t="s">
        <v>5</v>
      </c>
      <c r="C3" s="56" t="s">
        <v>6</v>
      </c>
      <c r="D3" s="56" t="s">
        <v>7</v>
      </c>
      <c r="F3" s="57"/>
      <c r="G3" s="57"/>
      <c r="H3" s="58"/>
      <c r="I3" s="58"/>
    </row>
    <row r="4" ht="25" customHeight="1" spans="1:9">
      <c r="A4" s="59" t="s">
        <v>8</v>
      </c>
      <c r="B4" s="60" t="s">
        <v>9</v>
      </c>
      <c r="C4" s="59" t="s">
        <v>10</v>
      </c>
      <c r="D4" s="59" t="s">
        <v>11</v>
      </c>
      <c r="F4" s="61"/>
      <c r="G4" s="61"/>
      <c r="H4" s="61"/>
      <c r="I4" s="61"/>
    </row>
    <row r="5" ht="25" customHeight="1"/>
    <row r="6" ht="25" customHeight="1" spans="1:9">
      <c r="A6" s="62" t="s">
        <v>12</v>
      </c>
      <c r="B6" s="63" t="s">
        <v>13</v>
      </c>
      <c r="C6" s="63" t="s">
        <v>14</v>
      </c>
      <c r="D6" s="63" t="s">
        <v>15</v>
      </c>
      <c r="E6" s="63" t="s">
        <v>16</v>
      </c>
      <c r="F6" s="63" t="s">
        <v>17</v>
      </c>
      <c r="G6" s="63" t="s">
        <v>18</v>
      </c>
      <c r="H6" s="63" t="s">
        <v>19</v>
      </c>
      <c r="I6" s="63" t="s">
        <v>20</v>
      </c>
    </row>
    <row r="7" s="52" customFormat="1" ht="25" customHeight="1" spans="1:9">
      <c r="A7" s="62" t="s">
        <v>21</v>
      </c>
      <c r="B7" s="63" t="s">
        <v>22</v>
      </c>
      <c r="C7" s="63" t="s">
        <v>23</v>
      </c>
      <c r="D7" s="63" t="s">
        <v>24</v>
      </c>
      <c r="E7" s="63" t="s">
        <v>25</v>
      </c>
      <c r="F7" s="63" t="s">
        <v>26</v>
      </c>
      <c r="G7" s="63" t="s">
        <v>27</v>
      </c>
      <c r="H7" s="63" t="s">
        <v>28</v>
      </c>
      <c r="I7" s="63" t="s">
        <v>29</v>
      </c>
    </row>
    <row r="8" ht="25" customHeight="1"/>
    <row r="9" ht="25" customHeight="1" spans="1:8">
      <c r="A9" s="64" t="s">
        <v>30</v>
      </c>
      <c r="B9" s="65" t="s">
        <v>31</v>
      </c>
      <c r="C9" s="65" t="s">
        <v>32</v>
      </c>
      <c r="D9" s="66" t="s">
        <v>33</v>
      </c>
      <c r="E9" s="66" t="s">
        <v>34</v>
      </c>
      <c r="F9" s="66" t="s">
        <v>35</v>
      </c>
      <c r="G9" s="66" t="s">
        <v>36</v>
      </c>
      <c r="H9" s="65" t="s">
        <v>37</v>
      </c>
    </row>
    <row r="10" ht="25" customHeight="1" spans="1:4">
      <c r="A10" s="67" t="s">
        <v>38</v>
      </c>
      <c r="B10" s="68"/>
      <c r="C10" s="68"/>
      <c r="D10" s="68"/>
    </row>
    <row r="11" ht="30" customHeight="1" spans="1:14">
      <c r="A11" s="69" t="s">
        <v>39</v>
      </c>
      <c r="B11" s="70" t="s">
        <v>40</v>
      </c>
      <c r="C11" s="71" t="s">
        <v>41</v>
      </c>
      <c r="D11" s="71"/>
      <c r="E11" s="71" t="s">
        <v>42</v>
      </c>
      <c r="F11" s="71" t="s">
        <v>43</v>
      </c>
      <c r="G11" s="71" t="s">
        <v>44</v>
      </c>
      <c r="H11" s="71" t="s">
        <v>45</v>
      </c>
      <c r="I11" s="71" t="s">
        <v>46</v>
      </c>
      <c r="J11" s="71" t="s">
        <v>47</v>
      </c>
      <c r="K11" s="71" t="s">
        <v>48</v>
      </c>
      <c r="L11" s="71" t="s">
        <v>49</v>
      </c>
      <c r="M11" s="71" t="s">
        <v>50</v>
      </c>
      <c r="N11" s="97" t="s">
        <v>46</v>
      </c>
    </row>
    <row r="12" ht="25" customHeight="1" spans="1:14">
      <c r="A12" s="72">
        <v>43763.9939467593</v>
      </c>
      <c r="B12" s="73" t="s">
        <v>9</v>
      </c>
      <c r="C12" s="74" t="s">
        <v>51</v>
      </c>
      <c r="D12" s="75"/>
      <c r="E12" s="76">
        <f>2800000-156554</f>
        <v>2643446</v>
      </c>
      <c r="F12" s="77"/>
      <c r="G12" s="78">
        <f>E12-F12</f>
        <v>2643446</v>
      </c>
      <c r="H12" s="79"/>
      <c r="I12" s="89"/>
      <c r="J12" s="76">
        <f>2800000-156554</f>
        <v>2643446</v>
      </c>
      <c r="K12" s="77"/>
      <c r="L12" s="79">
        <f>J12-K12</f>
        <v>2643446</v>
      </c>
      <c r="M12" s="79"/>
      <c r="N12" s="98"/>
    </row>
    <row r="13" ht="25" customHeight="1" spans="1:14">
      <c r="A13" s="80">
        <v>43764.9939467593</v>
      </c>
      <c r="B13" s="81" t="s">
        <v>10</v>
      </c>
      <c r="C13" s="82" t="s">
        <v>51</v>
      </c>
      <c r="D13" s="83"/>
      <c r="E13" s="84">
        <v>23453333</v>
      </c>
      <c r="F13" s="85"/>
      <c r="G13" s="86">
        <f t="shared" ref="G13:G31" si="0">G12+E13-F13</f>
        <v>26096779</v>
      </c>
      <c r="H13" s="85"/>
      <c r="I13" s="91"/>
      <c r="J13" s="84">
        <v>138250</v>
      </c>
      <c r="K13" s="85"/>
      <c r="L13" s="85">
        <f t="shared" ref="L13:L47" si="1">L12+J13-K13</f>
        <v>2781696</v>
      </c>
      <c r="M13" s="85"/>
      <c r="N13" s="99"/>
    </row>
    <row r="14" ht="25" customHeight="1" spans="1:14">
      <c r="A14" s="72">
        <v>43765.9939467593</v>
      </c>
      <c r="B14" s="73" t="s">
        <v>9</v>
      </c>
      <c r="C14" s="87"/>
      <c r="D14" s="87"/>
      <c r="E14" s="88"/>
      <c r="F14" s="79">
        <v>1100000</v>
      </c>
      <c r="G14" s="78">
        <f t="shared" si="0"/>
        <v>24996779</v>
      </c>
      <c r="H14" s="89" t="s">
        <v>52</v>
      </c>
      <c r="I14" s="89" t="s">
        <v>53</v>
      </c>
      <c r="J14" s="88"/>
      <c r="K14" s="79">
        <v>1100000</v>
      </c>
      <c r="L14" s="79">
        <f t="shared" si="1"/>
        <v>1681696</v>
      </c>
      <c r="M14" s="89" t="s">
        <v>52</v>
      </c>
      <c r="N14" s="98" t="s">
        <v>53</v>
      </c>
    </row>
    <row r="15" ht="25" customHeight="1" spans="1:14">
      <c r="A15" s="80">
        <v>43766.9939467593</v>
      </c>
      <c r="B15" s="81" t="s">
        <v>9</v>
      </c>
      <c r="C15" s="90"/>
      <c r="D15" s="90"/>
      <c r="E15" s="84"/>
      <c r="F15" s="85">
        <v>900000</v>
      </c>
      <c r="G15" s="86">
        <f t="shared" si="0"/>
        <v>24096779</v>
      </c>
      <c r="H15" s="91" t="s">
        <v>54</v>
      </c>
      <c r="I15" s="91" t="s">
        <v>53</v>
      </c>
      <c r="J15" s="84"/>
      <c r="K15" s="85">
        <v>900000</v>
      </c>
      <c r="L15" s="85">
        <f t="shared" si="1"/>
        <v>781696</v>
      </c>
      <c r="M15" s="91" t="s">
        <v>54</v>
      </c>
      <c r="N15" s="99" t="s">
        <v>53</v>
      </c>
    </row>
    <row r="16" ht="25" customHeight="1" spans="1:14">
      <c r="A16" s="72">
        <v>43767.9939467593</v>
      </c>
      <c r="B16" s="73" t="s">
        <v>9</v>
      </c>
      <c r="C16" s="87"/>
      <c r="D16" s="87"/>
      <c r="E16" s="88">
        <v>1050000</v>
      </c>
      <c r="F16" s="79"/>
      <c r="G16" s="78">
        <f t="shared" si="0"/>
        <v>25146779</v>
      </c>
      <c r="H16" s="89" t="s">
        <v>55</v>
      </c>
      <c r="I16" s="89" t="s">
        <v>53</v>
      </c>
      <c r="J16" s="88">
        <v>1050000</v>
      </c>
      <c r="K16" s="79"/>
      <c r="L16" s="79">
        <f t="shared" si="1"/>
        <v>1831696</v>
      </c>
      <c r="M16" s="89" t="s">
        <v>55</v>
      </c>
      <c r="N16" s="98" t="s">
        <v>53</v>
      </c>
    </row>
    <row r="17" ht="25" customHeight="1" spans="1:14">
      <c r="A17" s="80">
        <v>43768.9939467593</v>
      </c>
      <c r="B17" s="81" t="s">
        <v>9</v>
      </c>
      <c r="C17" s="90"/>
      <c r="D17" s="90"/>
      <c r="E17" s="92">
        <v>338525</v>
      </c>
      <c r="F17" s="93"/>
      <c r="G17" s="86">
        <f t="shared" si="0"/>
        <v>25485304</v>
      </c>
      <c r="H17" s="91" t="s">
        <v>55</v>
      </c>
      <c r="I17" s="91" t="s">
        <v>53</v>
      </c>
      <c r="J17" s="92">
        <v>338525</v>
      </c>
      <c r="K17" s="93"/>
      <c r="L17" s="85">
        <f t="shared" si="1"/>
        <v>2170221</v>
      </c>
      <c r="M17" s="91" t="s">
        <v>55</v>
      </c>
      <c r="N17" s="99" t="s">
        <v>53</v>
      </c>
    </row>
    <row r="18" ht="25" customHeight="1" spans="1:14">
      <c r="A18" s="72">
        <v>43769.9939467593</v>
      </c>
      <c r="B18" s="73" t="s">
        <v>9</v>
      </c>
      <c r="C18" s="87"/>
      <c r="D18" s="87"/>
      <c r="E18" s="76"/>
      <c r="F18" s="77">
        <v>190446</v>
      </c>
      <c r="G18" s="78">
        <f t="shared" si="0"/>
        <v>25294858</v>
      </c>
      <c r="H18" s="89" t="s">
        <v>56</v>
      </c>
      <c r="I18" s="89" t="s">
        <v>53</v>
      </c>
      <c r="J18" s="76"/>
      <c r="K18" s="77">
        <v>190446</v>
      </c>
      <c r="L18" s="79">
        <f t="shared" si="1"/>
        <v>1979775</v>
      </c>
      <c r="M18" s="89" t="s">
        <v>56</v>
      </c>
      <c r="N18" s="98" t="s">
        <v>53</v>
      </c>
    </row>
    <row r="19" ht="25" customHeight="1" spans="1:14">
      <c r="A19" s="80">
        <v>43770.9939467593</v>
      </c>
      <c r="B19" s="81" t="s">
        <v>9</v>
      </c>
      <c r="C19" s="90"/>
      <c r="D19" s="90"/>
      <c r="E19" s="92">
        <v>4522596</v>
      </c>
      <c r="F19" s="93"/>
      <c r="G19" s="86">
        <f t="shared" si="0"/>
        <v>29817454</v>
      </c>
      <c r="H19" s="91" t="s">
        <v>56</v>
      </c>
      <c r="I19" s="91" t="s">
        <v>53</v>
      </c>
      <c r="J19" s="92">
        <v>4522596</v>
      </c>
      <c r="K19" s="93"/>
      <c r="L19" s="85">
        <f t="shared" si="1"/>
        <v>6502371</v>
      </c>
      <c r="M19" s="91" t="s">
        <v>56</v>
      </c>
      <c r="N19" s="99" t="s">
        <v>53</v>
      </c>
    </row>
    <row r="20" ht="25" customHeight="1" spans="1:14">
      <c r="A20" s="72">
        <v>43771.9939467593</v>
      </c>
      <c r="B20" s="73" t="s">
        <v>9</v>
      </c>
      <c r="C20" s="87"/>
      <c r="D20" s="87"/>
      <c r="E20" s="76"/>
      <c r="F20" s="77">
        <v>929700</v>
      </c>
      <c r="G20" s="78">
        <f t="shared" si="0"/>
        <v>28887754</v>
      </c>
      <c r="H20" s="89" t="s">
        <v>56</v>
      </c>
      <c r="I20" s="89" t="s">
        <v>53</v>
      </c>
      <c r="J20" s="76"/>
      <c r="K20" s="77">
        <v>929700</v>
      </c>
      <c r="L20" s="79">
        <f t="shared" si="1"/>
        <v>5572671</v>
      </c>
      <c r="M20" s="89" t="s">
        <v>56</v>
      </c>
      <c r="N20" s="98" t="s">
        <v>53</v>
      </c>
    </row>
    <row r="21" ht="25" customHeight="1" spans="1:14">
      <c r="A21" s="80">
        <v>43772.9939467593</v>
      </c>
      <c r="B21" s="81" t="s">
        <v>9</v>
      </c>
      <c r="C21" s="90"/>
      <c r="D21" s="90"/>
      <c r="E21" s="92"/>
      <c r="F21" s="93">
        <v>4426548</v>
      </c>
      <c r="G21" s="86">
        <f t="shared" si="0"/>
        <v>24461206</v>
      </c>
      <c r="H21" s="91" t="s">
        <v>56</v>
      </c>
      <c r="I21" s="91" t="s">
        <v>53</v>
      </c>
      <c r="J21" s="92"/>
      <c r="K21" s="93">
        <v>4426548</v>
      </c>
      <c r="L21" s="85">
        <f t="shared" si="1"/>
        <v>1146123</v>
      </c>
      <c r="M21" s="91" t="s">
        <v>56</v>
      </c>
      <c r="N21" s="99" t="s">
        <v>53</v>
      </c>
    </row>
    <row r="22" ht="25" customHeight="1" spans="1:14">
      <c r="A22" s="72">
        <v>43773.9939467593</v>
      </c>
      <c r="B22" s="73" t="s">
        <v>9</v>
      </c>
      <c r="C22" s="87"/>
      <c r="D22" s="87"/>
      <c r="E22" s="76"/>
      <c r="F22" s="77">
        <v>15000</v>
      </c>
      <c r="G22" s="78">
        <f t="shared" si="0"/>
        <v>24446206</v>
      </c>
      <c r="H22" s="89" t="s">
        <v>56</v>
      </c>
      <c r="I22" s="89" t="s">
        <v>53</v>
      </c>
      <c r="J22" s="76"/>
      <c r="K22" s="77">
        <v>15000</v>
      </c>
      <c r="L22" s="79">
        <f t="shared" si="1"/>
        <v>1131123</v>
      </c>
      <c r="M22" s="89" t="s">
        <v>56</v>
      </c>
      <c r="N22" s="98" t="s">
        <v>53</v>
      </c>
    </row>
    <row r="23" ht="25" customHeight="1" spans="1:14">
      <c r="A23" s="80">
        <v>43774.9939467593</v>
      </c>
      <c r="B23" s="81" t="s">
        <v>9</v>
      </c>
      <c r="C23" s="90"/>
      <c r="D23" s="90"/>
      <c r="E23" s="92">
        <v>356512</v>
      </c>
      <c r="F23" s="93"/>
      <c r="G23" s="86">
        <f t="shared" si="0"/>
        <v>24802718</v>
      </c>
      <c r="H23" s="91" t="s">
        <v>56</v>
      </c>
      <c r="I23" s="91" t="s">
        <v>53</v>
      </c>
      <c r="J23" s="92">
        <v>356512</v>
      </c>
      <c r="K23" s="93"/>
      <c r="L23" s="85">
        <f t="shared" si="1"/>
        <v>1487635</v>
      </c>
      <c r="M23" s="91" t="s">
        <v>56</v>
      </c>
      <c r="N23" s="99" t="s">
        <v>53</v>
      </c>
    </row>
    <row r="24" ht="25" customHeight="1" spans="1:14">
      <c r="A24" s="72">
        <v>43775.9939467593</v>
      </c>
      <c r="B24" s="73" t="s">
        <v>9</v>
      </c>
      <c r="C24" s="87"/>
      <c r="D24" s="87"/>
      <c r="E24" s="76"/>
      <c r="F24" s="77">
        <v>57000</v>
      </c>
      <c r="G24" s="78">
        <f t="shared" si="0"/>
        <v>24745718</v>
      </c>
      <c r="H24" s="89" t="s">
        <v>56</v>
      </c>
      <c r="I24" s="89" t="s">
        <v>53</v>
      </c>
      <c r="J24" s="76"/>
      <c r="K24" s="77">
        <v>57000</v>
      </c>
      <c r="L24" s="79">
        <f t="shared" si="1"/>
        <v>1430635</v>
      </c>
      <c r="M24" s="89" t="s">
        <v>56</v>
      </c>
      <c r="N24" s="98" t="s">
        <v>53</v>
      </c>
    </row>
    <row r="25" ht="25" customHeight="1" spans="1:14">
      <c r="A25" s="80">
        <v>43776.9939467593</v>
      </c>
      <c r="B25" s="81" t="s">
        <v>9</v>
      </c>
      <c r="C25" s="90"/>
      <c r="D25" s="90"/>
      <c r="E25" s="92">
        <v>1000000</v>
      </c>
      <c r="F25" s="93"/>
      <c r="G25" s="86">
        <f t="shared" si="0"/>
        <v>25745718</v>
      </c>
      <c r="H25" s="91" t="s">
        <v>56</v>
      </c>
      <c r="I25" s="91" t="s">
        <v>53</v>
      </c>
      <c r="J25" s="92">
        <v>1000000</v>
      </c>
      <c r="K25" s="93"/>
      <c r="L25" s="85">
        <f t="shared" si="1"/>
        <v>2430635</v>
      </c>
      <c r="M25" s="91" t="s">
        <v>56</v>
      </c>
      <c r="N25" s="99" t="s">
        <v>53</v>
      </c>
    </row>
    <row r="26" ht="25" customHeight="1" spans="1:14">
      <c r="A26" s="72">
        <v>43777.9939467593</v>
      </c>
      <c r="B26" s="73" t="s">
        <v>9</v>
      </c>
      <c r="C26" s="87"/>
      <c r="D26" s="87"/>
      <c r="E26" s="76">
        <v>1120884</v>
      </c>
      <c r="F26" s="77">
        <v>1</v>
      </c>
      <c r="G26" s="78">
        <f t="shared" si="0"/>
        <v>26866601</v>
      </c>
      <c r="H26" s="89" t="s">
        <v>56</v>
      </c>
      <c r="I26" s="89" t="s">
        <v>53</v>
      </c>
      <c r="J26" s="76">
        <v>1120884</v>
      </c>
      <c r="K26" s="77">
        <v>1</v>
      </c>
      <c r="L26" s="79">
        <f t="shared" si="1"/>
        <v>3551518</v>
      </c>
      <c r="M26" s="89" t="s">
        <v>56</v>
      </c>
      <c r="N26" s="98" t="s">
        <v>53</v>
      </c>
    </row>
    <row r="27" ht="25" customHeight="1" spans="1:14">
      <c r="A27" s="80">
        <v>43778.9939467593</v>
      </c>
      <c r="B27" s="81" t="s">
        <v>9</v>
      </c>
      <c r="C27" s="90"/>
      <c r="D27" s="90"/>
      <c r="E27" s="92"/>
      <c r="F27" s="85">
        <v>1020341</v>
      </c>
      <c r="G27" s="86">
        <f t="shared" si="0"/>
        <v>25846260</v>
      </c>
      <c r="H27" s="91" t="s">
        <v>56</v>
      </c>
      <c r="I27" s="91" t="s">
        <v>53</v>
      </c>
      <c r="J27" s="92"/>
      <c r="K27" s="85">
        <v>1020341</v>
      </c>
      <c r="L27" s="85">
        <f t="shared" si="1"/>
        <v>2531177</v>
      </c>
      <c r="M27" s="91" t="s">
        <v>56</v>
      </c>
      <c r="N27" s="99" t="s">
        <v>53</v>
      </c>
    </row>
    <row r="28" ht="25" customHeight="1" spans="1:14">
      <c r="A28" s="72">
        <v>43779.9939467593</v>
      </c>
      <c r="B28" s="73" t="s">
        <v>9</v>
      </c>
      <c r="C28" s="87"/>
      <c r="D28" s="87"/>
      <c r="E28" s="76"/>
      <c r="F28" s="79">
        <v>1020342</v>
      </c>
      <c r="G28" s="78">
        <f t="shared" si="0"/>
        <v>24825918</v>
      </c>
      <c r="H28" s="89" t="s">
        <v>56</v>
      </c>
      <c r="I28" s="89" t="s">
        <v>53</v>
      </c>
      <c r="J28" s="76"/>
      <c r="K28" s="79">
        <v>1020342</v>
      </c>
      <c r="L28" s="79">
        <f t="shared" si="1"/>
        <v>1510835</v>
      </c>
      <c r="M28" s="89" t="s">
        <v>56</v>
      </c>
      <c r="N28" s="98" t="s">
        <v>53</v>
      </c>
    </row>
    <row r="29" ht="25" customHeight="1" spans="1:14">
      <c r="A29" s="80">
        <v>43780.9939467593</v>
      </c>
      <c r="B29" s="81" t="s">
        <v>9</v>
      </c>
      <c r="C29" s="90"/>
      <c r="D29" s="90"/>
      <c r="E29" s="92"/>
      <c r="F29" s="85">
        <v>1020343</v>
      </c>
      <c r="G29" s="86">
        <f t="shared" si="0"/>
        <v>23805575</v>
      </c>
      <c r="H29" s="91" t="s">
        <v>56</v>
      </c>
      <c r="I29" s="91" t="s">
        <v>53</v>
      </c>
      <c r="J29" s="92"/>
      <c r="K29" s="85">
        <v>1020343</v>
      </c>
      <c r="L29" s="85">
        <f t="shared" si="1"/>
        <v>490492</v>
      </c>
      <c r="M29" s="91" t="s">
        <v>56</v>
      </c>
      <c r="N29" s="99" t="s">
        <v>53</v>
      </c>
    </row>
    <row r="30" ht="25" customHeight="1" spans="1:14">
      <c r="A30" s="72">
        <v>43781.9939467593</v>
      </c>
      <c r="B30" s="73" t="s">
        <v>9</v>
      </c>
      <c r="C30" s="87"/>
      <c r="D30" s="87"/>
      <c r="E30" s="76"/>
      <c r="F30" s="79">
        <v>1020344</v>
      </c>
      <c r="G30" s="78">
        <f t="shared" si="0"/>
        <v>22785231</v>
      </c>
      <c r="H30" s="89" t="s">
        <v>56</v>
      </c>
      <c r="I30" s="89" t="s">
        <v>53</v>
      </c>
      <c r="J30" s="76"/>
      <c r="K30" s="79">
        <v>1020344</v>
      </c>
      <c r="L30" s="79">
        <f t="shared" si="1"/>
        <v>-529852</v>
      </c>
      <c r="M30" s="89" t="s">
        <v>56</v>
      </c>
      <c r="N30" s="98" t="s">
        <v>53</v>
      </c>
    </row>
    <row r="31" ht="25" customHeight="1" spans="1:14">
      <c r="A31" s="80">
        <v>43782.9939467593</v>
      </c>
      <c r="B31" s="81" t="s">
        <v>9</v>
      </c>
      <c r="C31" s="90"/>
      <c r="D31" s="90"/>
      <c r="E31" s="92"/>
      <c r="F31" s="85">
        <v>1020345</v>
      </c>
      <c r="G31" s="86">
        <f t="shared" si="0"/>
        <v>21764886</v>
      </c>
      <c r="H31" s="91" t="s">
        <v>56</v>
      </c>
      <c r="I31" s="91" t="s">
        <v>53</v>
      </c>
      <c r="J31" s="92"/>
      <c r="K31" s="85">
        <v>1020345</v>
      </c>
      <c r="L31" s="85">
        <f t="shared" si="1"/>
        <v>-1550197</v>
      </c>
      <c r="M31" s="91" t="s">
        <v>56</v>
      </c>
      <c r="N31" s="99" t="s">
        <v>53</v>
      </c>
    </row>
    <row r="32" ht="25" customHeight="1" spans="1:14">
      <c r="A32" s="101"/>
      <c r="B32" s="102"/>
      <c r="C32" s="102"/>
      <c r="D32" s="102"/>
      <c r="E32" s="103">
        <f>SUM(E12:E27)</f>
        <v>34485296</v>
      </c>
      <c r="F32" s="78">
        <f>SUM(F12:F31)</f>
        <v>12720410</v>
      </c>
      <c r="G32" s="78">
        <f>SUM(G12:G31)</f>
        <v>482561969</v>
      </c>
      <c r="H32" s="78"/>
      <c r="I32" s="78"/>
      <c r="J32" s="76">
        <f>SUM(J12:J31)</f>
        <v>11170213</v>
      </c>
      <c r="K32" s="79">
        <f>SUM(K12:K31)</f>
        <v>12720410</v>
      </c>
      <c r="L32" s="79">
        <f>SUM(L12:L31)</f>
        <v>39575392</v>
      </c>
      <c r="M32" s="89"/>
      <c r="N32" s="98"/>
    </row>
    <row r="33" ht="30" customHeight="1" spans="1:14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100"/>
    </row>
  </sheetData>
  <mergeCells count="21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A26" workbookViewId="0">
      <selection activeCell="H12" sqref="H12:H47"/>
    </sheetView>
  </sheetViews>
  <sheetFormatPr defaultColWidth="9" defaultRowHeight="13.5"/>
  <cols>
    <col min="1" max="4" width="18.625" customWidth="1"/>
    <col min="5" max="14" width="18.625" style="53" customWidth="1"/>
    <col min="15" max="16" width="15.625" style="53" customWidth="1"/>
    <col min="17" max="17" width="13.125" style="53" customWidth="1"/>
    <col min="18" max="19" width="9" style="53"/>
    <col min="20" max="20" width="10.5" style="53" customWidth="1"/>
    <col min="21" max="16377" width="9" style="53"/>
  </cols>
  <sheetData>
    <row r="1" ht="25" customHeight="1"/>
    <row r="2" ht="25" customHeight="1" spans="1:14">
      <c r="A2" s="54" t="s">
        <v>0</v>
      </c>
      <c r="B2" s="55" t="s">
        <v>1</v>
      </c>
      <c r="C2" s="55" t="s">
        <v>2</v>
      </c>
      <c r="D2" s="55" t="s">
        <v>3</v>
      </c>
      <c r="J2" s="58"/>
      <c r="K2" s="58"/>
      <c r="L2" s="58"/>
      <c r="M2" s="58"/>
      <c r="N2" s="58"/>
    </row>
    <row r="3" ht="25" customHeight="1" spans="1:10">
      <c r="A3" s="54" t="s">
        <v>4</v>
      </c>
      <c r="B3" s="56" t="s">
        <v>5</v>
      </c>
      <c r="C3" s="56" t="s">
        <v>6</v>
      </c>
      <c r="D3" s="56" t="s">
        <v>7</v>
      </c>
      <c r="F3" s="57"/>
      <c r="G3" s="57"/>
      <c r="H3" s="58"/>
      <c r="I3" s="58"/>
      <c r="J3" s="58"/>
    </row>
    <row r="4" ht="25" customHeight="1" spans="1:10">
      <c r="A4" s="59" t="s">
        <v>8</v>
      </c>
      <c r="B4" s="60" t="s">
        <v>9</v>
      </c>
      <c r="C4" s="59" t="s">
        <v>10</v>
      </c>
      <c r="D4" s="59" t="s">
        <v>11</v>
      </c>
      <c r="F4" s="61"/>
      <c r="G4" s="61"/>
      <c r="H4" s="61"/>
      <c r="I4" s="61"/>
      <c r="J4" s="61"/>
    </row>
    <row r="5" ht="25" customHeight="1" spans="1:4">
      <c r="A5" s="53"/>
      <c r="B5" s="53"/>
      <c r="C5" s="53"/>
      <c r="D5" s="53"/>
    </row>
    <row r="6" ht="25" customHeight="1" spans="1:12">
      <c r="A6" s="62" t="s">
        <v>12</v>
      </c>
      <c r="B6" s="63" t="s">
        <v>13</v>
      </c>
      <c r="C6" s="63" t="s">
        <v>14</v>
      </c>
      <c r="D6" s="63" t="s">
        <v>15</v>
      </c>
      <c r="E6" s="63" t="s">
        <v>16</v>
      </c>
      <c r="F6" s="63" t="s">
        <v>17</v>
      </c>
      <c r="G6" s="63" t="s">
        <v>18</v>
      </c>
      <c r="H6" s="63" t="s">
        <v>19</v>
      </c>
      <c r="I6" s="63" t="s">
        <v>20</v>
      </c>
      <c r="J6" s="63" t="s">
        <v>57</v>
      </c>
      <c r="K6" s="63" t="s">
        <v>58</v>
      </c>
      <c r="L6" s="63" t="s">
        <v>59</v>
      </c>
    </row>
    <row r="7" s="52" customFormat="1" ht="25" customHeight="1" spans="1:12">
      <c r="A7" s="62" t="s">
        <v>21</v>
      </c>
      <c r="B7" s="63" t="s">
        <v>22</v>
      </c>
      <c r="C7" s="63" t="s">
        <v>23</v>
      </c>
      <c r="D7" s="63" t="s">
        <v>24</v>
      </c>
      <c r="E7" s="63" t="s">
        <v>25</v>
      </c>
      <c r="F7" s="63" t="s">
        <v>26</v>
      </c>
      <c r="G7" s="63" t="s">
        <v>27</v>
      </c>
      <c r="H7" s="63" t="s">
        <v>28</v>
      </c>
      <c r="I7" s="63" t="s">
        <v>29</v>
      </c>
      <c r="J7" s="63" t="s">
        <v>60</v>
      </c>
      <c r="K7" s="63" t="s">
        <v>61</v>
      </c>
      <c r="L7" s="63" t="s">
        <v>62</v>
      </c>
    </row>
    <row r="8" ht="25" customHeight="1" spans="1:4">
      <c r="A8" s="53"/>
      <c r="B8" s="53"/>
      <c r="C8" s="53"/>
      <c r="D8" s="53"/>
    </row>
    <row r="9" ht="25" customHeight="1" spans="1:8">
      <c r="A9" s="64" t="s">
        <v>30</v>
      </c>
      <c r="B9" s="65" t="s">
        <v>63</v>
      </c>
      <c r="C9" s="65" t="s">
        <v>32</v>
      </c>
      <c r="D9" s="66" t="s">
        <v>36</v>
      </c>
      <c r="E9" s="65" t="s">
        <v>37</v>
      </c>
      <c r="F9" s="66"/>
      <c r="G9" s="66"/>
      <c r="H9" s="65"/>
    </row>
    <row r="10" ht="25" customHeight="1" spans="1:4">
      <c r="A10" s="67" t="s">
        <v>38</v>
      </c>
      <c r="B10" s="68"/>
      <c r="C10" s="68"/>
      <c r="D10" s="68"/>
    </row>
    <row r="11" ht="30" customHeight="1" spans="1:14">
      <c r="A11" s="69" t="s">
        <v>39</v>
      </c>
      <c r="B11" s="70" t="s">
        <v>40</v>
      </c>
      <c r="C11" s="71" t="s">
        <v>41</v>
      </c>
      <c r="D11" s="71"/>
      <c r="E11" s="71" t="s">
        <v>64</v>
      </c>
      <c r="F11" s="71" t="s">
        <v>65</v>
      </c>
      <c r="G11" s="71" t="s">
        <v>66</v>
      </c>
      <c r="H11" s="71" t="s">
        <v>50</v>
      </c>
      <c r="I11" s="71" t="s">
        <v>46</v>
      </c>
      <c r="J11" s="71" t="s">
        <v>47</v>
      </c>
      <c r="K11" s="71" t="s">
        <v>48</v>
      </c>
      <c r="L11" s="71" t="s">
        <v>49</v>
      </c>
      <c r="M11" s="71" t="s">
        <v>50</v>
      </c>
      <c r="N11" s="97" t="s">
        <v>46</v>
      </c>
    </row>
    <row r="12" ht="25" customHeight="1" spans="1:14">
      <c r="A12" s="72">
        <v>43763.9939467593</v>
      </c>
      <c r="B12" s="73" t="s">
        <v>9</v>
      </c>
      <c r="C12" s="74" t="s">
        <v>51</v>
      </c>
      <c r="D12" s="75"/>
      <c r="E12" s="76">
        <f>2800000-156554</f>
        <v>2643446</v>
      </c>
      <c r="F12" s="77"/>
      <c r="G12" s="78">
        <f>E12-F12</f>
        <v>2643446</v>
      </c>
      <c r="H12" s="79"/>
      <c r="I12" s="89"/>
      <c r="J12" s="76">
        <f>2800000-156554</f>
        <v>2643446</v>
      </c>
      <c r="K12" s="77"/>
      <c r="L12" s="79">
        <f>J12-K12</f>
        <v>2643446</v>
      </c>
      <c r="M12" s="79"/>
      <c r="N12" s="98"/>
    </row>
    <row r="13" ht="25" customHeight="1" spans="1:14">
      <c r="A13" s="80">
        <v>43764.9939467593</v>
      </c>
      <c r="B13" s="81" t="s">
        <v>10</v>
      </c>
      <c r="C13" s="82" t="s">
        <v>51</v>
      </c>
      <c r="D13" s="83"/>
      <c r="E13" s="84">
        <v>23453333</v>
      </c>
      <c r="F13" s="85"/>
      <c r="G13" s="86">
        <f t="shared" ref="G13:G31" si="0">G12+E13-F13</f>
        <v>26096779</v>
      </c>
      <c r="H13" s="85"/>
      <c r="I13" s="91"/>
      <c r="J13" s="84">
        <v>138250</v>
      </c>
      <c r="K13" s="85"/>
      <c r="L13" s="85">
        <f t="shared" ref="L13:L31" si="1">L12+J13-K13</f>
        <v>2781696</v>
      </c>
      <c r="M13" s="85"/>
      <c r="N13" s="99"/>
    </row>
    <row r="14" ht="25" customHeight="1" spans="1:14">
      <c r="A14" s="72">
        <v>43765.9939467593</v>
      </c>
      <c r="B14" s="73" t="s">
        <v>9</v>
      </c>
      <c r="C14" s="87"/>
      <c r="D14" s="87"/>
      <c r="E14" s="88"/>
      <c r="F14" s="79">
        <v>1100000</v>
      </c>
      <c r="G14" s="78">
        <f t="shared" si="0"/>
        <v>24996779</v>
      </c>
      <c r="H14" s="89" t="s">
        <v>52</v>
      </c>
      <c r="I14" s="89" t="s">
        <v>53</v>
      </c>
      <c r="J14" s="88"/>
      <c r="K14" s="79">
        <v>1100000</v>
      </c>
      <c r="L14" s="79">
        <f t="shared" si="1"/>
        <v>1681696</v>
      </c>
      <c r="M14" s="89" t="s">
        <v>52</v>
      </c>
      <c r="N14" s="98" t="s">
        <v>53</v>
      </c>
    </row>
    <row r="15" ht="25" customHeight="1" spans="1:14">
      <c r="A15" s="80">
        <v>43766.9939467593</v>
      </c>
      <c r="B15" s="81" t="s">
        <v>9</v>
      </c>
      <c r="C15" s="90"/>
      <c r="D15" s="90"/>
      <c r="E15" s="84"/>
      <c r="F15" s="85">
        <v>900000</v>
      </c>
      <c r="G15" s="86">
        <f t="shared" si="0"/>
        <v>24096779</v>
      </c>
      <c r="H15" s="91" t="s">
        <v>54</v>
      </c>
      <c r="I15" s="91" t="s">
        <v>53</v>
      </c>
      <c r="J15" s="84"/>
      <c r="K15" s="85">
        <v>900000</v>
      </c>
      <c r="L15" s="85">
        <f t="shared" si="1"/>
        <v>781696</v>
      </c>
      <c r="M15" s="91" t="s">
        <v>54</v>
      </c>
      <c r="N15" s="99" t="s">
        <v>53</v>
      </c>
    </row>
    <row r="16" ht="25" customHeight="1" spans="1:14">
      <c r="A16" s="72">
        <v>43767.9939467593</v>
      </c>
      <c r="B16" s="73" t="s">
        <v>9</v>
      </c>
      <c r="C16" s="87"/>
      <c r="D16" s="87"/>
      <c r="E16" s="88">
        <v>1050000</v>
      </c>
      <c r="F16" s="79"/>
      <c r="G16" s="78">
        <f t="shared" si="0"/>
        <v>25146779</v>
      </c>
      <c r="H16" s="89" t="s">
        <v>55</v>
      </c>
      <c r="I16" s="89" t="s">
        <v>53</v>
      </c>
      <c r="J16" s="88">
        <v>1050000</v>
      </c>
      <c r="K16" s="79"/>
      <c r="L16" s="79">
        <f t="shared" si="1"/>
        <v>1831696</v>
      </c>
      <c r="M16" s="89" t="s">
        <v>55</v>
      </c>
      <c r="N16" s="98" t="s">
        <v>53</v>
      </c>
    </row>
    <row r="17" ht="25" customHeight="1" spans="1:14">
      <c r="A17" s="80">
        <v>43768.9939467593</v>
      </c>
      <c r="B17" s="81" t="s">
        <v>9</v>
      </c>
      <c r="C17" s="90"/>
      <c r="D17" s="90"/>
      <c r="E17" s="92">
        <v>338525</v>
      </c>
      <c r="F17" s="93"/>
      <c r="G17" s="86">
        <f t="shared" si="0"/>
        <v>25485304</v>
      </c>
      <c r="H17" s="91" t="s">
        <v>55</v>
      </c>
      <c r="I17" s="91" t="s">
        <v>53</v>
      </c>
      <c r="J17" s="92">
        <v>338525</v>
      </c>
      <c r="K17" s="93"/>
      <c r="L17" s="85">
        <f t="shared" si="1"/>
        <v>2170221</v>
      </c>
      <c r="M17" s="91" t="s">
        <v>55</v>
      </c>
      <c r="N17" s="99" t="s">
        <v>53</v>
      </c>
    </row>
    <row r="18" ht="25" customHeight="1" spans="1:14">
      <c r="A18" s="72">
        <v>43769.9939467593</v>
      </c>
      <c r="B18" s="73" t="s">
        <v>9</v>
      </c>
      <c r="C18" s="87"/>
      <c r="D18" s="87"/>
      <c r="E18" s="76"/>
      <c r="F18" s="77">
        <v>190446</v>
      </c>
      <c r="G18" s="78">
        <f t="shared" si="0"/>
        <v>25294858</v>
      </c>
      <c r="H18" s="89" t="s">
        <v>56</v>
      </c>
      <c r="I18" s="89" t="s">
        <v>53</v>
      </c>
      <c r="J18" s="76"/>
      <c r="K18" s="77">
        <v>190446</v>
      </c>
      <c r="L18" s="79">
        <f t="shared" si="1"/>
        <v>1979775</v>
      </c>
      <c r="M18" s="89" t="s">
        <v>56</v>
      </c>
      <c r="N18" s="98" t="s">
        <v>53</v>
      </c>
    </row>
    <row r="19" ht="25" customHeight="1" spans="1:14">
      <c r="A19" s="80">
        <v>43770.9939467593</v>
      </c>
      <c r="B19" s="81" t="s">
        <v>9</v>
      </c>
      <c r="C19" s="90"/>
      <c r="D19" s="90"/>
      <c r="E19" s="92">
        <v>4522596</v>
      </c>
      <c r="F19" s="93"/>
      <c r="G19" s="86">
        <f t="shared" si="0"/>
        <v>29817454</v>
      </c>
      <c r="H19" s="91" t="s">
        <v>56</v>
      </c>
      <c r="I19" s="91" t="s">
        <v>53</v>
      </c>
      <c r="J19" s="92">
        <v>4522596</v>
      </c>
      <c r="K19" s="93"/>
      <c r="L19" s="85">
        <f t="shared" si="1"/>
        <v>6502371</v>
      </c>
      <c r="M19" s="91" t="s">
        <v>56</v>
      </c>
      <c r="N19" s="99" t="s">
        <v>53</v>
      </c>
    </row>
    <row r="20" ht="25" customHeight="1" spans="1:14">
      <c r="A20" s="72">
        <v>43771.9939467593</v>
      </c>
      <c r="B20" s="73" t="s">
        <v>9</v>
      </c>
      <c r="C20" s="87"/>
      <c r="D20" s="87"/>
      <c r="E20" s="76"/>
      <c r="F20" s="77">
        <v>929700</v>
      </c>
      <c r="G20" s="78">
        <f t="shared" si="0"/>
        <v>28887754</v>
      </c>
      <c r="H20" s="89" t="s">
        <v>56</v>
      </c>
      <c r="I20" s="89" t="s">
        <v>53</v>
      </c>
      <c r="J20" s="76"/>
      <c r="K20" s="77">
        <v>929700</v>
      </c>
      <c r="L20" s="79">
        <f t="shared" si="1"/>
        <v>5572671</v>
      </c>
      <c r="M20" s="89" t="s">
        <v>56</v>
      </c>
      <c r="N20" s="98" t="s">
        <v>53</v>
      </c>
    </row>
    <row r="21" ht="25" customHeight="1" spans="1:14">
      <c r="A21" s="80">
        <v>43772.9939467593</v>
      </c>
      <c r="B21" s="81" t="s">
        <v>9</v>
      </c>
      <c r="C21" s="90"/>
      <c r="D21" s="90"/>
      <c r="E21" s="92"/>
      <c r="F21" s="93">
        <v>4426548</v>
      </c>
      <c r="G21" s="86">
        <f t="shared" si="0"/>
        <v>24461206</v>
      </c>
      <c r="H21" s="91" t="s">
        <v>56</v>
      </c>
      <c r="I21" s="91" t="s">
        <v>53</v>
      </c>
      <c r="J21" s="92"/>
      <c r="K21" s="93">
        <v>4426548</v>
      </c>
      <c r="L21" s="85">
        <f t="shared" si="1"/>
        <v>1146123</v>
      </c>
      <c r="M21" s="91" t="s">
        <v>56</v>
      </c>
      <c r="N21" s="99" t="s">
        <v>53</v>
      </c>
    </row>
    <row r="22" ht="25" customHeight="1" spans="1:14">
      <c r="A22" s="72">
        <v>43773.9939467593</v>
      </c>
      <c r="B22" s="73" t="s">
        <v>9</v>
      </c>
      <c r="C22" s="87"/>
      <c r="D22" s="87"/>
      <c r="E22" s="76"/>
      <c r="F22" s="77">
        <v>15000</v>
      </c>
      <c r="G22" s="78">
        <f t="shared" si="0"/>
        <v>24446206</v>
      </c>
      <c r="H22" s="89" t="s">
        <v>56</v>
      </c>
      <c r="I22" s="89" t="s">
        <v>53</v>
      </c>
      <c r="J22" s="76"/>
      <c r="K22" s="77">
        <v>15000</v>
      </c>
      <c r="L22" s="79">
        <f t="shared" si="1"/>
        <v>1131123</v>
      </c>
      <c r="M22" s="89" t="s">
        <v>56</v>
      </c>
      <c r="N22" s="98" t="s">
        <v>53</v>
      </c>
    </row>
    <row r="23" ht="25" customHeight="1" spans="1:14">
      <c r="A23" s="80">
        <v>43774.9939467593</v>
      </c>
      <c r="B23" s="81" t="s">
        <v>9</v>
      </c>
      <c r="C23" s="90"/>
      <c r="D23" s="90"/>
      <c r="E23" s="92">
        <v>356512</v>
      </c>
      <c r="F23" s="93"/>
      <c r="G23" s="86">
        <f t="shared" si="0"/>
        <v>24802718</v>
      </c>
      <c r="H23" s="91" t="s">
        <v>56</v>
      </c>
      <c r="I23" s="91" t="s">
        <v>53</v>
      </c>
      <c r="J23" s="92">
        <v>356512</v>
      </c>
      <c r="K23" s="93"/>
      <c r="L23" s="85">
        <f t="shared" si="1"/>
        <v>1487635</v>
      </c>
      <c r="M23" s="91" t="s">
        <v>56</v>
      </c>
      <c r="N23" s="99" t="s">
        <v>53</v>
      </c>
    </row>
    <row r="24" ht="25" customHeight="1" spans="1:14">
      <c r="A24" s="72">
        <v>43775.9939467593</v>
      </c>
      <c r="B24" s="73" t="s">
        <v>9</v>
      </c>
      <c r="C24" s="87"/>
      <c r="D24" s="87"/>
      <c r="E24" s="76"/>
      <c r="F24" s="77">
        <v>57000</v>
      </c>
      <c r="G24" s="78">
        <f t="shared" si="0"/>
        <v>24745718</v>
      </c>
      <c r="H24" s="89" t="s">
        <v>56</v>
      </c>
      <c r="I24" s="89" t="s">
        <v>53</v>
      </c>
      <c r="J24" s="76"/>
      <c r="K24" s="77">
        <v>57000</v>
      </c>
      <c r="L24" s="79">
        <f t="shared" si="1"/>
        <v>1430635</v>
      </c>
      <c r="M24" s="89" t="s">
        <v>56</v>
      </c>
      <c r="N24" s="98" t="s">
        <v>53</v>
      </c>
    </row>
    <row r="25" ht="25" customHeight="1" spans="1:14">
      <c r="A25" s="80">
        <v>43776.9939467593</v>
      </c>
      <c r="B25" s="81" t="s">
        <v>9</v>
      </c>
      <c r="C25" s="90"/>
      <c r="D25" s="90"/>
      <c r="E25" s="92">
        <v>1000000</v>
      </c>
      <c r="F25" s="93"/>
      <c r="G25" s="86">
        <f t="shared" si="0"/>
        <v>25745718</v>
      </c>
      <c r="H25" s="91" t="s">
        <v>56</v>
      </c>
      <c r="I25" s="91" t="s">
        <v>53</v>
      </c>
      <c r="J25" s="92">
        <v>1000000</v>
      </c>
      <c r="K25" s="93"/>
      <c r="L25" s="85">
        <f t="shared" si="1"/>
        <v>2430635</v>
      </c>
      <c r="M25" s="91" t="s">
        <v>56</v>
      </c>
      <c r="N25" s="99" t="s">
        <v>53</v>
      </c>
    </row>
    <row r="26" ht="25" customHeight="1" spans="1:14">
      <c r="A26" s="72">
        <v>43777.9939467593</v>
      </c>
      <c r="B26" s="73" t="s">
        <v>9</v>
      </c>
      <c r="C26" s="87"/>
      <c r="D26" s="87"/>
      <c r="E26" s="76">
        <v>1120884</v>
      </c>
      <c r="F26" s="77"/>
      <c r="G26" s="78">
        <f t="shared" si="0"/>
        <v>26866602</v>
      </c>
      <c r="H26" s="89" t="s">
        <v>56</v>
      </c>
      <c r="I26" s="89" t="s">
        <v>53</v>
      </c>
      <c r="J26" s="76">
        <v>1120884</v>
      </c>
      <c r="K26" s="77">
        <v>1</v>
      </c>
      <c r="L26" s="79">
        <f t="shared" si="1"/>
        <v>3551518</v>
      </c>
      <c r="M26" s="89" t="s">
        <v>56</v>
      </c>
      <c r="N26" s="98" t="s">
        <v>53</v>
      </c>
    </row>
    <row r="27" ht="25" customHeight="1" spans="1:14">
      <c r="A27" s="80">
        <v>43778.9939467593</v>
      </c>
      <c r="B27" s="81" t="s">
        <v>9</v>
      </c>
      <c r="C27" s="90"/>
      <c r="D27" s="90"/>
      <c r="E27" s="92"/>
      <c r="F27" s="85">
        <v>1020341</v>
      </c>
      <c r="G27" s="86">
        <f t="shared" si="0"/>
        <v>25846261</v>
      </c>
      <c r="H27" s="91" t="s">
        <v>56</v>
      </c>
      <c r="I27" s="91" t="s">
        <v>53</v>
      </c>
      <c r="J27" s="92"/>
      <c r="K27" s="85">
        <v>1020341</v>
      </c>
      <c r="L27" s="85">
        <f t="shared" si="1"/>
        <v>2531177</v>
      </c>
      <c r="M27" s="91" t="s">
        <v>56</v>
      </c>
      <c r="N27" s="99" t="s">
        <v>53</v>
      </c>
    </row>
    <row r="28" ht="25" customHeight="1" spans="1:14">
      <c r="A28" s="72">
        <v>43779.9939467593</v>
      </c>
      <c r="B28" s="73" t="s">
        <v>9</v>
      </c>
      <c r="C28" s="87"/>
      <c r="D28" s="87"/>
      <c r="E28" s="76"/>
      <c r="F28" s="79">
        <v>1020342</v>
      </c>
      <c r="G28" s="78">
        <f t="shared" si="0"/>
        <v>24825919</v>
      </c>
      <c r="H28" s="89" t="s">
        <v>56</v>
      </c>
      <c r="I28" s="89" t="s">
        <v>53</v>
      </c>
      <c r="J28" s="76"/>
      <c r="K28" s="79">
        <v>1020342</v>
      </c>
      <c r="L28" s="79">
        <f t="shared" si="1"/>
        <v>1510835</v>
      </c>
      <c r="M28" s="89" t="s">
        <v>56</v>
      </c>
      <c r="N28" s="98" t="s">
        <v>53</v>
      </c>
    </row>
    <row r="29" ht="25" customHeight="1" spans="1:14">
      <c r="A29" s="80">
        <v>43780.9939467593</v>
      </c>
      <c r="B29" s="81" t="s">
        <v>9</v>
      </c>
      <c r="C29" s="90"/>
      <c r="D29" s="90"/>
      <c r="E29" s="92"/>
      <c r="F29" s="85">
        <v>1020343</v>
      </c>
      <c r="G29" s="86">
        <f t="shared" si="0"/>
        <v>23805576</v>
      </c>
      <c r="H29" s="91" t="s">
        <v>56</v>
      </c>
      <c r="I29" s="91" t="s">
        <v>53</v>
      </c>
      <c r="J29" s="92"/>
      <c r="K29" s="85">
        <v>1020343</v>
      </c>
      <c r="L29" s="85">
        <f t="shared" si="1"/>
        <v>490492</v>
      </c>
      <c r="M29" s="91" t="s">
        <v>56</v>
      </c>
      <c r="N29" s="99" t="s">
        <v>53</v>
      </c>
    </row>
    <row r="30" ht="25" customHeight="1" spans="1:14">
      <c r="A30" s="72">
        <v>43781.9939467593</v>
      </c>
      <c r="B30" s="73" t="s">
        <v>9</v>
      </c>
      <c r="C30" s="87"/>
      <c r="D30" s="87"/>
      <c r="E30" s="76"/>
      <c r="F30" s="79">
        <v>1020344</v>
      </c>
      <c r="G30" s="78">
        <f t="shared" si="0"/>
        <v>22785232</v>
      </c>
      <c r="H30" s="89" t="s">
        <v>56</v>
      </c>
      <c r="I30" s="89" t="s">
        <v>53</v>
      </c>
      <c r="J30" s="76"/>
      <c r="K30" s="79">
        <v>1020344</v>
      </c>
      <c r="L30" s="79">
        <v>8888</v>
      </c>
      <c r="M30" s="89" t="s">
        <v>56</v>
      </c>
      <c r="N30" s="98" t="s">
        <v>53</v>
      </c>
    </row>
    <row r="31" ht="25" customHeight="1" spans="1:14">
      <c r="A31" s="80">
        <v>43782.9939467593</v>
      </c>
      <c r="B31" s="81" t="s">
        <v>9</v>
      </c>
      <c r="C31" s="90"/>
      <c r="D31" s="90"/>
      <c r="E31" s="92"/>
      <c r="F31" s="85">
        <v>1020345</v>
      </c>
      <c r="G31" s="86">
        <f t="shared" si="0"/>
        <v>21764887</v>
      </c>
      <c r="H31" s="91" t="s">
        <v>56</v>
      </c>
      <c r="I31" s="91" t="s">
        <v>53</v>
      </c>
      <c r="J31" s="92"/>
      <c r="K31" s="85">
        <v>1020345</v>
      </c>
      <c r="L31" s="85">
        <f>L30+J31-K31</f>
        <v>-1011457</v>
      </c>
      <c r="M31" s="91" t="s">
        <v>56</v>
      </c>
      <c r="N31" s="99" t="s">
        <v>53</v>
      </c>
    </row>
    <row r="32" ht="25" customHeight="1" spans="1:14">
      <c r="A32" s="72">
        <v>43783.9939467593</v>
      </c>
      <c r="B32" s="73" t="s">
        <v>9</v>
      </c>
      <c r="C32" s="87"/>
      <c r="D32" s="87"/>
      <c r="E32" s="76"/>
      <c r="F32" s="79">
        <v>1020346</v>
      </c>
      <c r="G32" s="78">
        <f t="shared" ref="G32:G47" si="2">G31+E32-F32</f>
        <v>20744541</v>
      </c>
      <c r="H32" s="89" t="s">
        <v>56</v>
      </c>
      <c r="I32" s="89" t="s">
        <v>53</v>
      </c>
      <c r="J32" s="76"/>
      <c r="K32" s="79">
        <v>1020346</v>
      </c>
      <c r="L32" s="79">
        <v>888899</v>
      </c>
      <c r="M32" s="89" t="s">
        <v>56</v>
      </c>
      <c r="N32" s="98" t="s">
        <v>53</v>
      </c>
    </row>
    <row r="33" ht="25" customHeight="1" spans="1:14">
      <c r="A33" s="80">
        <v>43784.9939467593</v>
      </c>
      <c r="B33" s="81" t="s">
        <v>9</v>
      </c>
      <c r="C33" s="90"/>
      <c r="D33" s="90"/>
      <c r="E33" s="92"/>
      <c r="F33" s="85">
        <v>1020347</v>
      </c>
      <c r="G33" s="86">
        <f t="shared" si="2"/>
        <v>19724194</v>
      </c>
      <c r="H33" s="91" t="s">
        <v>56</v>
      </c>
      <c r="I33" s="91" t="s">
        <v>53</v>
      </c>
      <c r="J33" s="92"/>
      <c r="K33" s="85">
        <v>1020347</v>
      </c>
      <c r="L33" s="85">
        <v>4554545</v>
      </c>
      <c r="M33" s="91" t="s">
        <v>56</v>
      </c>
      <c r="N33" s="99" t="s">
        <v>53</v>
      </c>
    </row>
    <row r="34" ht="25" customHeight="1" spans="1:14">
      <c r="A34" s="72">
        <v>43785.9939467593</v>
      </c>
      <c r="B34" s="73" t="s">
        <v>9</v>
      </c>
      <c r="C34" s="87"/>
      <c r="D34" s="87"/>
      <c r="E34" s="76"/>
      <c r="F34" s="79">
        <v>1020348</v>
      </c>
      <c r="G34" s="78">
        <f t="shared" si="2"/>
        <v>18703846</v>
      </c>
      <c r="H34" s="89" t="s">
        <v>56</v>
      </c>
      <c r="I34" s="89" t="s">
        <v>53</v>
      </c>
      <c r="J34" s="76"/>
      <c r="K34" s="79">
        <v>1020348</v>
      </c>
      <c r="L34" s="79">
        <f>L33+J34-K34</f>
        <v>3534197</v>
      </c>
      <c r="M34" s="89" t="s">
        <v>56</v>
      </c>
      <c r="N34" s="98" t="s">
        <v>53</v>
      </c>
    </row>
    <row r="35" ht="25" customHeight="1" spans="1:14">
      <c r="A35" s="80">
        <v>43786.9939467593</v>
      </c>
      <c r="B35" s="81" t="s">
        <v>9</v>
      </c>
      <c r="C35" s="90"/>
      <c r="D35" s="90"/>
      <c r="E35" s="92"/>
      <c r="F35" s="85">
        <v>1020349</v>
      </c>
      <c r="G35" s="86">
        <f t="shared" si="2"/>
        <v>17683497</v>
      </c>
      <c r="H35" s="91" t="s">
        <v>56</v>
      </c>
      <c r="I35" s="91" t="s">
        <v>53</v>
      </c>
      <c r="J35" s="92"/>
      <c r="K35" s="85">
        <v>1020349</v>
      </c>
      <c r="L35" s="85">
        <f>L34+J35-K35</f>
        <v>2513848</v>
      </c>
      <c r="M35" s="91" t="s">
        <v>56</v>
      </c>
      <c r="N35" s="99" t="s">
        <v>53</v>
      </c>
    </row>
    <row r="36" ht="25" customHeight="1" spans="1:14">
      <c r="A36" s="72">
        <v>43787.9939467593</v>
      </c>
      <c r="B36" s="73" t="s">
        <v>9</v>
      </c>
      <c r="C36" s="87"/>
      <c r="D36" s="87"/>
      <c r="E36" s="76"/>
      <c r="F36" s="79">
        <v>1020350</v>
      </c>
      <c r="G36" s="78">
        <f t="shared" si="2"/>
        <v>16663147</v>
      </c>
      <c r="H36" s="89" t="s">
        <v>56</v>
      </c>
      <c r="I36" s="89" t="s">
        <v>53</v>
      </c>
      <c r="J36" s="76"/>
      <c r="K36" s="79">
        <v>1020350</v>
      </c>
      <c r="L36" s="79">
        <f>L35+J36-K36</f>
        <v>1493498</v>
      </c>
      <c r="M36" s="89" t="s">
        <v>56</v>
      </c>
      <c r="N36" s="98" t="s">
        <v>53</v>
      </c>
    </row>
    <row r="37" ht="25" customHeight="1" spans="1:14">
      <c r="A37" s="80">
        <v>43788.9939467593</v>
      </c>
      <c r="B37" s="81" t="s">
        <v>9</v>
      </c>
      <c r="C37" s="90"/>
      <c r="D37" s="90"/>
      <c r="E37" s="92"/>
      <c r="F37" s="85">
        <v>1020351</v>
      </c>
      <c r="G37" s="86">
        <f t="shared" si="2"/>
        <v>15642796</v>
      </c>
      <c r="H37" s="91" t="s">
        <v>56</v>
      </c>
      <c r="I37" s="91" t="s">
        <v>53</v>
      </c>
      <c r="J37" s="92"/>
      <c r="K37" s="85">
        <v>1020351</v>
      </c>
      <c r="L37" s="85">
        <f>L36+J37-K37</f>
        <v>473147</v>
      </c>
      <c r="M37" s="91" t="s">
        <v>56</v>
      </c>
      <c r="N37" s="99" t="s">
        <v>53</v>
      </c>
    </row>
    <row r="38" ht="25" customHeight="1" spans="1:14">
      <c r="A38" s="72">
        <v>43789.9939467593</v>
      </c>
      <c r="B38" s="73" t="s">
        <v>9</v>
      </c>
      <c r="C38" s="87"/>
      <c r="D38" s="87"/>
      <c r="E38" s="76"/>
      <c r="F38" s="79">
        <v>1020352</v>
      </c>
      <c r="G38" s="78">
        <f t="shared" si="2"/>
        <v>14622444</v>
      </c>
      <c r="H38" s="89" t="s">
        <v>56</v>
      </c>
      <c r="I38" s="89" t="s">
        <v>53</v>
      </c>
      <c r="J38" s="76"/>
      <c r="K38" s="79">
        <v>1020352</v>
      </c>
      <c r="L38" s="79">
        <v>6666</v>
      </c>
      <c r="M38" s="89" t="s">
        <v>56</v>
      </c>
      <c r="N38" s="98" t="s">
        <v>53</v>
      </c>
    </row>
    <row r="39" ht="25" customHeight="1" spans="1:14">
      <c r="A39" s="80">
        <v>43790.9939467593</v>
      </c>
      <c r="B39" s="81" t="s">
        <v>9</v>
      </c>
      <c r="C39" s="90"/>
      <c r="D39" s="90"/>
      <c r="E39" s="92"/>
      <c r="F39" s="85">
        <v>1020353</v>
      </c>
      <c r="G39" s="86">
        <f t="shared" si="2"/>
        <v>13602091</v>
      </c>
      <c r="H39" s="91" t="s">
        <v>56</v>
      </c>
      <c r="I39" s="91" t="s">
        <v>53</v>
      </c>
      <c r="J39" s="92"/>
      <c r="K39" s="85">
        <v>1020353</v>
      </c>
      <c r="L39" s="85">
        <v>888</v>
      </c>
      <c r="M39" s="91" t="s">
        <v>56</v>
      </c>
      <c r="N39" s="99" t="s">
        <v>53</v>
      </c>
    </row>
    <row r="40" ht="25" customHeight="1" spans="1:14">
      <c r="A40" s="72">
        <v>43791.9939467593</v>
      </c>
      <c r="B40" s="73" t="s">
        <v>9</v>
      </c>
      <c r="C40" s="87"/>
      <c r="D40" s="87"/>
      <c r="E40" s="76"/>
      <c r="F40" s="79">
        <v>1020354</v>
      </c>
      <c r="G40" s="78">
        <f t="shared" si="2"/>
        <v>12581737</v>
      </c>
      <c r="H40" s="89" t="s">
        <v>56</v>
      </c>
      <c r="I40" s="89" t="s">
        <v>53</v>
      </c>
      <c r="J40" s="76"/>
      <c r="K40" s="79">
        <v>1020354</v>
      </c>
      <c r="L40" s="79">
        <v>2222</v>
      </c>
      <c r="M40" s="89" t="s">
        <v>56</v>
      </c>
      <c r="N40" s="98" t="s">
        <v>53</v>
      </c>
    </row>
    <row r="41" ht="25" customHeight="1" spans="1:14">
      <c r="A41" s="80">
        <v>43792.9939467593</v>
      </c>
      <c r="B41" s="81" t="s">
        <v>9</v>
      </c>
      <c r="C41" s="90"/>
      <c r="D41" s="90"/>
      <c r="E41" s="92"/>
      <c r="F41" s="85">
        <v>1020355</v>
      </c>
      <c r="G41" s="86">
        <f t="shared" si="2"/>
        <v>11561382</v>
      </c>
      <c r="H41" s="91" t="s">
        <v>56</v>
      </c>
      <c r="I41" s="91" t="s">
        <v>53</v>
      </c>
      <c r="J41" s="92"/>
      <c r="K41" s="85">
        <v>1020355</v>
      </c>
      <c r="L41" s="85">
        <v>876</v>
      </c>
      <c r="M41" s="91" t="s">
        <v>56</v>
      </c>
      <c r="N41" s="99" t="s">
        <v>53</v>
      </c>
    </row>
    <row r="42" ht="25" customHeight="1" spans="1:14">
      <c r="A42" s="72">
        <v>43793.9939467593</v>
      </c>
      <c r="B42" s="73" t="s">
        <v>9</v>
      </c>
      <c r="C42" s="87"/>
      <c r="D42" s="87"/>
      <c r="E42" s="76"/>
      <c r="F42" s="79">
        <v>1020356</v>
      </c>
      <c r="G42" s="78">
        <f t="shared" si="2"/>
        <v>10541026</v>
      </c>
      <c r="H42" s="89" t="s">
        <v>56</v>
      </c>
      <c r="I42" s="89" t="s">
        <v>53</v>
      </c>
      <c r="J42" s="76"/>
      <c r="K42" s="79">
        <v>1020356</v>
      </c>
      <c r="L42" s="79">
        <v>23432</v>
      </c>
      <c r="M42" s="89" t="s">
        <v>56</v>
      </c>
      <c r="N42" s="98" t="s">
        <v>53</v>
      </c>
    </row>
    <row r="43" ht="25" customHeight="1" spans="1:14">
      <c r="A43" s="80">
        <v>43794.9939467593</v>
      </c>
      <c r="B43" s="81" t="s">
        <v>9</v>
      </c>
      <c r="C43" s="90"/>
      <c r="D43" s="90"/>
      <c r="E43" s="92"/>
      <c r="F43" s="85">
        <v>1020357</v>
      </c>
      <c r="G43" s="86">
        <f t="shared" si="2"/>
        <v>9520669</v>
      </c>
      <c r="H43" s="91" t="s">
        <v>56</v>
      </c>
      <c r="I43" s="91" t="s">
        <v>53</v>
      </c>
      <c r="J43" s="92"/>
      <c r="K43" s="85">
        <v>1020357</v>
      </c>
      <c r="L43" s="85">
        <v>6000</v>
      </c>
      <c r="M43" s="91" t="s">
        <v>56</v>
      </c>
      <c r="N43" s="99" t="s">
        <v>53</v>
      </c>
    </row>
    <row r="44" ht="25" customHeight="1" spans="1:14">
      <c r="A44" s="72">
        <v>43795.9939467593</v>
      </c>
      <c r="B44" s="73" t="s">
        <v>9</v>
      </c>
      <c r="C44" s="87"/>
      <c r="D44" s="87"/>
      <c r="E44" s="76"/>
      <c r="F44" s="79">
        <v>1020358</v>
      </c>
      <c r="G44" s="78">
        <f t="shared" si="2"/>
        <v>8500311</v>
      </c>
      <c r="H44" s="89" t="s">
        <v>56</v>
      </c>
      <c r="I44" s="89" t="s">
        <v>53</v>
      </c>
      <c r="J44" s="76"/>
      <c r="K44" s="79">
        <v>1020358</v>
      </c>
      <c r="L44" s="79">
        <v>45333</v>
      </c>
      <c r="M44" s="89" t="s">
        <v>56</v>
      </c>
      <c r="N44" s="98" t="s">
        <v>53</v>
      </c>
    </row>
    <row r="45" ht="25" customHeight="1" spans="1:14">
      <c r="A45" s="80">
        <v>43796.9939467593</v>
      </c>
      <c r="B45" s="81" t="s">
        <v>9</v>
      </c>
      <c r="C45" s="90"/>
      <c r="D45" s="90"/>
      <c r="E45" s="92"/>
      <c r="F45" s="85">
        <v>1020359</v>
      </c>
      <c r="G45" s="86">
        <f t="shared" si="2"/>
        <v>7479952</v>
      </c>
      <c r="H45" s="91" t="s">
        <v>56</v>
      </c>
      <c r="I45" s="91" t="s">
        <v>53</v>
      </c>
      <c r="J45" s="92"/>
      <c r="K45" s="85">
        <v>1020359</v>
      </c>
      <c r="L45" s="85">
        <v>90000</v>
      </c>
      <c r="M45" s="91" t="s">
        <v>56</v>
      </c>
      <c r="N45" s="99" t="s">
        <v>53</v>
      </c>
    </row>
    <row r="46" ht="25" customHeight="1" spans="1:14">
      <c r="A46" s="72">
        <v>43797.9939467593</v>
      </c>
      <c r="B46" s="73" t="s">
        <v>9</v>
      </c>
      <c r="C46" s="87"/>
      <c r="D46" s="87"/>
      <c r="E46" s="76"/>
      <c r="F46" s="79">
        <v>1020360</v>
      </c>
      <c r="G46" s="78">
        <f t="shared" si="2"/>
        <v>6459592</v>
      </c>
      <c r="H46" s="89" t="s">
        <v>56</v>
      </c>
      <c r="I46" s="89" t="s">
        <v>53</v>
      </c>
      <c r="J46" s="76"/>
      <c r="K46" s="79">
        <v>1020360</v>
      </c>
      <c r="L46" s="79">
        <v>9000</v>
      </c>
      <c r="M46" s="89" t="s">
        <v>56</v>
      </c>
      <c r="N46" s="98" t="s">
        <v>53</v>
      </c>
    </row>
    <row r="47" ht="25" customHeight="1" spans="1:14">
      <c r="A47" s="80">
        <v>43798.9939467593</v>
      </c>
      <c r="B47" s="81" t="s">
        <v>9</v>
      </c>
      <c r="C47" s="90"/>
      <c r="D47" s="90"/>
      <c r="E47" s="92"/>
      <c r="F47" s="85">
        <v>1020361</v>
      </c>
      <c r="G47" s="86">
        <f t="shared" si="2"/>
        <v>5439231</v>
      </c>
      <c r="H47" s="91" t="s">
        <v>56</v>
      </c>
      <c r="I47" s="91" t="s">
        <v>53</v>
      </c>
      <c r="J47" s="92"/>
      <c r="K47" s="85">
        <v>1020361</v>
      </c>
      <c r="L47" s="85">
        <v>9000</v>
      </c>
      <c r="M47" s="91" t="s">
        <v>56</v>
      </c>
      <c r="N47" s="99" t="s">
        <v>53</v>
      </c>
    </row>
    <row r="48" ht="25" customHeight="1" spans="1:14">
      <c r="A48" s="72"/>
      <c r="B48" s="73"/>
      <c r="C48" s="87"/>
      <c r="D48" s="87"/>
      <c r="E48" s="78">
        <f>SUM(E12:E47)</f>
        <v>34485296</v>
      </c>
      <c r="F48" s="78">
        <f>SUM(F12:F47)</f>
        <v>29046065</v>
      </c>
      <c r="G48" s="78">
        <f>SUM(G12:G47)</f>
        <v>692032431</v>
      </c>
      <c r="H48" s="94"/>
      <c r="I48" s="94"/>
      <c r="J48" s="78">
        <f>SUM(J12:J47)</f>
        <v>11170213</v>
      </c>
      <c r="K48" s="78">
        <f>SUM(K12:K47)</f>
        <v>29046066</v>
      </c>
      <c r="L48" s="78">
        <f>SUM(L12:L47)</f>
        <v>54304423</v>
      </c>
      <c r="M48" s="89"/>
      <c r="N48" s="98"/>
    </row>
    <row r="49" ht="30" customHeight="1" spans="1:14">
      <c r="A49" s="95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100"/>
    </row>
  </sheetData>
  <mergeCells count="37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F22" sqref="F22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4">
      <c r="A1" s="1" t="s">
        <v>67</v>
      </c>
      <c r="B1" s="2"/>
      <c r="C1" s="2"/>
      <c r="D1" s="2"/>
      <c r="E1" s="2"/>
      <c r="F1" s="3"/>
      <c r="G1" s="4"/>
      <c r="H1" s="1" t="s">
        <v>67</v>
      </c>
      <c r="I1" s="2"/>
      <c r="J1" s="2"/>
      <c r="K1" s="2"/>
      <c r="L1" s="2"/>
      <c r="M1" s="3"/>
      <c r="N1" s="4"/>
    </row>
    <row r="2" ht="30" customHeight="1" spans="1:14">
      <c r="A2" s="5" t="s">
        <v>68</v>
      </c>
      <c r="B2" s="6"/>
      <c r="C2" s="6"/>
      <c r="D2" s="6"/>
      <c r="E2" s="6"/>
      <c r="F2" s="7"/>
      <c r="G2" s="4"/>
      <c r="H2" s="5" t="s">
        <v>68</v>
      </c>
      <c r="I2" s="6"/>
      <c r="J2" s="6"/>
      <c r="K2" s="6"/>
      <c r="L2" s="6"/>
      <c r="M2" s="7"/>
      <c r="N2" s="4"/>
    </row>
    <row r="3" ht="30" customHeight="1" spans="1:14">
      <c r="A3" s="35"/>
      <c r="B3" s="36"/>
      <c r="C3" s="37"/>
      <c r="D3" s="38"/>
      <c r="E3" s="36"/>
      <c r="F3" s="39"/>
      <c r="G3" s="4"/>
      <c r="H3" s="40"/>
      <c r="I3" s="9"/>
      <c r="J3" s="48"/>
      <c r="K3" s="49"/>
      <c r="L3" s="50"/>
      <c r="M3" s="51"/>
      <c r="N3" s="4"/>
    </row>
    <row r="4" ht="30" customHeight="1" spans="1:14">
      <c r="A4" s="11" t="s">
        <v>69</v>
      </c>
      <c r="B4" s="12"/>
      <c r="C4" s="12"/>
      <c r="D4" s="12"/>
      <c r="E4" s="12"/>
      <c r="F4" s="13"/>
      <c r="G4" s="4"/>
      <c r="H4" s="11" t="s">
        <v>70</v>
      </c>
      <c r="I4" s="12"/>
      <c r="J4" s="12"/>
      <c r="K4" s="12"/>
      <c r="L4" s="12"/>
      <c r="M4" s="13"/>
      <c r="N4" s="4"/>
    </row>
    <row r="5" ht="30" customHeight="1" spans="1:14">
      <c r="A5" s="41" t="s">
        <v>71</v>
      </c>
      <c r="B5" s="42" t="s">
        <v>72</v>
      </c>
      <c r="C5" s="16" t="s">
        <v>73</v>
      </c>
      <c r="D5" s="15" t="s">
        <v>72</v>
      </c>
      <c r="E5" s="16" t="s">
        <v>74</v>
      </c>
      <c r="F5" s="18" t="s">
        <v>75</v>
      </c>
      <c r="G5" s="4"/>
      <c r="H5" s="14" t="s">
        <v>71</v>
      </c>
      <c r="I5" s="15" t="s">
        <v>76</v>
      </c>
      <c r="J5" s="16" t="s">
        <v>73</v>
      </c>
      <c r="K5" s="17">
        <v>43765.5514351852</v>
      </c>
      <c r="L5" s="16" t="s">
        <v>74</v>
      </c>
      <c r="M5" s="18" t="s">
        <v>77</v>
      </c>
      <c r="N5" s="4"/>
    </row>
    <row r="6" ht="30" customHeight="1" spans="1:14">
      <c r="A6" s="41" t="s">
        <v>78</v>
      </c>
      <c r="B6" s="22" t="s">
        <v>79</v>
      </c>
      <c r="C6" s="16" t="s">
        <v>80</v>
      </c>
      <c r="D6" s="43" t="s">
        <v>72</v>
      </c>
      <c r="E6" s="16" t="s">
        <v>81</v>
      </c>
      <c r="F6" s="44" t="s">
        <v>82</v>
      </c>
      <c r="G6" s="4"/>
      <c r="H6" s="14" t="s">
        <v>78</v>
      </c>
      <c r="I6" s="19" t="s">
        <v>83</v>
      </c>
      <c r="J6" s="16" t="s">
        <v>80</v>
      </c>
      <c r="K6" s="20" t="s">
        <v>84</v>
      </c>
      <c r="L6" s="16" t="s">
        <v>81</v>
      </c>
      <c r="M6" s="21" t="s">
        <v>85</v>
      </c>
      <c r="N6" s="4"/>
    </row>
    <row r="7" ht="30" customHeight="1" spans="1:14">
      <c r="A7" s="41" t="s">
        <v>86</v>
      </c>
      <c r="B7" s="22" t="s">
        <v>87</v>
      </c>
      <c r="C7" s="16" t="s">
        <v>88</v>
      </c>
      <c r="D7" s="43" t="s">
        <v>72</v>
      </c>
      <c r="E7" s="16" t="s">
        <v>89</v>
      </c>
      <c r="F7" s="44" t="s">
        <v>82</v>
      </c>
      <c r="G7" s="4"/>
      <c r="H7" s="14" t="s">
        <v>86</v>
      </c>
      <c r="I7" s="22" t="s">
        <v>90</v>
      </c>
      <c r="J7" s="16" t="s">
        <v>88</v>
      </c>
      <c r="K7" s="23">
        <v>43765.5514351852</v>
      </c>
      <c r="L7" s="16" t="s">
        <v>89</v>
      </c>
      <c r="M7" s="24">
        <v>43765.5514351852</v>
      </c>
      <c r="N7" s="4"/>
    </row>
    <row r="8" ht="30" customHeight="1" spans="1:14">
      <c r="A8" s="45"/>
      <c r="B8" s="46"/>
      <c r="C8" s="46"/>
      <c r="D8" s="46"/>
      <c r="E8" s="46"/>
      <c r="F8" s="47"/>
      <c r="G8" s="4"/>
      <c r="H8" s="45"/>
      <c r="I8" s="46"/>
      <c r="J8" s="46"/>
      <c r="K8" s="46"/>
      <c r="L8" s="46"/>
      <c r="M8" s="47"/>
      <c r="N8" s="4"/>
    </row>
    <row r="9" ht="30" customHeight="1" spans="1:14">
      <c r="A9" s="32" t="s">
        <v>91</v>
      </c>
      <c r="B9" s="33"/>
      <c r="C9" s="33"/>
      <c r="D9" s="33"/>
      <c r="E9" s="33"/>
      <c r="F9" s="34"/>
      <c r="G9" s="4"/>
      <c r="H9" s="32" t="s">
        <v>91</v>
      </c>
      <c r="I9" s="33"/>
      <c r="J9" s="33"/>
      <c r="K9" s="33"/>
      <c r="L9" s="33"/>
      <c r="M9" s="34"/>
      <c r="N9" s="4"/>
    </row>
  </sheetData>
  <mergeCells count="10">
    <mergeCell ref="A1:F1"/>
    <mergeCell ref="H1:M1"/>
    <mergeCell ref="A2:F2"/>
    <mergeCell ref="H2:M2"/>
    <mergeCell ref="A4:F4"/>
    <mergeCell ref="H4:M4"/>
    <mergeCell ref="A8:F8"/>
    <mergeCell ref="H8:M8"/>
    <mergeCell ref="A9:F9"/>
    <mergeCell ref="H9:M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E15" sqref="E15"/>
    </sheetView>
  </sheetViews>
  <sheetFormatPr defaultColWidth="9" defaultRowHeight="13.5"/>
  <cols>
    <col min="1" max="1" width="10.625" customWidth="1"/>
    <col min="2" max="6" width="20.625" customWidth="1"/>
    <col min="9" max="13" width="20.625" customWidth="1"/>
  </cols>
  <sheetData>
    <row r="1" ht="30" customHeight="1" spans="1:13">
      <c r="A1" s="1" t="s">
        <v>67</v>
      </c>
      <c r="B1" s="2"/>
      <c r="C1" s="2"/>
      <c r="D1" s="2"/>
      <c r="E1" s="2"/>
      <c r="F1" s="3"/>
      <c r="G1" s="4"/>
      <c r="H1" s="1" t="s">
        <v>67</v>
      </c>
      <c r="I1" s="2"/>
      <c r="J1" s="2"/>
      <c r="K1" s="2"/>
      <c r="L1" s="2"/>
      <c r="M1" s="3"/>
    </row>
    <row r="2" ht="35" customHeight="1" spans="1:13">
      <c r="A2" s="5" t="s">
        <v>68</v>
      </c>
      <c r="B2" s="6"/>
      <c r="C2" s="6"/>
      <c r="D2" s="6"/>
      <c r="E2" s="6"/>
      <c r="F2" s="7"/>
      <c r="G2" s="4"/>
      <c r="H2" s="5" t="s">
        <v>68</v>
      </c>
      <c r="I2" s="6"/>
      <c r="J2" s="6"/>
      <c r="K2" s="6"/>
      <c r="L2" s="6"/>
      <c r="M2" s="7"/>
    </row>
    <row r="3" ht="35" customHeight="1" spans="1:13">
      <c r="A3" s="8" t="s">
        <v>92</v>
      </c>
      <c r="B3" s="9"/>
      <c r="C3" s="9"/>
      <c r="D3" s="9"/>
      <c r="E3" s="9"/>
      <c r="F3" s="10"/>
      <c r="G3" s="4"/>
      <c r="H3" s="8" t="s">
        <v>93</v>
      </c>
      <c r="I3" s="9"/>
      <c r="J3" s="9"/>
      <c r="K3" s="9"/>
      <c r="L3" s="9"/>
      <c r="M3" s="10"/>
    </row>
    <row r="4" ht="35" customHeight="1" spans="1:13">
      <c r="A4" s="11" t="s">
        <v>70</v>
      </c>
      <c r="B4" s="12"/>
      <c r="C4" s="12"/>
      <c r="D4" s="12"/>
      <c r="E4" s="12"/>
      <c r="F4" s="13"/>
      <c r="G4" s="4"/>
      <c r="H4" s="11" t="s">
        <v>70</v>
      </c>
      <c r="I4" s="12"/>
      <c r="J4" s="12"/>
      <c r="K4" s="12"/>
      <c r="L4" s="12"/>
      <c r="M4" s="13"/>
    </row>
    <row r="5" ht="35" customHeight="1" spans="1:13">
      <c r="A5" s="14" t="s">
        <v>71</v>
      </c>
      <c r="B5" s="15" t="s">
        <v>76</v>
      </c>
      <c r="C5" s="16" t="s">
        <v>73</v>
      </c>
      <c r="D5" s="17">
        <v>43765.5514351852</v>
      </c>
      <c r="E5" s="16" t="s">
        <v>74</v>
      </c>
      <c r="F5" s="18" t="s">
        <v>77</v>
      </c>
      <c r="G5" s="4"/>
      <c r="H5" s="14" t="s">
        <v>71</v>
      </c>
      <c r="I5" s="15" t="s">
        <v>76</v>
      </c>
      <c r="J5" s="16" t="s">
        <v>73</v>
      </c>
      <c r="K5" s="17">
        <v>43765.5514351852</v>
      </c>
      <c r="L5" s="16" t="s">
        <v>74</v>
      </c>
      <c r="M5" s="18" t="s">
        <v>77</v>
      </c>
    </row>
    <row r="6" ht="35" customHeight="1" spans="1:13">
      <c r="A6" s="14" t="s">
        <v>78</v>
      </c>
      <c r="B6" s="19" t="s">
        <v>83</v>
      </c>
      <c r="C6" s="16" t="s">
        <v>80</v>
      </c>
      <c r="D6" s="20" t="s">
        <v>84</v>
      </c>
      <c r="E6" s="16" t="s">
        <v>81</v>
      </c>
      <c r="F6" s="21" t="s">
        <v>85</v>
      </c>
      <c r="G6" s="4"/>
      <c r="H6" s="14" t="s">
        <v>78</v>
      </c>
      <c r="I6" s="19" t="s">
        <v>83</v>
      </c>
      <c r="J6" s="16" t="s">
        <v>80</v>
      </c>
      <c r="K6" s="20" t="s">
        <v>84</v>
      </c>
      <c r="L6" s="16" t="s">
        <v>81</v>
      </c>
      <c r="M6" s="21" t="s">
        <v>85</v>
      </c>
    </row>
    <row r="7" ht="35" customHeight="1" spans="1:13">
      <c r="A7" s="14" t="s">
        <v>86</v>
      </c>
      <c r="B7" s="22" t="s">
        <v>90</v>
      </c>
      <c r="C7" s="16" t="s">
        <v>88</v>
      </c>
      <c r="D7" s="23">
        <v>43765.5514351852</v>
      </c>
      <c r="E7" s="16" t="s">
        <v>89</v>
      </c>
      <c r="F7" s="24">
        <v>43765.5514351852</v>
      </c>
      <c r="G7" s="4"/>
      <c r="H7" s="14" t="s">
        <v>86</v>
      </c>
      <c r="I7" s="22" t="s">
        <v>90</v>
      </c>
      <c r="J7" s="16" t="s">
        <v>88</v>
      </c>
      <c r="K7" s="23">
        <v>43765.5514351852</v>
      </c>
      <c r="L7" s="16" t="s">
        <v>89</v>
      </c>
      <c r="M7" s="24">
        <v>43765.5514351852</v>
      </c>
    </row>
    <row r="8" ht="35" customHeight="1" spans="1:13">
      <c r="A8" s="25" t="s">
        <v>94</v>
      </c>
      <c r="B8" s="26"/>
      <c r="C8" s="26"/>
      <c r="D8" s="26"/>
      <c r="E8" s="26"/>
      <c r="F8" s="27"/>
      <c r="G8" s="4"/>
      <c r="H8" s="25" t="s">
        <v>94</v>
      </c>
      <c r="I8" s="26"/>
      <c r="J8" s="26"/>
      <c r="K8" s="26"/>
      <c r="L8" s="26"/>
      <c r="M8" s="27"/>
    </row>
    <row r="9" ht="35" customHeight="1" spans="1:13">
      <c r="A9" s="28" t="s">
        <v>95</v>
      </c>
      <c r="B9" s="29"/>
      <c r="C9" s="29"/>
      <c r="D9" s="29"/>
      <c r="E9" s="29"/>
      <c r="F9" s="30"/>
      <c r="G9" s="4"/>
      <c r="H9" s="31" t="s">
        <v>96</v>
      </c>
      <c r="I9" s="29"/>
      <c r="J9" s="29"/>
      <c r="K9" s="29"/>
      <c r="L9" s="29"/>
      <c r="M9" s="30"/>
    </row>
    <row r="10" ht="30" customHeight="1" spans="1:13">
      <c r="A10" s="32" t="s">
        <v>91</v>
      </c>
      <c r="B10" s="33"/>
      <c r="C10" s="33"/>
      <c r="D10" s="33"/>
      <c r="E10" s="33"/>
      <c r="F10" s="34"/>
      <c r="G10" s="4"/>
      <c r="H10" s="32" t="s">
        <v>91</v>
      </c>
      <c r="I10" s="33"/>
      <c r="J10" s="33"/>
      <c r="K10" s="33"/>
      <c r="L10" s="33"/>
      <c r="M10" s="34"/>
    </row>
  </sheetData>
  <mergeCells count="14">
    <mergeCell ref="A1:F1"/>
    <mergeCell ref="H1:M1"/>
    <mergeCell ref="A2:F2"/>
    <mergeCell ref="H2:M2"/>
    <mergeCell ref="A3:F3"/>
    <mergeCell ref="H3:M3"/>
    <mergeCell ref="A4:F4"/>
    <mergeCell ref="H4:M4"/>
    <mergeCell ref="A8:F8"/>
    <mergeCell ref="H8:M8"/>
    <mergeCell ref="A9:F9"/>
    <mergeCell ref="H9:M9"/>
    <mergeCell ref="A10:F10"/>
    <mergeCell ref="H10:M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中国</vt:lpstr>
      <vt:lpstr>国外</vt:lpstr>
      <vt:lpstr>添加款项</vt:lpstr>
      <vt:lpstr>关联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2022-07-13T09:05:59Z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F7C67982A47041D4A88519E9EAAC385C</vt:lpwstr>
  </property>
</Properties>
</file>