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090"/>
  </bookViews>
  <sheets>
    <sheet name="应付账款" sheetId="1" r:id="rId1"/>
    <sheet name="其它应付款" sheetId="2" r:id="rId2"/>
    <sheet name="应付职工薪酬" sheetId="3" r:id="rId3"/>
  </sheets>
  <externalReferences>
    <externalReference r:id="rId4"/>
  </externalReferences>
  <calcPr calcId="144525"/>
</workbook>
</file>

<file path=xl/sharedStrings.xml><?xml version="1.0" encoding="utf-8"?>
<sst xmlns="http://schemas.openxmlformats.org/spreadsheetml/2006/main" count="225" uniqueCount="68">
  <si>
    <t>尼日利亚</t>
  </si>
  <si>
    <t>加纳</t>
  </si>
  <si>
    <t>几内亚</t>
  </si>
  <si>
    <t>中国</t>
  </si>
  <si>
    <t>广州</t>
  </si>
  <si>
    <t>深圳</t>
  </si>
  <si>
    <t>香港</t>
  </si>
  <si>
    <t>上海</t>
  </si>
  <si>
    <t>全部</t>
  </si>
  <si>
    <t>白云区站点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</si>
  <si>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</si>
  <si>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</si>
  <si>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</si>
  <si>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</si>
  <si>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</si>
  <si>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</si>
  <si>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</si>
  <si>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</si>
  <si>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</si>
  <si>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</si>
  <si>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</si>
  <si>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</si>
  <si>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</si>
  <si>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</si>
  <si>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</si>
  <si>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</si>
  <si>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</si>
  <si>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</si>
  <si>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</si>
  <si>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</si>
  <si>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</si>
  <si>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</si>
  <si>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</si>
  <si>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</si>
  <si>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应付账款</t>
  </si>
  <si>
    <t>其它应付款</t>
  </si>
  <si>
    <t>应付职工薪酬</t>
  </si>
  <si>
    <t>序号</t>
  </si>
  <si>
    <t>摘要</t>
  </si>
  <si>
    <t>金额CNY</t>
  </si>
  <si>
    <t>途径</t>
  </si>
  <si>
    <t>日期</t>
  </si>
  <si>
    <t>备注</t>
  </si>
  <si>
    <t>操作</t>
  </si>
  <si>
    <t>上月余数</t>
  </si>
  <si>
    <t>私账</t>
  </si>
  <si>
    <t>威都七月份运输费</t>
  </si>
  <si>
    <t>翁智运输费</t>
  </si>
  <si>
    <t>微信/私</t>
  </si>
  <si>
    <t>联宜运输费</t>
  </si>
  <si>
    <t>中晖运输费</t>
  </si>
  <si>
    <t>支付宝/私</t>
  </si>
  <si>
    <t>星汉运输费</t>
  </si>
  <si>
    <t>赫翼运输费</t>
  </si>
  <si>
    <t>威都运输费</t>
  </si>
  <si>
    <t>应付：星汉8月23日-27日运输费</t>
  </si>
  <si>
    <t>翁智7月2日-21日运输费</t>
  </si>
  <si>
    <t>翁智8月20日-27日运输费</t>
  </si>
  <si>
    <t>赫翼8月1日-31日运输费</t>
  </si>
  <si>
    <t>中晖运输费（JOB080010；JOB090001）</t>
  </si>
  <si>
    <t>合计</t>
  </si>
  <si>
    <t>浦海森（微信公众号）</t>
  </si>
  <si>
    <t>公众号收到：（9月14日-9月20日）运输费</t>
  </si>
  <si>
    <t>公众号收到：（9月21日-9月27日）运输费</t>
  </si>
  <si>
    <t>浦生个人借款抵扣支付费用</t>
  </si>
  <si>
    <t>8月份员工工资</t>
  </si>
  <si>
    <t>曹峰9月份工资</t>
  </si>
  <si>
    <t>计提9月份工资</t>
  </si>
</sst>
</file>

<file path=xl/styles.xml><?xml version="1.0" encoding="utf-8"?>
<styleSheet xmlns="http://schemas.openxmlformats.org/spreadsheetml/2006/main">
  <numFmts count="6">
    <numFmt numFmtId="8" formatCode="&quot;￥&quot;#,##0.00;[Red]&quot;￥&quot;\-#,##0.00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&quot;￥&quot;#,##0.00_);[Red]\(&quot;￥&quot;#,##0.00\)"/>
  </numFmts>
  <fonts count="32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1"/>
      <name val="Microsoft JhengHei"/>
      <charset val="134"/>
    </font>
    <font>
      <b/>
      <sz val="10"/>
      <color theme="1"/>
      <name val="Microsoft JhengHei"/>
      <charset val="134"/>
    </font>
    <font>
      <b/>
      <sz val="11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0"/>
      <name val="宋体"/>
      <charset val="134"/>
    </font>
    <font>
      <sz val="9"/>
      <color theme="1"/>
      <name val="Tahoma"/>
      <charset val="134"/>
    </font>
    <font>
      <sz val="9"/>
      <name val="宋体"/>
      <charset val="134"/>
    </font>
    <font>
      <sz val="9"/>
      <color rgb="FFFF0000"/>
      <name val="Tahoma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0" fillId="18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13" applyNumberFormat="0" applyFon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2" fillId="25" borderId="16" applyNumberFormat="0" applyAlignment="0" applyProtection="0">
      <alignment vertical="center"/>
    </xf>
    <xf numFmtId="0" fontId="27" fillId="25" borderId="15" applyNumberFormat="0" applyAlignment="0" applyProtection="0">
      <alignment vertical="center"/>
    </xf>
    <xf numFmtId="0" fontId="30" fillId="36" borderId="18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176" fontId="8" fillId="5" borderId="3" xfId="0" applyNumberFormat="1" applyFont="1" applyFill="1" applyBorder="1" applyAlignment="1">
      <alignment horizontal="center" vertical="center"/>
    </xf>
    <xf numFmtId="176" fontId="8" fillId="5" borderId="4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176" fontId="9" fillId="5" borderId="2" xfId="8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76" fontId="9" fillId="5" borderId="3" xfId="0" applyNumberFormat="1" applyFont="1" applyFill="1" applyBorder="1" applyAlignment="1">
      <alignment horizontal="center" vertical="center"/>
    </xf>
    <xf numFmtId="176" fontId="9" fillId="5" borderId="4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6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4" fontId="1" fillId="5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8" fontId="10" fillId="5" borderId="2" xfId="0" applyNumberFormat="1" applyFont="1" applyFill="1" applyBorder="1" applyAlignment="1">
      <alignment horizontal="center" vertical="center"/>
    </xf>
    <xf numFmtId="8" fontId="11" fillId="5" borderId="2" xfId="8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8" fontId="11" fillId="5" borderId="2" xfId="8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 wrapText="1"/>
    </xf>
    <xf numFmtId="8" fontId="11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  <xf numFmtId="8" fontId="9" fillId="5" borderId="2" xfId="8" applyNumberFormat="1" applyFont="1" applyFill="1" applyBorder="1" applyAlignment="1">
      <alignment horizontal="center" vertical="center"/>
    </xf>
    <xf numFmtId="8" fontId="4" fillId="6" borderId="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8" fontId="10" fillId="5" borderId="0" xfId="0" applyNumberFormat="1" applyFont="1" applyFill="1" applyAlignment="1">
      <alignment horizontal="center" vertical="center"/>
    </xf>
    <xf numFmtId="8" fontId="10" fillId="5" borderId="10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176" fontId="9" fillId="0" borderId="2" xfId="8" applyNumberFormat="1" applyFont="1" applyBorder="1" applyAlignment="1">
      <alignment horizontal="center" vertical="center"/>
    </xf>
    <xf numFmtId="176" fontId="9" fillId="5" borderId="4" xfId="8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176" fontId="11" fillId="0" borderId="2" xfId="8" applyNumberFormat="1" applyFont="1" applyBorder="1" applyAlignment="1">
      <alignment horizontal="center" vertical="center"/>
    </xf>
    <xf numFmtId="176" fontId="11" fillId="5" borderId="4" xfId="8" applyNumberFormat="1" applyFont="1" applyFill="1" applyBorder="1" applyAlignment="1">
      <alignment horizontal="center" vertical="center"/>
    </xf>
    <xf numFmtId="8" fontId="9" fillId="0" borderId="2" xfId="8" applyNumberFormat="1" applyFont="1" applyBorder="1" applyAlignment="1">
      <alignment horizontal="center" vertical="center"/>
    </xf>
    <xf numFmtId="8" fontId="9" fillId="5" borderId="4" xfId="8" applyNumberFormat="1" applyFont="1" applyFill="1" applyBorder="1" applyAlignment="1">
      <alignment horizontal="center" vertical="center"/>
    </xf>
    <xf numFmtId="8" fontId="11" fillId="0" borderId="2" xfId="8" applyNumberFormat="1" applyFont="1" applyBorder="1" applyAlignment="1">
      <alignment horizontal="center" vertical="center"/>
    </xf>
    <xf numFmtId="8" fontId="11" fillId="5" borderId="4" xfId="8" applyNumberFormat="1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8" fontId="11" fillId="5" borderId="3" xfId="0" applyNumberFormat="1" applyFont="1" applyFill="1" applyBorder="1" applyAlignment="1">
      <alignment horizontal="center" vertical="center"/>
    </xf>
    <xf numFmtId="8" fontId="11" fillId="5" borderId="4" xfId="0" applyNumberFormat="1" applyFont="1" applyFill="1" applyBorder="1" applyAlignment="1">
      <alignment horizontal="center" vertical="center"/>
    </xf>
    <xf numFmtId="8" fontId="10" fillId="5" borderId="3" xfId="0" applyNumberFormat="1" applyFont="1" applyFill="1" applyBorder="1" applyAlignment="1">
      <alignment horizontal="center" vertical="center"/>
    </xf>
    <xf numFmtId="8" fontId="10" fillId="5" borderId="4" xfId="0" applyNumberFormat="1" applyFont="1" applyFill="1" applyBorder="1" applyAlignment="1">
      <alignment horizontal="center" vertical="center"/>
    </xf>
    <xf numFmtId="8" fontId="10" fillId="5" borderId="3" xfId="0" applyNumberFormat="1" applyFont="1" applyFill="1" applyBorder="1" applyAlignment="1">
      <alignment horizontal="center" vertical="center" wrapText="1"/>
    </xf>
    <xf numFmtId="8" fontId="10" fillId="5" borderId="4" xfId="0" applyNumberFormat="1" applyFont="1" applyFill="1" applyBorder="1" applyAlignment="1">
      <alignment horizontal="center" vertical="center" wrapText="1"/>
    </xf>
    <xf numFmtId="8" fontId="12" fillId="5" borderId="3" xfId="0" applyNumberFormat="1" applyFont="1" applyFill="1" applyBorder="1" applyAlignment="1">
      <alignment horizontal="center" vertical="center"/>
    </xf>
    <xf numFmtId="8" fontId="12" fillId="5" borderId="4" xfId="0" applyNumberFormat="1" applyFont="1" applyFill="1" applyBorder="1" applyAlignment="1">
      <alignment horizontal="center" vertical="center"/>
    </xf>
    <xf numFmtId="14" fontId="1" fillId="5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SamPao\Desktop\2018&#24180;10&#26376;&#20221;&#36130;&#21153;&#25253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1月份明细 "/>
      <sheetName val="11月份分录"/>
      <sheetName val="11月份汇总"/>
      <sheetName val="11月份利润表"/>
      <sheetName val="11月份资产负债表"/>
      <sheetName val="12月份明细 "/>
      <sheetName val="12月份分录"/>
      <sheetName val="12月份汇总"/>
      <sheetName val="12月份利润表"/>
      <sheetName val="12月份资产负债表"/>
      <sheetName val="18年1月份明细"/>
      <sheetName val="1月份分录"/>
      <sheetName val="1月份汇总"/>
      <sheetName val="1月份利润表"/>
      <sheetName val="1月份资产负债表"/>
      <sheetName val="2月份明细"/>
      <sheetName val="2月份科目分录"/>
      <sheetName val="2月份汇总"/>
      <sheetName val="2月份利润表"/>
      <sheetName val="2月份资产负债表"/>
      <sheetName val="3月份明细"/>
      <sheetName val="3月份科目分录"/>
      <sheetName val="3月份汇总"/>
      <sheetName val="3月份利润表"/>
      <sheetName val="3月份资产负债表"/>
      <sheetName val="4月份明细"/>
      <sheetName val="4月份科目分录"/>
      <sheetName val="4月份汇总"/>
      <sheetName val="4月份利润表"/>
      <sheetName val="4月份资产负债表"/>
      <sheetName val="5月份明细"/>
      <sheetName val="5月份科目分录"/>
      <sheetName val="5月份汇总"/>
      <sheetName val="5月份利润表"/>
      <sheetName val="5月份资产负债表"/>
      <sheetName val="6月份明细"/>
      <sheetName val="6月份科目分录"/>
      <sheetName val="6月份汇总"/>
      <sheetName val="6月份利润表"/>
      <sheetName val="6月份资产负债表"/>
      <sheetName val="7月份明细"/>
      <sheetName val="7月份科目分录"/>
      <sheetName val="7月份汇总"/>
      <sheetName val="7月份利润表"/>
      <sheetName val="7月份资产负债表"/>
      <sheetName val="8月份明细"/>
      <sheetName val="8月份科目分录"/>
      <sheetName val="8月份汇总"/>
      <sheetName val="8月份利润表"/>
      <sheetName val="8月份资产负债表"/>
      <sheetName val="9月份明细"/>
      <sheetName val="9月份分录"/>
      <sheetName val="9月份汇总"/>
      <sheetName val="9月份利润表"/>
      <sheetName val="9月份资产负债表"/>
      <sheetName val="10月份明细"/>
      <sheetName val="10月份分录"/>
      <sheetName val="10月份汇总"/>
      <sheetName val="10月份利润表"/>
      <sheetName val="10月份资产负债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58">
          <cell r="F58">
            <v>6902.46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workbookViewId="0">
      <selection activeCell="Q21" sqref="Q21"/>
    </sheetView>
  </sheetViews>
  <sheetFormatPr defaultColWidth="9" defaultRowHeight="15"/>
  <cols>
    <col min="1" max="8" width="10.625" style="2" customWidth="1"/>
    <col min="9" max="9" width="10.625" style="1" customWidth="1"/>
    <col min="10" max="12" width="10.625" style="2" customWidth="1"/>
    <col min="13" max="13" width="9.625" style="2" customWidth="1"/>
    <col min="14" max="16353" width="9" style="2"/>
    <col min="16354" max="16384" width="9" style="3"/>
  </cols>
  <sheetData>
    <row r="1" ht="25" customHeight="1"/>
    <row r="2" ht="25" customHeight="1" spans="1:9">
      <c r="A2" s="4" t="s">
        <v>0</v>
      </c>
      <c r="B2" s="5" t="s">
        <v>1</v>
      </c>
      <c r="C2" s="5" t="s">
        <v>2</v>
      </c>
      <c r="D2" s="6" t="s">
        <v>3</v>
      </c>
      <c r="F2" s="7"/>
      <c r="G2" s="7"/>
      <c r="H2" s="7"/>
      <c r="I2" s="7"/>
    </row>
    <row r="3" ht="25" customHeight="1" spans="1:9">
      <c r="A3" s="8" t="s">
        <v>4</v>
      </c>
      <c r="B3" s="9" t="s">
        <v>5</v>
      </c>
      <c r="C3" s="9" t="s">
        <v>6</v>
      </c>
      <c r="D3" s="9" t="s">
        <v>7</v>
      </c>
      <c r="F3" s="10"/>
      <c r="G3" s="10"/>
      <c r="H3" s="10"/>
      <c r="I3" s="7"/>
    </row>
    <row r="4" ht="25" customHeight="1" spans="1:9">
      <c r="A4" s="11" t="s">
        <v>8</v>
      </c>
      <c r="B4" s="12" t="s">
        <v>9</v>
      </c>
      <c r="C4" s="11"/>
      <c r="D4" s="11"/>
      <c r="E4" s="10"/>
      <c r="F4" s="10"/>
      <c r="G4" s="10"/>
      <c r="H4" s="10"/>
      <c r="I4" s="10"/>
    </row>
    <row r="5" ht="25" customHeight="1" spans="8:9">
      <c r="H5" s="1"/>
      <c r="I5" s="2"/>
    </row>
    <row r="6" ht="25" customHeight="1" spans="1:12">
      <c r="A6" s="1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  <c r="L6" s="14" t="s">
        <v>21</v>
      </c>
    </row>
    <row r="7" s="1" customFormat="1" ht="25" customHeight="1" spans="1:12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</row>
    <row r="8" ht="25" customHeight="1"/>
    <row r="9" ht="25" customHeight="1" spans="1:9">
      <c r="A9" s="47" t="s">
        <v>34</v>
      </c>
      <c r="B9" s="12"/>
      <c r="C9" s="11" t="s">
        <v>35</v>
      </c>
      <c r="D9" s="11"/>
      <c r="E9" s="11" t="s">
        <v>36</v>
      </c>
      <c r="F9" s="11"/>
      <c r="G9" s="16"/>
      <c r="H9" s="16"/>
      <c r="I9" s="16"/>
    </row>
    <row r="10" ht="25" customHeight="1" spans="1:13">
      <c r="A10" s="35" t="s">
        <v>37</v>
      </c>
      <c r="B10" s="35" t="s">
        <v>38</v>
      </c>
      <c r="C10" s="35"/>
      <c r="D10" s="35"/>
      <c r="E10" s="35"/>
      <c r="F10" s="35" t="s">
        <v>39</v>
      </c>
      <c r="G10" s="35"/>
      <c r="H10" s="35" t="s">
        <v>40</v>
      </c>
      <c r="I10" s="35" t="s">
        <v>41</v>
      </c>
      <c r="J10" s="35"/>
      <c r="K10" s="35" t="s">
        <v>42</v>
      </c>
      <c r="L10" s="35"/>
      <c r="M10" s="35" t="s">
        <v>43</v>
      </c>
    </row>
    <row r="11" ht="25" customHeight="1" spans="1:13">
      <c r="A11" s="48">
        <v>1</v>
      </c>
      <c r="B11" s="49" t="s">
        <v>44</v>
      </c>
      <c r="C11" s="50"/>
      <c r="D11" s="50"/>
      <c r="E11" s="51"/>
      <c r="F11" s="52">
        <f>SUM('[1]7月份明细'!F58)</f>
        <v>6902.46</v>
      </c>
      <c r="G11" s="53"/>
      <c r="H11" s="46" t="s">
        <v>45</v>
      </c>
      <c r="I11" s="81">
        <v>43831</v>
      </c>
      <c r="J11" s="48"/>
      <c r="K11" s="48"/>
      <c r="L11" s="48"/>
      <c r="M11" s="46" t="s">
        <v>42</v>
      </c>
    </row>
    <row r="12" ht="25" customHeight="1" spans="1:13">
      <c r="A12" s="18">
        <v>2</v>
      </c>
      <c r="B12" s="54" t="s">
        <v>46</v>
      </c>
      <c r="C12" s="55"/>
      <c r="D12" s="55"/>
      <c r="E12" s="56"/>
      <c r="F12" s="37">
        <v>76032.7</v>
      </c>
      <c r="G12" s="37"/>
      <c r="H12" s="22" t="s">
        <v>45</v>
      </c>
      <c r="I12" s="34">
        <v>43832</v>
      </c>
      <c r="J12" s="18"/>
      <c r="K12" s="18"/>
      <c r="L12" s="18"/>
      <c r="M12" s="22" t="s">
        <v>42</v>
      </c>
    </row>
    <row r="13" ht="25" customHeight="1" spans="1:13">
      <c r="A13" s="18">
        <v>3</v>
      </c>
      <c r="B13" s="57" t="s">
        <v>47</v>
      </c>
      <c r="C13" s="58"/>
      <c r="D13" s="58"/>
      <c r="E13" s="59"/>
      <c r="F13" s="60">
        <v>14233</v>
      </c>
      <c r="G13" s="61"/>
      <c r="H13" s="22" t="s">
        <v>48</v>
      </c>
      <c r="I13" s="34">
        <v>43833</v>
      </c>
      <c r="J13" s="18"/>
      <c r="K13" s="18"/>
      <c r="L13" s="18"/>
      <c r="M13" s="22" t="s">
        <v>42</v>
      </c>
    </row>
    <row r="14" ht="25" customHeight="1" spans="1:13">
      <c r="A14" s="18">
        <v>4</v>
      </c>
      <c r="B14" s="62" t="s">
        <v>49</v>
      </c>
      <c r="C14" s="63"/>
      <c r="D14" s="63"/>
      <c r="E14" s="64"/>
      <c r="F14" s="60">
        <v>14301</v>
      </c>
      <c r="G14" s="61"/>
      <c r="H14" s="22" t="s">
        <v>48</v>
      </c>
      <c r="I14" s="34">
        <v>43834</v>
      </c>
      <c r="J14" s="18"/>
      <c r="K14" s="18"/>
      <c r="L14" s="18"/>
      <c r="M14" s="22" t="s">
        <v>42</v>
      </c>
    </row>
    <row r="15" ht="25" customHeight="1" spans="1:13">
      <c r="A15" s="18">
        <v>5</v>
      </c>
      <c r="B15" s="62" t="s">
        <v>50</v>
      </c>
      <c r="C15" s="63"/>
      <c r="D15" s="63"/>
      <c r="E15" s="64"/>
      <c r="F15" s="60">
        <v>2828.8</v>
      </c>
      <c r="G15" s="61"/>
      <c r="H15" s="22" t="s">
        <v>51</v>
      </c>
      <c r="I15" s="34">
        <v>43835</v>
      </c>
      <c r="J15" s="18"/>
      <c r="K15" s="18"/>
      <c r="L15" s="18"/>
      <c r="M15" s="22" t="s">
        <v>42</v>
      </c>
    </row>
    <row r="16" ht="25" customHeight="1" spans="1:13">
      <c r="A16" s="18">
        <v>6</v>
      </c>
      <c r="B16" s="63" t="s">
        <v>52</v>
      </c>
      <c r="C16" s="63"/>
      <c r="D16" s="63"/>
      <c r="E16" s="64"/>
      <c r="F16" s="65">
        <v>27691.94</v>
      </c>
      <c r="G16" s="66"/>
      <c r="H16" s="22" t="s">
        <v>51</v>
      </c>
      <c r="I16" s="34">
        <v>43836</v>
      </c>
      <c r="J16" s="18"/>
      <c r="K16" s="18"/>
      <c r="L16" s="18"/>
      <c r="M16" s="22" t="s">
        <v>42</v>
      </c>
    </row>
    <row r="17" ht="25" customHeight="1" spans="1:13">
      <c r="A17" s="18">
        <v>7</v>
      </c>
      <c r="B17" s="63" t="s">
        <v>53</v>
      </c>
      <c r="C17" s="63"/>
      <c r="D17" s="63"/>
      <c r="E17" s="64"/>
      <c r="F17" s="67">
        <v>-29785.5</v>
      </c>
      <c r="G17" s="68"/>
      <c r="H17" s="22" t="s">
        <v>51</v>
      </c>
      <c r="I17" s="34">
        <v>43837</v>
      </c>
      <c r="J17" s="18"/>
      <c r="K17" s="18"/>
      <c r="L17" s="18"/>
      <c r="M17" s="22" t="s">
        <v>42</v>
      </c>
    </row>
    <row r="18" ht="25" customHeight="1" spans="1:13">
      <c r="A18" s="18">
        <v>8</v>
      </c>
      <c r="B18" s="63" t="s">
        <v>53</v>
      </c>
      <c r="C18" s="63"/>
      <c r="D18" s="63"/>
      <c r="E18" s="64"/>
      <c r="F18" s="60">
        <v>29785.5</v>
      </c>
      <c r="G18" s="61"/>
      <c r="H18" s="22" t="s">
        <v>51</v>
      </c>
      <c r="I18" s="34">
        <v>43838</v>
      </c>
      <c r="J18" s="18"/>
      <c r="K18" s="18"/>
      <c r="L18" s="18"/>
      <c r="M18" s="22" t="s">
        <v>42</v>
      </c>
    </row>
    <row r="19" ht="25" customHeight="1" spans="1:13">
      <c r="A19" s="18">
        <v>9</v>
      </c>
      <c r="B19" s="63" t="s">
        <v>54</v>
      </c>
      <c r="C19" s="63"/>
      <c r="D19" s="63"/>
      <c r="E19" s="64"/>
      <c r="F19" s="69">
        <v>-25195.5</v>
      </c>
      <c r="G19" s="70"/>
      <c r="H19" s="22" t="s">
        <v>51</v>
      </c>
      <c r="I19" s="34">
        <v>43839</v>
      </c>
      <c r="J19" s="18"/>
      <c r="K19" s="18"/>
      <c r="L19" s="18"/>
      <c r="M19" s="22" t="s">
        <v>42</v>
      </c>
    </row>
    <row r="20" ht="25" customHeight="1" spans="1:13">
      <c r="A20" s="18">
        <v>10</v>
      </c>
      <c r="B20" s="58" t="s">
        <v>53</v>
      </c>
      <c r="C20" s="58"/>
      <c r="D20" s="58"/>
      <c r="E20" s="59"/>
      <c r="F20" s="60">
        <v>25195.5</v>
      </c>
      <c r="G20" s="61"/>
      <c r="H20" s="22" t="s">
        <v>51</v>
      </c>
      <c r="I20" s="34">
        <v>43840</v>
      </c>
      <c r="J20" s="18"/>
      <c r="K20" s="18"/>
      <c r="L20" s="18"/>
      <c r="M20" s="22" t="s">
        <v>42</v>
      </c>
    </row>
    <row r="21" ht="25" customHeight="1" spans="1:13">
      <c r="A21" s="18">
        <v>11</v>
      </c>
      <c r="B21" s="71" t="s">
        <v>55</v>
      </c>
      <c r="C21" s="71"/>
      <c r="D21" s="71"/>
      <c r="E21" s="72"/>
      <c r="F21" s="73">
        <v>-31247.4</v>
      </c>
      <c r="G21" s="74"/>
      <c r="H21" s="22" t="s">
        <v>51</v>
      </c>
      <c r="I21" s="34">
        <v>43841</v>
      </c>
      <c r="J21" s="18"/>
      <c r="K21" s="18"/>
      <c r="L21" s="18"/>
      <c r="M21" s="22" t="s">
        <v>42</v>
      </c>
    </row>
    <row r="22" ht="25" customHeight="1" spans="1:13">
      <c r="A22" s="18">
        <v>12</v>
      </c>
      <c r="B22" s="55" t="s">
        <v>54</v>
      </c>
      <c r="C22" s="55"/>
      <c r="D22" s="55"/>
      <c r="E22" s="56"/>
      <c r="F22" s="75">
        <v>-59129.9</v>
      </c>
      <c r="G22" s="76"/>
      <c r="H22" s="22" t="s">
        <v>51</v>
      </c>
      <c r="I22" s="34">
        <v>43842</v>
      </c>
      <c r="J22" s="18"/>
      <c r="K22" s="18"/>
      <c r="L22" s="18"/>
      <c r="M22" s="22" t="s">
        <v>42</v>
      </c>
    </row>
    <row r="23" ht="25" customHeight="1" spans="1:13">
      <c r="A23" s="18">
        <v>13</v>
      </c>
      <c r="B23" s="55" t="s">
        <v>56</v>
      </c>
      <c r="C23" s="55"/>
      <c r="D23" s="55"/>
      <c r="E23" s="56"/>
      <c r="F23" s="77">
        <v>-202211.8</v>
      </c>
      <c r="G23" s="78"/>
      <c r="H23" s="22" t="s">
        <v>51</v>
      </c>
      <c r="I23" s="34">
        <v>43843</v>
      </c>
      <c r="J23" s="18"/>
      <c r="K23" s="18"/>
      <c r="L23" s="18"/>
      <c r="M23" s="22" t="s">
        <v>42</v>
      </c>
    </row>
    <row r="24" ht="25" customHeight="1" spans="1:13">
      <c r="A24" s="18">
        <v>14</v>
      </c>
      <c r="B24" s="55" t="s">
        <v>57</v>
      </c>
      <c r="C24" s="55"/>
      <c r="D24" s="55"/>
      <c r="E24" s="56"/>
      <c r="F24" s="79">
        <v>-96100.3</v>
      </c>
      <c r="G24" s="80"/>
      <c r="H24" s="22" t="s">
        <v>51</v>
      </c>
      <c r="I24" s="34">
        <v>43844</v>
      </c>
      <c r="J24" s="18"/>
      <c r="K24" s="18"/>
      <c r="L24" s="18"/>
      <c r="M24" s="22" t="s">
        <v>42</v>
      </c>
    </row>
    <row r="25" ht="25" customHeight="1" spans="1:13">
      <c r="A25" s="18">
        <v>15</v>
      </c>
      <c r="B25" s="55" t="s">
        <v>58</v>
      </c>
      <c r="C25" s="55"/>
      <c r="D25" s="55"/>
      <c r="E25" s="56"/>
      <c r="F25" s="75">
        <v>-346907.15</v>
      </c>
      <c r="G25" s="76"/>
      <c r="H25" s="22" t="s">
        <v>51</v>
      </c>
      <c r="I25" s="34">
        <v>43845</v>
      </c>
      <c r="J25" s="18"/>
      <c r="K25" s="18"/>
      <c r="L25" s="18"/>
      <c r="M25" s="22" t="s">
        <v>42</v>
      </c>
    </row>
    <row r="26" ht="25" customHeight="1" spans="1:13">
      <c r="A26" s="18">
        <v>16</v>
      </c>
      <c r="B26" s="55" t="s">
        <v>59</v>
      </c>
      <c r="C26" s="55"/>
      <c r="D26" s="55"/>
      <c r="E26" s="56"/>
      <c r="F26" s="77">
        <v>-4048.22</v>
      </c>
      <c r="G26" s="78"/>
      <c r="H26" s="22" t="s">
        <v>51</v>
      </c>
      <c r="I26" s="34">
        <v>43846</v>
      </c>
      <c r="J26" s="18"/>
      <c r="K26" s="18"/>
      <c r="L26" s="18"/>
      <c r="M26" s="22" t="s">
        <v>42</v>
      </c>
    </row>
    <row r="27" ht="25" customHeight="1" spans="1:13">
      <c r="A27" s="29" t="s">
        <v>60</v>
      </c>
      <c r="B27" s="30"/>
      <c r="C27" s="30"/>
      <c r="D27" s="30"/>
      <c r="E27" s="31"/>
      <c r="F27" s="33">
        <f>SUM(F11:F15)</f>
        <v>114297.96</v>
      </c>
      <c r="G27" s="33"/>
      <c r="H27" s="33"/>
      <c r="I27" s="33"/>
      <c r="J27" s="33"/>
      <c r="K27" s="33"/>
      <c r="L27" s="33"/>
      <c r="M27" s="33"/>
    </row>
  </sheetData>
  <mergeCells count="74">
    <mergeCell ref="A9:B9"/>
    <mergeCell ref="C9:D9"/>
    <mergeCell ref="E9:F9"/>
    <mergeCell ref="B10:E10"/>
    <mergeCell ref="F10:G10"/>
    <mergeCell ref="I10:J10"/>
    <mergeCell ref="K10:L10"/>
    <mergeCell ref="B11:E11"/>
    <mergeCell ref="F11:G11"/>
    <mergeCell ref="I11:J11"/>
    <mergeCell ref="K11:L11"/>
    <mergeCell ref="B12:E12"/>
    <mergeCell ref="F12:G12"/>
    <mergeCell ref="I12:J12"/>
    <mergeCell ref="K12:L12"/>
    <mergeCell ref="B13:E13"/>
    <mergeCell ref="F13:G13"/>
    <mergeCell ref="I13:J13"/>
    <mergeCell ref="K13:L13"/>
    <mergeCell ref="B14:E14"/>
    <mergeCell ref="F14:G14"/>
    <mergeCell ref="I14:J14"/>
    <mergeCell ref="K14:L14"/>
    <mergeCell ref="B15:E15"/>
    <mergeCell ref="F15:G15"/>
    <mergeCell ref="I15:J15"/>
    <mergeCell ref="K15:L15"/>
    <mergeCell ref="B16:E16"/>
    <mergeCell ref="F16:G16"/>
    <mergeCell ref="I16:J16"/>
    <mergeCell ref="K16:L16"/>
    <mergeCell ref="B17:E17"/>
    <mergeCell ref="F17:G17"/>
    <mergeCell ref="I17:J17"/>
    <mergeCell ref="K17:L17"/>
    <mergeCell ref="B18:E18"/>
    <mergeCell ref="F18:G18"/>
    <mergeCell ref="I18:J18"/>
    <mergeCell ref="K18:L18"/>
    <mergeCell ref="B19:E19"/>
    <mergeCell ref="F19:G19"/>
    <mergeCell ref="I19:J19"/>
    <mergeCell ref="K19:L19"/>
    <mergeCell ref="B20:E20"/>
    <mergeCell ref="F20:G20"/>
    <mergeCell ref="I20:J20"/>
    <mergeCell ref="K20:L20"/>
    <mergeCell ref="B21:E21"/>
    <mergeCell ref="F21:G21"/>
    <mergeCell ref="I21:J21"/>
    <mergeCell ref="K21:L21"/>
    <mergeCell ref="B22:E22"/>
    <mergeCell ref="F22:G22"/>
    <mergeCell ref="I22:J22"/>
    <mergeCell ref="K22:L22"/>
    <mergeCell ref="B23:E23"/>
    <mergeCell ref="F23:G23"/>
    <mergeCell ref="I23:J23"/>
    <mergeCell ref="K23:L23"/>
    <mergeCell ref="B24:E24"/>
    <mergeCell ref="F24:G24"/>
    <mergeCell ref="I24:J24"/>
    <mergeCell ref="K24:L24"/>
    <mergeCell ref="B25:E25"/>
    <mergeCell ref="F25:G25"/>
    <mergeCell ref="I25:J25"/>
    <mergeCell ref="K25:L25"/>
    <mergeCell ref="B26:E26"/>
    <mergeCell ref="F26:G26"/>
    <mergeCell ref="I26:J26"/>
    <mergeCell ref="K26:L26"/>
    <mergeCell ref="A27:E27"/>
    <mergeCell ref="F27:G27"/>
    <mergeCell ref="I27:M27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P15" sqref="P15"/>
    </sheetView>
  </sheetViews>
  <sheetFormatPr defaultColWidth="9" defaultRowHeight="15"/>
  <cols>
    <col min="1" max="8" width="10.625" style="2" customWidth="1"/>
    <col min="9" max="9" width="10.625" style="1" customWidth="1"/>
    <col min="10" max="12" width="10.625" style="2" customWidth="1"/>
    <col min="13" max="13" width="9.625" style="2" customWidth="1"/>
    <col min="14" max="16353" width="9" style="2"/>
    <col min="16354" max="16384" width="9" style="3"/>
  </cols>
  <sheetData>
    <row r="1" ht="25" customHeight="1"/>
    <row r="2" ht="25" customHeight="1" spans="1:9">
      <c r="A2" s="4" t="s">
        <v>0</v>
      </c>
      <c r="B2" s="5" t="s">
        <v>1</v>
      </c>
      <c r="C2" s="5" t="s">
        <v>2</v>
      </c>
      <c r="D2" s="6" t="s">
        <v>3</v>
      </c>
      <c r="F2" s="7"/>
      <c r="G2" s="7"/>
      <c r="H2" s="7"/>
      <c r="I2" s="7"/>
    </row>
    <row r="3" ht="25" customHeight="1" spans="1:9">
      <c r="A3" s="8" t="s">
        <v>4</v>
      </c>
      <c r="B3" s="9" t="s">
        <v>5</v>
      </c>
      <c r="C3" s="9" t="s">
        <v>6</v>
      </c>
      <c r="D3" s="9" t="s">
        <v>7</v>
      </c>
      <c r="F3" s="10"/>
      <c r="G3" s="10"/>
      <c r="H3" s="10"/>
      <c r="I3" s="7"/>
    </row>
    <row r="4" ht="25" customHeight="1" spans="1:9">
      <c r="A4" s="11" t="s">
        <v>8</v>
      </c>
      <c r="B4" s="12" t="s">
        <v>9</v>
      </c>
      <c r="C4" s="11"/>
      <c r="D4" s="11"/>
      <c r="E4" s="10"/>
      <c r="F4" s="10"/>
      <c r="G4" s="10"/>
      <c r="H4" s="10"/>
      <c r="I4" s="10"/>
    </row>
    <row r="5" ht="25" customHeight="1" spans="8:9">
      <c r="H5" s="1"/>
      <c r="I5" s="2"/>
    </row>
    <row r="6" ht="25" customHeight="1" spans="1:12">
      <c r="A6" s="1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  <c r="L6" s="14" t="s">
        <v>21</v>
      </c>
    </row>
    <row r="7" s="1" customFormat="1" ht="25" customHeight="1" spans="1:12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</row>
    <row r="8" ht="25" customHeight="1"/>
    <row r="9" ht="25" customHeight="1" spans="1:9">
      <c r="A9" s="15" t="s">
        <v>34</v>
      </c>
      <c r="B9" s="11"/>
      <c r="C9" s="12" t="s">
        <v>35</v>
      </c>
      <c r="D9" s="12"/>
      <c r="E9" s="11" t="s">
        <v>36</v>
      </c>
      <c r="F9" s="11"/>
      <c r="G9" s="16"/>
      <c r="H9" s="16"/>
      <c r="I9" s="16"/>
    </row>
    <row r="10" ht="25" customHeight="1" spans="1:13">
      <c r="A10" s="35" t="s">
        <v>37</v>
      </c>
      <c r="B10" s="35" t="s">
        <v>38</v>
      </c>
      <c r="C10" s="35"/>
      <c r="D10" s="35"/>
      <c r="E10" s="35"/>
      <c r="F10" s="35" t="s">
        <v>39</v>
      </c>
      <c r="G10" s="35"/>
      <c r="H10" s="35" t="s">
        <v>40</v>
      </c>
      <c r="I10" s="35" t="s">
        <v>41</v>
      </c>
      <c r="J10" s="35"/>
      <c r="K10" s="35" t="s">
        <v>42</v>
      </c>
      <c r="L10" s="35"/>
      <c r="M10" s="35" t="s">
        <v>43</v>
      </c>
    </row>
    <row r="11" ht="25" customHeight="1" spans="1:13">
      <c r="A11" s="18">
        <v>1</v>
      </c>
      <c r="B11" s="36" t="s">
        <v>44</v>
      </c>
      <c r="C11" s="36"/>
      <c r="D11" s="36"/>
      <c r="E11" s="36"/>
      <c r="F11" s="37">
        <v>-223371.65</v>
      </c>
      <c r="G11" s="37"/>
      <c r="H11" s="22" t="s">
        <v>45</v>
      </c>
      <c r="I11" s="34">
        <v>43831</v>
      </c>
      <c r="J11" s="18"/>
      <c r="K11" s="18"/>
      <c r="L11" s="18"/>
      <c r="M11" s="46" t="s">
        <v>42</v>
      </c>
    </row>
    <row r="12" ht="25" customHeight="1" spans="1:13">
      <c r="A12" s="18">
        <v>2</v>
      </c>
      <c r="B12" s="36" t="s">
        <v>61</v>
      </c>
      <c r="C12" s="36"/>
      <c r="D12" s="36"/>
      <c r="E12" s="36"/>
      <c r="F12" s="38">
        <v>17143.62</v>
      </c>
      <c r="G12" s="38"/>
      <c r="H12" s="22" t="s">
        <v>45</v>
      </c>
      <c r="I12" s="34">
        <v>43832</v>
      </c>
      <c r="J12" s="18"/>
      <c r="K12" s="18"/>
      <c r="L12" s="18"/>
      <c r="M12" s="22" t="s">
        <v>42</v>
      </c>
    </row>
    <row r="13" ht="25" customHeight="1" spans="1:13">
      <c r="A13" s="18">
        <v>3</v>
      </c>
      <c r="B13" s="39" t="s">
        <v>61</v>
      </c>
      <c r="C13" s="39"/>
      <c r="D13" s="39"/>
      <c r="E13" s="39"/>
      <c r="F13" s="40">
        <v>-17143.62</v>
      </c>
      <c r="G13" s="40"/>
      <c r="H13" s="22" t="s">
        <v>48</v>
      </c>
      <c r="I13" s="34">
        <v>43833</v>
      </c>
      <c r="J13" s="18"/>
      <c r="K13" s="18"/>
      <c r="L13" s="18"/>
      <c r="M13" s="22" t="s">
        <v>42</v>
      </c>
    </row>
    <row r="14" ht="25" customHeight="1" spans="1:13">
      <c r="A14" s="18">
        <v>4</v>
      </c>
      <c r="B14" s="39" t="s">
        <v>61</v>
      </c>
      <c r="C14" s="39"/>
      <c r="D14" s="39"/>
      <c r="E14" s="39"/>
      <c r="F14" s="40">
        <v>12214.38</v>
      </c>
      <c r="G14" s="40"/>
      <c r="H14" s="22" t="s">
        <v>48</v>
      </c>
      <c r="I14" s="34">
        <v>43834</v>
      </c>
      <c r="J14" s="18"/>
      <c r="K14" s="18"/>
      <c r="L14" s="18"/>
      <c r="M14" s="22" t="s">
        <v>42</v>
      </c>
    </row>
    <row r="15" ht="25" customHeight="1" spans="1:13">
      <c r="A15" s="18">
        <v>5</v>
      </c>
      <c r="B15" s="39" t="s">
        <v>61</v>
      </c>
      <c r="C15" s="39"/>
      <c r="D15" s="39"/>
      <c r="E15" s="39"/>
      <c r="F15" s="40">
        <v>-12214.38</v>
      </c>
      <c r="G15" s="40"/>
      <c r="H15" s="22" t="s">
        <v>51</v>
      </c>
      <c r="I15" s="34">
        <v>43835</v>
      </c>
      <c r="J15" s="18"/>
      <c r="K15" s="18"/>
      <c r="L15" s="18"/>
      <c r="M15" s="22" t="s">
        <v>42</v>
      </c>
    </row>
    <row r="16" ht="25" customHeight="1" spans="1:13">
      <c r="A16" s="18">
        <v>6</v>
      </c>
      <c r="B16" s="41" t="s">
        <v>62</v>
      </c>
      <c r="C16" s="41"/>
      <c r="D16" s="41"/>
      <c r="E16" s="41"/>
      <c r="F16" s="42">
        <v>19907.94</v>
      </c>
      <c r="G16" s="42"/>
      <c r="H16" s="22" t="s">
        <v>51</v>
      </c>
      <c r="I16" s="34">
        <v>43836</v>
      </c>
      <c r="J16" s="18"/>
      <c r="K16" s="18"/>
      <c r="L16" s="18"/>
      <c r="M16" s="22" t="s">
        <v>42</v>
      </c>
    </row>
    <row r="17" ht="25" customHeight="1" spans="1:13">
      <c r="A17" s="18">
        <v>7</v>
      </c>
      <c r="B17" s="36" t="s">
        <v>62</v>
      </c>
      <c r="C17" s="36"/>
      <c r="D17" s="36"/>
      <c r="E17" s="36"/>
      <c r="F17" s="40">
        <v>-19907.94</v>
      </c>
      <c r="G17" s="40"/>
      <c r="H17" s="22" t="s">
        <v>51</v>
      </c>
      <c r="I17" s="34">
        <v>43837</v>
      </c>
      <c r="J17" s="18"/>
      <c r="K17" s="18"/>
      <c r="L17" s="18"/>
      <c r="M17" s="22" t="s">
        <v>42</v>
      </c>
    </row>
    <row r="18" ht="25" customHeight="1" spans="1:13">
      <c r="A18" s="18">
        <v>8</v>
      </c>
      <c r="B18" s="36" t="s">
        <v>63</v>
      </c>
      <c r="C18" s="36"/>
      <c r="D18" s="36"/>
      <c r="E18" s="36"/>
      <c r="F18" s="37">
        <v>9942.74</v>
      </c>
      <c r="G18" s="37"/>
      <c r="H18" s="22" t="s">
        <v>51</v>
      </c>
      <c r="I18" s="34">
        <v>43838</v>
      </c>
      <c r="J18" s="18"/>
      <c r="K18" s="18"/>
      <c r="L18" s="18"/>
      <c r="M18" s="22" t="s">
        <v>42</v>
      </c>
    </row>
    <row r="19" ht="25" customHeight="1" spans="1:13">
      <c r="A19" s="18">
        <v>9</v>
      </c>
      <c r="B19" s="36" t="s">
        <v>63</v>
      </c>
      <c r="C19" s="36"/>
      <c r="D19" s="36"/>
      <c r="E19" s="36"/>
      <c r="F19" s="37">
        <v>-9942.74</v>
      </c>
      <c r="G19" s="37"/>
      <c r="H19" s="22" t="s">
        <v>51</v>
      </c>
      <c r="I19" s="34">
        <v>43839</v>
      </c>
      <c r="J19" s="18"/>
      <c r="K19" s="18"/>
      <c r="L19" s="18"/>
      <c r="M19" s="22" t="s">
        <v>42</v>
      </c>
    </row>
    <row r="20" ht="25" customHeight="1" spans="1:13">
      <c r="A20" s="18">
        <v>10</v>
      </c>
      <c r="B20" s="43" t="s">
        <v>64</v>
      </c>
      <c r="C20" s="43"/>
      <c r="D20" s="43"/>
      <c r="E20" s="43"/>
      <c r="F20" s="44">
        <v>25000</v>
      </c>
      <c r="G20" s="44"/>
      <c r="H20" s="22" t="s">
        <v>51</v>
      </c>
      <c r="I20" s="34">
        <v>43840</v>
      </c>
      <c r="J20" s="18"/>
      <c r="K20" s="18"/>
      <c r="L20" s="18"/>
      <c r="M20" s="22" t="s">
        <v>42</v>
      </c>
    </row>
    <row r="21" ht="25" customHeight="1" spans="1:13">
      <c r="A21" s="29" t="s">
        <v>60</v>
      </c>
      <c r="B21" s="30"/>
      <c r="C21" s="30"/>
      <c r="D21" s="30"/>
      <c r="E21" s="31"/>
      <c r="F21" s="45">
        <f>SUM(F11:F20)</f>
        <v>-198371.65</v>
      </c>
      <c r="G21" s="45"/>
      <c r="H21" s="33"/>
      <c r="I21" s="33"/>
      <c r="J21" s="33"/>
      <c r="K21" s="33"/>
      <c r="L21" s="33"/>
      <c r="M21" s="33"/>
    </row>
  </sheetData>
  <mergeCells count="50">
    <mergeCell ref="A9:B9"/>
    <mergeCell ref="C9:D9"/>
    <mergeCell ref="E9:F9"/>
    <mergeCell ref="B10:E10"/>
    <mergeCell ref="F10:G10"/>
    <mergeCell ref="I10:J10"/>
    <mergeCell ref="K10:L10"/>
    <mergeCell ref="B11:E11"/>
    <mergeCell ref="F11:G11"/>
    <mergeCell ref="I11:J11"/>
    <mergeCell ref="K11:L11"/>
    <mergeCell ref="B12:E12"/>
    <mergeCell ref="F12:G12"/>
    <mergeCell ref="I12:J12"/>
    <mergeCell ref="K12:L12"/>
    <mergeCell ref="B13:E13"/>
    <mergeCell ref="F13:G13"/>
    <mergeCell ref="I13:J13"/>
    <mergeCell ref="K13:L13"/>
    <mergeCell ref="B14:E14"/>
    <mergeCell ref="F14:G14"/>
    <mergeCell ref="I14:J14"/>
    <mergeCell ref="K14:L14"/>
    <mergeCell ref="B15:E15"/>
    <mergeCell ref="F15:G15"/>
    <mergeCell ref="I15:J15"/>
    <mergeCell ref="K15:L15"/>
    <mergeCell ref="B16:E16"/>
    <mergeCell ref="F16:G16"/>
    <mergeCell ref="I16:J16"/>
    <mergeCell ref="K16:L16"/>
    <mergeCell ref="B17:E17"/>
    <mergeCell ref="F17:G17"/>
    <mergeCell ref="I17:J17"/>
    <mergeCell ref="K17:L17"/>
    <mergeCell ref="B18:E18"/>
    <mergeCell ref="F18:G18"/>
    <mergeCell ref="I18:J18"/>
    <mergeCell ref="K18:L18"/>
    <mergeCell ref="B19:E19"/>
    <mergeCell ref="F19:G19"/>
    <mergeCell ref="I19:J19"/>
    <mergeCell ref="K19:L19"/>
    <mergeCell ref="B20:E20"/>
    <mergeCell ref="F20:G20"/>
    <mergeCell ref="I20:J20"/>
    <mergeCell ref="K20:L20"/>
    <mergeCell ref="A21:E21"/>
    <mergeCell ref="F21:G21"/>
    <mergeCell ref="I21:M2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M20" sqref="M20"/>
    </sheetView>
  </sheetViews>
  <sheetFormatPr defaultColWidth="9" defaultRowHeight="15"/>
  <cols>
    <col min="1" max="8" width="10.625" style="2" customWidth="1"/>
    <col min="9" max="9" width="10.625" style="1" customWidth="1"/>
    <col min="10" max="12" width="10.625" style="2" customWidth="1"/>
    <col min="13" max="13" width="9.625" style="2" customWidth="1"/>
    <col min="14" max="16353" width="9" style="2"/>
    <col min="16354" max="16384" width="9" style="3"/>
  </cols>
  <sheetData>
    <row r="1" ht="25" customHeight="1"/>
    <row r="2" ht="25" customHeight="1" spans="1:9">
      <c r="A2" s="4" t="s">
        <v>0</v>
      </c>
      <c r="B2" s="5" t="s">
        <v>1</v>
      </c>
      <c r="C2" s="5" t="s">
        <v>2</v>
      </c>
      <c r="D2" s="6" t="s">
        <v>3</v>
      </c>
      <c r="F2" s="7"/>
      <c r="G2" s="7"/>
      <c r="H2" s="7"/>
      <c r="I2" s="7"/>
    </row>
    <row r="3" ht="25" customHeight="1" spans="1:9">
      <c r="A3" s="8" t="s">
        <v>4</v>
      </c>
      <c r="B3" s="9" t="s">
        <v>5</v>
      </c>
      <c r="C3" s="9" t="s">
        <v>6</v>
      </c>
      <c r="D3" s="9" t="s">
        <v>7</v>
      </c>
      <c r="F3" s="10"/>
      <c r="G3" s="10"/>
      <c r="H3" s="10"/>
      <c r="I3" s="7"/>
    </row>
    <row r="4" ht="25" customHeight="1" spans="1:9">
      <c r="A4" s="11" t="s">
        <v>8</v>
      </c>
      <c r="B4" s="12" t="s">
        <v>9</v>
      </c>
      <c r="C4" s="11"/>
      <c r="D4" s="11"/>
      <c r="E4" s="10"/>
      <c r="F4" s="10"/>
      <c r="G4" s="10"/>
      <c r="H4" s="10"/>
      <c r="I4" s="10"/>
    </row>
    <row r="5" ht="25" customHeight="1" spans="8:9">
      <c r="H5" s="1"/>
      <c r="I5" s="2"/>
    </row>
    <row r="6" ht="25" customHeight="1" spans="1:12">
      <c r="A6" s="1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  <c r="L6" s="14" t="s">
        <v>21</v>
      </c>
    </row>
    <row r="7" s="1" customFormat="1" ht="25" customHeight="1" spans="1:12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</row>
    <row r="8" ht="25" customHeight="1"/>
    <row r="9" ht="25" customHeight="1" spans="1:9">
      <c r="A9" s="15" t="s">
        <v>34</v>
      </c>
      <c r="B9" s="11"/>
      <c r="C9" s="11" t="s">
        <v>35</v>
      </c>
      <c r="D9" s="11"/>
      <c r="E9" s="12" t="s">
        <v>36</v>
      </c>
      <c r="F9" s="12"/>
      <c r="G9" s="16"/>
      <c r="H9" s="16"/>
      <c r="I9" s="16"/>
    </row>
    <row r="10" ht="25" customHeight="1" spans="1:13">
      <c r="A10" s="17" t="s">
        <v>37</v>
      </c>
      <c r="B10" s="17" t="s">
        <v>38</v>
      </c>
      <c r="C10" s="17"/>
      <c r="D10" s="17"/>
      <c r="E10" s="17"/>
      <c r="F10" s="17" t="s">
        <v>39</v>
      </c>
      <c r="G10" s="17"/>
      <c r="H10" s="17" t="s">
        <v>40</v>
      </c>
      <c r="I10" s="17" t="s">
        <v>41</v>
      </c>
      <c r="J10" s="17"/>
      <c r="K10" s="17" t="s">
        <v>42</v>
      </c>
      <c r="L10" s="17"/>
      <c r="M10" s="17" t="s">
        <v>43</v>
      </c>
    </row>
    <row r="11" ht="25" customHeight="1" spans="1:13">
      <c r="A11" s="18">
        <v>1</v>
      </c>
      <c r="B11" s="19" t="s">
        <v>44</v>
      </c>
      <c r="C11" s="19"/>
      <c r="D11" s="19"/>
      <c r="E11" s="19"/>
      <c r="F11" s="20">
        <v>94931.17</v>
      </c>
      <c r="G11" s="21"/>
      <c r="H11" s="22" t="s">
        <v>45</v>
      </c>
      <c r="I11" s="34">
        <v>43831</v>
      </c>
      <c r="J11" s="18"/>
      <c r="K11" s="18"/>
      <c r="L11" s="18"/>
      <c r="M11" s="22" t="s">
        <v>42</v>
      </c>
    </row>
    <row r="12" ht="25" customHeight="1" spans="1:13">
      <c r="A12" s="18">
        <v>2</v>
      </c>
      <c r="B12" s="23" t="s">
        <v>65</v>
      </c>
      <c r="C12" s="23"/>
      <c r="D12" s="23"/>
      <c r="E12" s="23"/>
      <c r="F12" s="20">
        <v>36056.45</v>
      </c>
      <c r="G12" s="21"/>
      <c r="H12" s="22" t="s">
        <v>45</v>
      </c>
      <c r="I12" s="34">
        <v>43832</v>
      </c>
      <c r="J12" s="18"/>
      <c r="K12" s="18"/>
      <c r="L12" s="18"/>
      <c r="M12" s="22" t="s">
        <v>42</v>
      </c>
    </row>
    <row r="13" ht="25" customHeight="1" spans="1:13">
      <c r="A13" s="18">
        <v>3</v>
      </c>
      <c r="B13" s="24" t="s">
        <v>66</v>
      </c>
      <c r="C13" s="24"/>
      <c r="D13" s="24"/>
      <c r="E13" s="24"/>
      <c r="F13" s="25">
        <v>2800</v>
      </c>
      <c r="G13" s="25"/>
      <c r="H13" s="22" t="s">
        <v>48</v>
      </c>
      <c r="I13" s="34">
        <v>43833</v>
      </c>
      <c r="J13" s="18"/>
      <c r="K13" s="18"/>
      <c r="L13" s="18"/>
      <c r="M13" s="22" t="s">
        <v>42</v>
      </c>
    </row>
    <row r="14" ht="25" customHeight="1" spans="1:13">
      <c r="A14" s="18">
        <v>4</v>
      </c>
      <c r="B14" s="26" t="s">
        <v>67</v>
      </c>
      <c r="C14" s="26"/>
      <c r="D14" s="26"/>
      <c r="E14" s="26"/>
      <c r="F14" s="27">
        <v>-44669.49</v>
      </c>
      <c r="G14" s="28"/>
      <c r="H14" s="22" t="s">
        <v>48</v>
      </c>
      <c r="I14" s="34">
        <v>43834</v>
      </c>
      <c r="J14" s="18"/>
      <c r="K14" s="18"/>
      <c r="L14" s="18"/>
      <c r="M14" s="22" t="s">
        <v>42</v>
      </c>
    </row>
    <row r="15" ht="25" customHeight="1" spans="1:13">
      <c r="A15" s="29" t="s">
        <v>60</v>
      </c>
      <c r="B15" s="30"/>
      <c r="C15" s="30"/>
      <c r="D15" s="30"/>
      <c r="E15" s="31"/>
      <c r="F15" s="32">
        <f>SUM(F11:F14)</f>
        <v>89118.13</v>
      </c>
      <c r="G15" s="32"/>
      <c r="H15" s="33"/>
      <c r="I15" s="33"/>
      <c r="J15" s="33"/>
      <c r="K15" s="33"/>
      <c r="L15" s="33"/>
      <c r="M15" s="33"/>
    </row>
  </sheetData>
  <mergeCells count="26">
    <mergeCell ref="A9:B9"/>
    <mergeCell ref="C9:D9"/>
    <mergeCell ref="E9:F9"/>
    <mergeCell ref="B10:E10"/>
    <mergeCell ref="F10:G10"/>
    <mergeCell ref="I10:J10"/>
    <mergeCell ref="K10:L10"/>
    <mergeCell ref="B11:E11"/>
    <mergeCell ref="F11:G11"/>
    <mergeCell ref="I11:J11"/>
    <mergeCell ref="K11:L11"/>
    <mergeCell ref="B12:E12"/>
    <mergeCell ref="F12:G12"/>
    <mergeCell ref="I12:J12"/>
    <mergeCell ref="K12:L12"/>
    <mergeCell ref="B13:E13"/>
    <mergeCell ref="F13:G13"/>
    <mergeCell ref="I13:J13"/>
    <mergeCell ref="K13:L13"/>
    <mergeCell ref="B14:E14"/>
    <mergeCell ref="F14:G14"/>
    <mergeCell ref="I14:J14"/>
    <mergeCell ref="K14:L14"/>
    <mergeCell ref="A15:E15"/>
    <mergeCell ref="F15:G15"/>
    <mergeCell ref="I15:M1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应付账款</vt:lpstr>
      <vt:lpstr>其它应付款</vt:lpstr>
      <vt:lpstr>应付职工薪酬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2020-01-20T04:55:00Z</dcterms:created>
  <dcterms:modified xsi:type="dcterms:W3CDTF">2021-03-10T06:27:49Z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