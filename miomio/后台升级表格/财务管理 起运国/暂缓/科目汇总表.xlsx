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主营业务收入损益表" sheetId="1" r:id="rId1"/>
  </sheets>
  <calcPr calcId="144525"/>
</workbook>
</file>

<file path=xl/sharedStrings.xml><?xml version="1.0" encoding="utf-8"?>
<sst xmlns="http://schemas.openxmlformats.org/spreadsheetml/2006/main" count="81" uniqueCount="77">
  <si>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</si>
  <si>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</si>
  <si>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</si>
  <si>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</si>
  <si>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</si>
  <si>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</si>
  <si>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</si>
  <si>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</si>
  <si>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</si>
  <si>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</si>
  <si>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</si>
  <si>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</si>
  <si>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r>
      <rPr>
        <b/>
        <sz val="10"/>
        <color theme="1"/>
        <rFont val="Arial"/>
        <charset val="134"/>
      </rPr>
      <t>2018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</si>
  <si>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2019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</si>
  <si>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0"/>
        <rFont val="Arial"/>
        <charset val="134"/>
      </rPr>
      <t>2020</t>
    </r>
    <r>
      <rPr>
        <b/>
        <sz val="10"/>
        <color theme="0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</si>
  <si>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2021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</si>
  <si>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2022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</si>
  <si>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2023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</si>
  <si>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2024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</si>
  <si>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2025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</si>
  <si>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2026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</si>
  <si>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2027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</si>
  <si>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2028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</si>
  <si>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2029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</si>
  <si>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</si>
  <si>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0"/>
        <rFont val="Arial"/>
        <charset val="134"/>
      </rPr>
      <t>2</t>
    </r>
    <r>
      <rPr>
        <b/>
        <sz val="10"/>
        <color theme="0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</si>
  <si>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</si>
  <si>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</si>
  <si>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</si>
  <si>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</si>
  <si>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</si>
  <si>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</si>
  <si>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</si>
  <si>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</si>
  <si>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11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</si>
  <si>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12</t>
    </r>
    <r>
      <rPr>
        <b/>
        <sz val="10"/>
        <color theme="1"/>
        <rFont val="宋体"/>
        <charset val="134"/>
      </rPr>
      <t>月</t>
    </r>
  </si>
  <si>
    <t>序号</t>
  </si>
  <si>
    <t>科目</t>
  </si>
  <si>
    <t>期初余额</t>
  </si>
  <si>
    <t>本期发生额</t>
  </si>
  <si>
    <t>期末余额</t>
  </si>
  <si>
    <t>借方</t>
  </si>
  <si>
    <t>贷方</t>
  </si>
  <si>
    <t>现金</t>
  </si>
  <si>
    <t>银行存款（公帐）</t>
  </si>
  <si>
    <t>银行存款（7882）</t>
  </si>
  <si>
    <t>其他货币资金（支付宝）</t>
  </si>
  <si>
    <t>其他货币资金（微信）</t>
  </si>
  <si>
    <t>应收账款</t>
  </si>
  <si>
    <t>预付账款</t>
  </si>
  <si>
    <t>其他应收款</t>
  </si>
  <si>
    <t>坏账准备</t>
  </si>
  <si>
    <t>库存商品</t>
  </si>
  <si>
    <t>固定资产</t>
  </si>
  <si>
    <t>累计折旧</t>
  </si>
  <si>
    <t>长期待摊费用</t>
  </si>
  <si>
    <t>应付账款</t>
  </si>
  <si>
    <t>预收账款</t>
  </si>
  <si>
    <t>应付职工薪酬</t>
  </si>
  <si>
    <t>其他应付款</t>
  </si>
  <si>
    <t>长期应付款</t>
  </si>
  <si>
    <t>实收资本</t>
  </si>
  <si>
    <t>本年利润</t>
  </si>
  <si>
    <t>利润分配</t>
  </si>
  <si>
    <t>主营业务收入</t>
  </si>
  <si>
    <t>其他业务收入</t>
  </si>
  <si>
    <t>营业外收入</t>
  </si>
  <si>
    <t>主营业务成本</t>
  </si>
  <si>
    <t>其他业务支出</t>
  </si>
  <si>
    <t>营业税金及附加</t>
  </si>
  <si>
    <t>营业费用</t>
  </si>
  <si>
    <t>管理费用</t>
  </si>
  <si>
    <t>财务费用</t>
  </si>
  <si>
    <t>营业外支出</t>
  </si>
  <si>
    <t>所得税费用</t>
  </si>
  <si>
    <t>以前年度损益调整</t>
  </si>
  <si>
    <t>合计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</si>
</sst>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&quot;￥&quot;#,##0.00_);[Red]\(&quot;￥&quot;#,##0.00\)"/>
  </numFmts>
  <fonts count="38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0"/>
      <color theme="0"/>
      <name val="宋体"/>
      <charset val="134"/>
    </font>
    <font>
      <b/>
      <sz val="10"/>
      <color theme="0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9"/>
      <color theme="0"/>
      <name val="宋体"/>
      <charset val="134"/>
    </font>
    <font>
      <b/>
      <sz val="11"/>
      <color theme="0"/>
      <name val="宋体"/>
      <charset val="134"/>
      <scheme val="minor"/>
    </font>
    <font>
      <sz val="10"/>
      <name val="宋体"/>
      <charset val="134"/>
    </font>
    <font>
      <b/>
      <sz val="9"/>
      <color theme="0"/>
      <name val="Arial"/>
      <charset val="134"/>
    </font>
    <font>
      <sz val="10.5"/>
      <name val="宋体"/>
      <charset val="134"/>
    </font>
    <font>
      <sz val="10"/>
      <color theme="1"/>
      <name val="Tahoma"/>
      <charset val="134"/>
    </font>
    <font>
      <sz val="10"/>
      <color theme="1"/>
      <name val="宋体"/>
      <charset val="134"/>
      <scheme val="major"/>
    </font>
    <font>
      <sz val="10"/>
      <name val="宋体"/>
      <charset val="134"/>
      <scheme val="major"/>
    </font>
    <font>
      <sz val="9"/>
      <name val="宋体"/>
      <charset val="134"/>
    </font>
    <font>
      <sz val="10"/>
      <color theme="1"/>
      <name val="宋体"/>
      <charset val="134"/>
    </font>
    <font>
      <b/>
      <sz val="10"/>
      <name val="宋体"/>
      <charset val="136"/>
      <scheme val="major"/>
    </font>
    <font>
      <b/>
      <sz val="10"/>
      <name val="宋体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12" borderId="12" applyNumberFormat="0" applyFon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7" fillId="21" borderId="16" applyNumberFormat="0" applyAlignment="0" applyProtection="0">
      <alignment vertical="center"/>
    </xf>
    <xf numFmtId="0" fontId="26" fillId="21" borderId="10" applyNumberFormat="0" applyAlignment="0" applyProtection="0">
      <alignment vertical="center"/>
    </xf>
    <xf numFmtId="0" fontId="35" fillId="27" borderId="15" applyNumberForma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8" fillId="4" borderId="3" xfId="41" applyFont="1" applyFill="1" applyBorder="1" applyAlignment="1">
      <alignment horizontal="center" vertical="center" shrinkToFit="1"/>
    </xf>
    <xf numFmtId="0" fontId="8" fillId="4" borderId="0" xfId="41" applyFont="1" applyFill="1" applyBorder="1" applyAlignment="1">
      <alignment horizontal="center" vertical="center" shrinkToFit="1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8" fillId="5" borderId="3" xfId="41" applyFont="1" applyFill="1" applyBorder="1" applyAlignment="1">
      <alignment horizontal="center" vertical="center" shrinkToFit="1"/>
    </xf>
    <xf numFmtId="0" fontId="8" fillId="5" borderId="0" xfId="41" applyFont="1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4" borderId="7" xfId="41" applyFont="1" applyFill="1" applyBorder="1" applyAlignment="1">
      <alignment horizontal="center" vertical="center" shrinkToFit="1"/>
    </xf>
    <xf numFmtId="43" fontId="8" fillId="4" borderId="3" xfId="41" applyNumberFormat="1" applyFont="1" applyFill="1" applyBorder="1" applyAlignment="1">
      <alignment horizontal="center" vertical="center" shrinkToFit="1"/>
    </xf>
    <xf numFmtId="43" fontId="8" fillId="4" borderId="0" xfId="41" applyNumberFormat="1" applyFont="1" applyFill="1" applyBorder="1" applyAlignment="1">
      <alignment horizontal="center" vertical="center" shrinkToFit="1"/>
    </xf>
    <xf numFmtId="0" fontId="8" fillId="5" borderId="7" xfId="41" applyFont="1" applyFill="1" applyBorder="1" applyAlignment="1">
      <alignment horizontal="center" vertical="center" shrinkToFit="1"/>
    </xf>
    <xf numFmtId="43" fontId="8" fillId="5" borderId="3" xfId="41" applyNumberFormat="1" applyFont="1" applyFill="1" applyBorder="1" applyAlignment="1">
      <alignment horizontal="center" vertical="center" shrinkToFit="1"/>
    </xf>
    <xf numFmtId="43" fontId="8" fillId="5" borderId="0" xfId="41" applyNumberFormat="1" applyFont="1" applyFill="1" applyBorder="1" applyAlignment="1">
      <alignment horizontal="center" vertical="center" shrinkToFit="1"/>
    </xf>
    <xf numFmtId="43" fontId="10" fillId="5" borderId="3" xfId="41" applyNumberFormat="1" applyFont="1" applyFill="1" applyBorder="1" applyAlignment="1">
      <alignment horizontal="center" vertical="center" shrinkToFit="1"/>
    </xf>
    <xf numFmtId="43" fontId="10" fillId="5" borderId="0" xfId="41" applyNumberFormat="1" applyFont="1" applyFill="1" applyBorder="1" applyAlignment="1">
      <alignment horizontal="center" vertical="center" shrinkToFit="1"/>
    </xf>
    <xf numFmtId="0" fontId="11" fillId="5" borderId="3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43" fontId="8" fillId="4" borderId="7" xfId="41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center" vertical="center"/>
    </xf>
    <xf numFmtId="176" fontId="12" fillId="4" borderId="0" xfId="0" applyNumberFormat="1" applyFont="1" applyFill="1" applyBorder="1" applyAlignment="1">
      <alignment horizontal="center" vertical="center"/>
    </xf>
    <xf numFmtId="43" fontId="8" fillId="5" borderId="7" xfId="41" applyNumberFormat="1" applyFont="1" applyFill="1" applyBorder="1" applyAlignment="1">
      <alignment horizontal="center" vertical="center" shrinkToFit="1"/>
    </xf>
    <xf numFmtId="176" fontId="12" fillId="5" borderId="3" xfId="0" applyNumberFormat="1" applyFont="1" applyFill="1" applyBorder="1" applyAlignment="1">
      <alignment horizontal="center" vertical="center"/>
    </xf>
    <xf numFmtId="176" fontId="12" fillId="5" borderId="0" xfId="0" applyNumberFormat="1" applyFont="1" applyFill="1" applyBorder="1" applyAlignment="1">
      <alignment horizontal="center" vertical="center"/>
    </xf>
    <xf numFmtId="176" fontId="13" fillId="4" borderId="3" xfId="41" applyNumberFormat="1" applyFont="1" applyFill="1" applyBorder="1" applyAlignment="1">
      <alignment horizontal="center" vertical="center" shrinkToFit="1"/>
    </xf>
    <xf numFmtId="176" fontId="13" fillId="4" borderId="0" xfId="41" applyNumberFormat="1" applyFont="1" applyFill="1" applyBorder="1" applyAlignment="1">
      <alignment horizontal="center" vertical="center" shrinkToFit="1"/>
    </xf>
    <xf numFmtId="176" fontId="8" fillId="5" borderId="3" xfId="8" applyNumberFormat="1" applyFont="1" applyFill="1" applyBorder="1" applyAlignment="1">
      <alignment horizontal="center" vertical="center"/>
    </xf>
    <xf numFmtId="176" fontId="8" fillId="5" borderId="0" xfId="8" applyNumberFormat="1" applyFont="1" applyFill="1" applyBorder="1" applyAlignment="1">
      <alignment horizontal="center" vertical="center"/>
    </xf>
    <xf numFmtId="176" fontId="8" fillId="5" borderId="0" xfId="0" applyNumberFormat="1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14" fillId="4" borderId="0" xfId="0" applyNumberFormat="1" applyFont="1" applyFill="1" applyBorder="1" applyAlignment="1">
      <alignment horizontal="center" vertical="center"/>
    </xf>
    <xf numFmtId="176" fontId="13" fillId="5" borderId="3" xfId="41" applyNumberFormat="1" applyFont="1" applyFill="1" applyBorder="1" applyAlignment="1">
      <alignment horizontal="center" vertical="center" shrinkToFit="1"/>
    </xf>
    <xf numFmtId="176" fontId="13" fillId="5" borderId="0" xfId="41" applyNumberFormat="1" applyFont="1" applyFill="1" applyBorder="1" applyAlignment="1">
      <alignment horizontal="center" vertical="center" shrinkToFit="1"/>
    </xf>
    <xf numFmtId="176" fontId="11" fillId="5" borderId="0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5" fillId="5" borderId="3" xfId="0" applyNumberFormat="1" applyFont="1" applyFill="1" applyBorder="1" applyAlignment="1">
      <alignment horizontal="center" vertical="center"/>
    </xf>
    <xf numFmtId="176" fontId="15" fillId="5" borderId="0" xfId="0" applyNumberFormat="1" applyFont="1" applyFill="1" applyBorder="1" applyAlignment="1">
      <alignment horizontal="center" vertical="center"/>
    </xf>
    <xf numFmtId="176" fontId="12" fillId="4" borderId="3" xfId="41" applyNumberFormat="1" applyFont="1" applyFill="1" applyBorder="1" applyAlignment="1">
      <alignment horizontal="center" vertical="center" shrinkToFit="1"/>
    </xf>
    <xf numFmtId="176" fontId="12" fillId="4" borderId="0" xfId="41" applyNumberFormat="1" applyFont="1" applyFill="1" applyBorder="1" applyAlignment="1">
      <alignment horizontal="center" vertical="center" shrinkToFit="1"/>
    </xf>
    <xf numFmtId="43" fontId="12" fillId="5" borderId="0" xfId="8" applyFont="1" applyFill="1" applyBorder="1" applyAlignment="1">
      <alignment horizontal="center" vertical="center"/>
    </xf>
    <xf numFmtId="43" fontId="12" fillId="5" borderId="0" xfId="8" applyFont="1" applyFill="1" applyBorder="1" applyAlignment="1">
      <alignment horizontal="center" vertical="center"/>
    </xf>
    <xf numFmtId="176" fontId="13" fillId="4" borderId="3" xfId="13" applyNumberFormat="1" applyFont="1" applyFill="1" applyBorder="1" applyAlignment="1">
      <alignment horizontal="center" vertical="center"/>
    </xf>
    <xf numFmtId="176" fontId="13" fillId="4" borderId="0" xfId="13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176" fontId="13" fillId="4" borderId="0" xfId="0" applyNumberFormat="1" applyFont="1" applyFill="1" applyBorder="1" applyAlignment="1">
      <alignment horizontal="center" vertical="center"/>
    </xf>
    <xf numFmtId="43" fontId="16" fillId="5" borderId="3" xfId="41" applyNumberFormat="1" applyFont="1" applyFill="1" applyBorder="1" applyAlignment="1">
      <alignment horizontal="center" vertical="center" shrinkToFit="1"/>
    </xf>
    <xf numFmtId="43" fontId="16" fillId="5" borderId="0" xfId="41" applyNumberFormat="1" applyFont="1" applyFill="1" applyBorder="1" applyAlignment="1">
      <alignment horizontal="center" vertical="center" shrinkToFit="1"/>
    </xf>
    <xf numFmtId="176" fontId="12" fillId="4" borderId="7" xfId="0" applyNumberFormat="1" applyFont="1" applyFill="1" applyBorder="1" applyAlignment="1">
      <alignment horizontal="center" vertical="center"/>
    </xf>
    <xf numFmtId="176" fontId="12" fillId="5" borderId="7" xfId="0" applyNumberFormat="1" applyFont="1" applyFill="1" applyBorder="1" applyAlignment="1">
      <alignment horizontal="center" vertical="center"/>
    </xf>
    <xf numFmtId="176" fontId="13" fillId="4" borderId="7" xfId="41" applyNumberFormat="1" applyFont="1" applyFill="1" applyBorder="1" applyAlignment="1">
      <alignment horizontal="center" vertical="center" shrinkToFit="1"/>
    </xf>
    <xf numFmtId="176" fontId="8" fillId="5" borderId="7" xfId="0" applyNumberFormat="1" applyFont="1" applyFill="1" applyBorder="1" applyAlignment="1">
      <alignment horizontal="center" vertical="center"/>
    </xf>
    <xf numFmtId="176" fontId="11" fillId="5" borderId="7" xfId="0" applyNumberFormat="1" applyFont="1" applyFill="1" applyBorder="1" applyAlignment="1">
      <alignment horizontal="center" vertical="center"/>
    </xf>
    <xf numFmtId="176" fontId="15" fillId="5" borderId="7" xfId="0" applyNumberFormat="1" applyFont="1" applyFill="1" applyBorder="1" applyAlignment="1">
      <alignment horizontal="center" vertical="center"/>
    </xf>
    <xf numFmtId="43" fontId="12" fillId="5" borderId="7" xfId="8" applyFont="1" applyFill="1" applyBorder="1" applyAlignment="1">
      <alignment horizontal="center" vertical="center"/>
    </xf>
    <xf numFmtId="176" fontId="13" fillId="4" borderId="7" xfId="13" applyNumberFormat="1" applyFont="1" applyFill="1" applyBorder="1" applyAlignment="1">
      <alignment horizontal="center" vertical="center"/>
    </xf>
    <xf numFmtId="176" fontId="13" fillId="5" borderId="7" xfId="41" applyNumberFormat="1" applyFont="1" applyFill="1" applyBorder="1" applyAlignment="1">
      <alignment horizontal="center" vertical="center" shrinkToFit="1"/>
    </xf>
    <xf numFmtId="176" fontId="13" fillId="5" borderId="7" xfId="0" applyNumberFormat="1" applyFont="1" applyFill="1" applyBorder="1" applyAlignment="1">
      <alignment horizontal="center" vertical="center"/>
    </xf>
    <xf numFmtId="176" fontId="13" fillId="4" borderId="7" xfId="0" applyNumberFormat="1" applyFont="1" applyFill="1" applyBorder="1" applyAlignment="1">
      <alignment horizontal="center" vertical="center"/>
    </xf>
    <xf numFmtId="43" fontId="16" fillId="5" borderId="7" xfId="41" applyNumberFormat="1" applyFont="1" applyFill="1" applyBorder="1" applyAlignment="1">
      <alignment horizontal="center" vertical="center" shrinkToFit="1"/>
    </xf>
    <xf numFmtId="43" fontId="17" fillId="5" borderId="0" xfId="41" applyNumberFormat="1" applyFont="1" applyFill="1" applyBorder="1" applyAlignment="1">
      <alignment horizontal="center" vertical="center" shrinkToFit="1"/>
    </xf>
    <xf numFmtId="43" fontId="17" fillId="5" borderId="7" xfId="41" applyNumberFormat="1" applyFont="1" applyFill="1" applyBorder="1" applyAlignment="1">
      <alignment horizontal="center" vertical="center" shrinkToFit="1"/>
    </xf>
    <xf numFmtId="0" fontId="0" fillId="2" borderId="8" xfId="0" applyFill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常规 3 2" xfId="41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104"/>
  <sheetViews>
    <sheetView tabSelected="1" workbookViewId="0">
      <selection activeCell="AR43" sqref="AR43"/>
    </sheetView>
  </sheetViews>
  <sheetFormatPr defaultColWidth="9" defaultRowHeight="13.5"/>
  <cols>
    <col min="1" max="286" width="3.625" customWidth="1"/>
  </cols>
  <sheetData>
    <row r="1" ht="25" customHeight="1" spans="1:29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5" customHeight="1" spans="1:29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25" customHeight="1" spans="1:29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25" customHeight="1" spans="1:2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25" customHeight="1" spans="1:24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</row>
    <row r="6" ht="25" customHeight="1" spans="1:24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</row>
    <row r="7" ht="25" customHeight="1" spans="1:29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" customHeight="1" spans="1:33">
      <c r="A8" s="7" t="s">
        <v>36</v>
      </c>
      <c r="B8" s="8"/>
      <c r="C8" s="9" t="s">
        <v>37</v>
      </c>
      <c r="D8" s="10"/>
      <c r="E8" s="10"/>
      <c r="F8" s="10"/>
      <c r="G8" s="10"/>
      <c r="H8" s="10"/>
      <c r="I8" s="25"/>
      <c r="J8" s="7" t="s">
        <v>38</v>
      </c>
      <c r="K8" s="8"/>
      <c r="L8" s="8"/>
      <c r="M8" s="8"/>
      <c r="N8" s="8"/>
      <c r="O8" s="8"/>
      <c r="P8" s="8"/>
      <c r="Q8" s="38"/>
      <c r="R8" s="7" t="s">
        <v>39</v>
      </c>
      <c r="S8" s="8"/>
      <c r="T8" s="8"/>
      <c r="U8" s="8"/>
      <c r="V8" s="8"/>
      <c r="W8" s="8"/>
      <c r="X8" s="8"/>
      <c r="Y8" s="38"/>
      <c r="Z8" s="8" t="s">
        <v>40</v>
      </c>
      <c r="AA8" s="8"/>
      <c r="AB8" s="8"/>
      <c r="AC8" s="8"/>
      <c r="AD8" s="8"/>
      <c r="AE8" s="8"/>
      <c r="AF8" s="8"/>
      <c r="AG8" s="38"/>
    </row>
    <row r="9" customFormat="1" ht="15" customHeight="1" spans="1:33">
      <c r="A9" s="11"/>
      <c r="B9" s="12"/>
      <c r="C9" s="13"/>
      <c r="D9" s="14"/>
      <c r="E9" s="14"/>
      <c r="F9" s="14"/>
      <c r="G9" s="14"/>
      <c r="H9" s="14"/>
      <c r="I9" s="26"/>
      <c r="J9" s="11" t="s">
        <v>41</v>
      </c>
      <c r="K9" s="27"/>
      <c r="L9" s="27"/>
      <c r="M9" s="27"/>
      <c r="N9" s="12" t="s">
        <v>42</v>
      </c>
      <c r="O9" s="27"/>
      <c r="P9" s="27"/>
      <c r="Q9" s="39"/>
      <c r="R9" s="11" t="s">
        <v>41</v>
      </c>
      <c r="S9" s="27"/>
      <c r="T9" s="27"/>
      <c r="U9" s="27"/>
      <c r="V9" s="12" t="s">
        <v>42</v>
      </c>
      <c r="W9" s="27"/>
      <c r="X9" s="27"/>
      <c r="Y9" s="39"/>
      <c r="Z9" s="12" t="s">
        <v>41</v>
      </c>
      <c r="AA9" s="27"/>
      <c r="AB9" s="27"/>
      <c r="AC9" s="27"/>
      <c r="AD9" s="12" t="s">
        <v>42</v>
      </c>
      <c r="AE9" s="27"/>
      <c r="AF9" s="27"/>
      <c r="AG9" s="39"/>
    </row>
    <row r="10" s="1" customFormat="1" ht="25" customHeight="1" spans="1:33">
      <c r="A10" s="15">
        <v>1</v>
      </c>
      <c r="B10" s="16"/>
      <c r="C10" s="17" t="s">
        <v>43</v>
      </c>
      <c r="D10" s="18"/>
      <c r="E10" s="18"/>
      <c r="F10" s="18"/>
      <c r="G10" s="18"/>
      <c r="H10" s="18"/>
      <c r="I10" s="28"/>
      <c r="J10" s="29">
        <v>197.88</v>
      </c>
      <c r="K10" s="30"/>
      <c r="L10" s="30"/>
      <c r="M10" s="30"/>
      <c r="N10" s="30"/>
      <c r="O10" s="30"/>
      <c r="P10" s="30"/>
      <c r="Q10" s="40"/>
      <c r="R10" s="41"/>
      <c r="S10" s="42"/>
      <c r="T10" s="42"/>
      <c r="U10" s="42"/>
      <c r="V10" s="42"/>
      <c r="W10" s="42"/>
      <c r="X10" s="42"/>
      <c r="Y10" s="70"/>
      <c r="Z10" s="30">
        <f t="shared" ref="Z10:Z20" si="0">SUM(J10-N10+R10-V10)</f>
        <v>197.88</v>
      </c>
      <c r="AA10" s="30"/>
      <c r="AB10" s="30"/>
      <c r="AC10" s="30"/>
      <c r="AD10" s="30"/>
      <c r="AE10" s="30"/>
      <c r="AF10" s="30"/>
      <c r="AG10" s="40"/>
    </row>
    <row r="11" s="1" customFormat="1" ht="25" customHeight="1" spans="1:33">
      <c r="A11" s="19">
        <v>2</v>
      </c>
      <c r="B11" s="20"/>
      <c r="C11" s="21" t="s">
        <v>44</v>
      </c>
      <c r="D11" s="22"/>
      <c r="E11" s="22"/>
      <c r="F11" s="22"/>
      <c r="G11" s="22"/>
      <c r="H11" s="22"/>
      <c r="I11" s="31"/>
      <c r="J11" s="32">
        <v>713489.55</v>
      </c>
      <c r="K11" s="33"/>
      <c r="L11" s="33"/>
      <c r="M11" s="33"/>
      <c r="N11" s="33"/>
      <c r="O11" s="33"/>
      <c r="P11" s="33"/>
      <c r="Q11" s="43"/>
      <c r="R11" s="44">
        <v>658602.23</v>
      </c>
      <c r="S11" s="45"/>
      <c r="T11" s="45"/>
      <c r="U11" s="45"/>
      <c r="V11" s="45">
        <v>971766.9</v>
      </c>
      <c r="W11" s="45"/>
      <c r="X11" s="45"/>
      <c r="Y11" s="71"/>
      <c r="Z11" s="33">
        <f t="shared" si="0"/>
        <v>400324.88</v>
      </c>
      <c r="AA11" s="33"/>
      <c r="AB11" s="33"/>
      <c r="AC11" s="33"/>
      <c r="AD11" s="33"/>
      <c r="AE11" s="33"/>
      <c r="AF11" s="33"/>
      <c r="AG11" s="43"/>
    </row>
    <row r="12" s="1" customFormat="1" ht="25" customHeight="1" spans="1:33">
      <c r="A12" s="15">
        <v>3</v>
      </c>
      <c r="B12" s="16"/>
      <c r="C12" s="17" t="s">
        <v>45</v>
      </c>
      <c r="D12" s="18"/>
      <c r="E12" s="18"/>
      <c r="F12" s="18"/>
      <c r="G12" s="18"/>
      <c r="H12" s="18"/>
      <c r="I12" s="28"/>
      <c r="J12" s="29">
        <v>516040.789989999</v>
      </c>
      <c r="K12" s="30"/>
      <c r="L12" s="30"/>
      <c r="M12" s="30"/>
      <c r="N12" s="30"/>
      <c r="O12" s="30"/>
      <c r="P12" s="30"/>
      <c r="Q12" s="40"/>
      <c r="R12" s="46">
        <v>1261925.2</v>
      </c>
      <c r="S12" s="47"/>
      <c r="T12" s="47"/>
      <c r="U12" s="47"/>
      <c r="V12" s="47">
        <v>831646.866</v>
      </c>
      <c r="W12" s="47"/>
      <c r="X12" s="47"/>
      <c r="Y12" s="72"/>
      <c r="Z12" s="30">
        <f t="shared" si="0"/>
        <v>946319.123989999</v>
      </c>
      <c r="AA12" s="30"/>
      <c r="AB12" s="30"/>
      <c r="AC12" s="30"/>
      <c r="AD12" s="30"/>
      <c r="AE12" s="30"/>
      <c r="AF12" s="30"/>
      <c r="AG12" s="40"/>
    </row>
    <row r="13" s="1" customFormat="1" ht="25" customHeight="1" spans="1:33">
      <c r="A13" s="19">
        <v>4</v>
      </c>
      <c r="B13" s="20"/>
      <c r="C13" s="21" t="s">
        <v>46</v>
      </c>
      <c r="D13" s="22"/>
      <c r="E13" s="22"/>
      <c r="F13" s="22"/>
      <c r="G13" s="22"/>
      <c r="H13" s="22"/>
      <c r="I13" s="31"/>
      <c r="J13" s="32">
        <v>450.244989999905</v>
      </c>
      <c r="K13" s="33"/>
      <c r="L13" s="33"/>
      <c r="M13" s="33"/>
      <c r="N13" s="33"/>
      <c r="O13" s="33"/>
      <c r="P13" s="33"/>
      <c r="Q13" s="43"/>
      <c r="R13" s="48">
        <v>99133.53</v>
      </c>
      <c r="S13" s="49"/>
      <c r="T13" s="49"/>
      <c r="U13" s="49"/>
      <c r="V13" s="50">
        <v>99099</v>
      </c>
      <c r="W13" s="50"/>
      <c r="X13" s="50"/>
      <c r="Y13" s="73"/>
      <c r="Z13" s="33">
        <f t="shared" si="0"/>
        <v>484.774989999903</v>
      </c>
      <c r="AA13" s="33"/>
      <c r="AB13" s="33"/>
      <c r="AC13" s="33"/>
      <c r="AD13" s="33"/>
      <c r="AE13" s="33"/>
      <c r="AF13" s="33"/>
      <c r="AG13" s="43"/>
    </row>
    <row r="14" s="1" customFormat="1" ht="25" customHeight="1" spans="1:33">
      <c r="A14" s="15">
        <v>5</v>
      </c>
      <c r="B14" s="16"/>
      <c r="C14" s="17" t="s">
        <v>47</v>
      </c>
      <c r="D14" s="18"/>
      <c r="E14" s="18"/>
      <c r="F14" s="18"/>
      <c r="G14" s="18"/>
      <c r="H14" s="18"/>
      <c r="I14" s="28"/>
      <c r="J14" s="29">
        <v>13197.6899999999</v>
      </c>
      <c r="K14" s="30"/>
      <c r="L14" s="30"/>
      <c r="M14" s="30"/>
      <c r="N14" s="30"/>
      <c r="O14" s="30"/>
      <c r="P14" s="30"/>
      <c r="Q14" s="40"/>
      <c r="R14" s="41">
        <v>155214.95</v>
      </c>
      <c r="S14" s="42"/>
      <c r="T14" s="42"/>
      <c r="U14" s="42"/>
      <c r="V14" s="42">
        <v>166164.83</v>
      </c>
      <c r="W14" s="42"/>
      <c r="X14" s="42"/>
      <c r="Y14" s="70"/>
      <c r="Z14" s="30">
        <f t="shared" si="0"/>
        <v>2247.80999999991</v>
      </c>
      <c r="AA14" s="30"/>
      <c r="AB14" s="30"/>
      <c r="AC14" s="30"/>
      <c r="AD14" s="30"/>
      <c r="AE14" s="30"/>
      <c r="AF14" s="30"/>
      <c r="AG14" s="40"/>
    </row>
    <row r="15" s="1" customFormat="1" ht="25" customHeight="1" spans="1:33">
      <c r="A15" s="19">
        <v>6</v>
      </c>
      <c r="B15" s="20"/>
      <c r="C15" s="21" t="s">
        <v>48</v>
      </c>
      <c r="D15" s="22"/>
      <c r="E15" s="22"/>
      <c r="F15" s="22"/>
      <c r="G15" s="22"/>
      <c r="H15" s="22"/>
      <c r="I15" s="31"/>
      <c r="J15" s="34">
        <v>2693244.45514617</v>
      </c>
      <c r="K15" s="35"/>
      <c r="L15" s="35"/>
      <c r="M15" s="35"/>
      <c r="N15" s="33"/>
      <c r="O15" s="33"/>
      <c r="P15" s="33"/>
      <c r="Q15" s="43"/>
      <c r="R15" s="44">
        <v>470632.236610937</v>
      </c>
      <c r="S15" s="45"/>
      <c r="T15" s="45"/>
      <c r="U15" s="45"/>
      <c r="V15" s="45">
        <v>437398.411764706</v>
      </c>
      <c r="W15" s="45"/>
      <c r="X15" s="45"/>
      <c r="Y15" s="71"/>
      <c r="Z15" s="33">
        <f t="shared" si="0"/>
        <v>2726478.2799924</v>
      </c>
      <c r="AA15" s="33"/>
      <c r="AB15" s="33"/>
      <c r="AC15" s="33"/>
      <c r="AD15" s="33"/>
      <c r="AE15" s="33"/>
      <c r="AF15" s="33"/>
      <c r="AG15" s="43"/>
    </row>
    <row r="16" s="1" customFormat="1" ht="25" customHeight="1" spans="1:33">
      <c r="A16" s="15">
        <v>7</v>
      </c>
      <c r="B16" s="16"/>
      <c r="C16" s="17" t="s">
        <v>49</v>
      </c>
      <c r="D16" s="18"/>
      <c r="E16" s="18"/>
      <c r="F16" s="18"/>
      <c r="G16" s="18"/>
      <c r="H16" s="18"/>
      <c r="I16" s="28"/>
      <c r="J16" s="29">
        <v>40000</v>
      </c>
      <c r="K16" s="30"/>
      <c r="L16" s="30"/>
      <c r="M16" s="30"/>
      <c r="N16" s="30"/>
      <c r="O16" s="30"/>
      <c r="P16" s="30"/>
      <c r="Q16" s="40"/>
      <c r="R16" s="41"/>
      <c r="S16" s="42"/>
      <c r="T16" s="42"/>
      <c r="U16" s="42"/>
      <c r="V16" s="42"/>
      <c r="W16" s="42"/>
      <c r="X16" s="42"/>
      <c r="Y16" s="70"/>
      <c r="Z16" s="30">
        <f t="shared" si="0"/>
        <v>40000</v>
      </c>
      <c r="AA16" s="30"/>
      <c r="AB16" s="30"/>
      <c r="AC16" s="30"/>
      <c r="AD16" s="30"/>
      <c r="AE16" s="30"/>
      <c r="AF16" s="30"/>
      <c r="AG16" s="40"/>
    </row>
    <row r="17" s="1" customFormat="1" ht="25" customHeight="1" spans="1:33">
      <c r="A17" s="19">
        <v>8</v>
      </c>
      <c r="B17" s="20"/>
      <c r="C17" s="21" t="s">
        <v>50</v>
      </c>
      <c r="D17" s="22"/>
      <c r="E17" s="22"/>
      <c r="F17" s="22"/>
      <c r="G17" s="22"/>
      <c r="H17" s="22"/>
      <c r="I17" s="31"/>
      <c r="J17" s="32">
        <v>88659.18</v>
      </c>
      <c r="K17" s="33"/>
      <c r="L17" s="33"/>
      <c r="M17" s="33"/>
      <c r="N17" s="33"/>
      <c r="O17" s="33"/>
      <c r="P17" s="33"/>
      <c r="Q17" s="43"/>
      <c r="R17" s="44">
        <v>11965.52</v>
      </c>
      <c r="S17" s="45"/>
      <c r="T17" s="45"/>
      <c r="U17" s="45"/>
      <c r="V17" s="45">
        <v>14286.17</v>
      </c>
      <c r="W17" s="45"/>
      <c r="X17" s="45"/>
      <c r="Y17" s="71"/>
      <c r="Z17" s="33">
        <f t="shared" si="0"/>
        <v>86338.53</v>
      </c>
      <c r="AA17" s="33"/>
      <c r="AB17" s="33"/>
      <c r="AC17" s="33"/>
      <c r="AD17" s="33"/>
      <c r="AE17" s="33"/>
      <c r="AF17" s="33"/>
      <c r="AG17" s="43"/>
    </row>
    <row r="18" s="1" customFormat="1" ht="25" customHeight="1" spans="1:33">
      <c r="A18" s="15">
        <v>9</v>
      </c>
      <c r="B18" s="16"/>
      <c r="C18" s="17" t="s">
        <v>51</v>
      </c>
      <c r="D18" s="18"/>
      <c r="E18" s="18"/>
      <c r="F18" s="18"/>
      <c r="G18" s="18"/>
      <c r="H18" s="18"/>
      <c r="I18" s="28"/>
      <c r="J18" s="29">
        <v>0</v>
      </c>
      <c r="K18" s="30"/>
      <c r="L18" s="30"/>
      <c r="M18" s="30"/>
      <c r="N18" s="30">
        <v>0</v>
      </c>
      <c r="O18" s="30"/>
      <c r="P18" s="30"/>
      <c r="Q18" s="40"/>
      <c r="R18" s="46"/>
      <c r="S18" s="47"/>
      <c r="T18" s="47"/>
      <c r="U18" s="47"/>
      <c r="V18" s="47"/>
      <c r="W18" s="47"/>
      <c r="X18" s="47"/>
      <c r="Y18" s="72"/>
      <c r="Z18" s="30">
        <f t="shared" si="0"/>
        <v>0</v>
      </c>
      <c r="AA18" s="30"/>
      <c r="AB18" s="30"/>
      <c r="AC18" s="30"/>
      <c r="AD18" s="30">
        <f t="shared" ref="AD18:AD29" si="1">N18-J18+V18-R18</f>
        <v>0</v>
      </c>
      <c r="AE18" s="30"/>
      <c r="AF18" s="30"/>
      <c r="AG18" s="40"/>
    </row>
    <row r="19" s="1" customFormat="1" ht="25" customHeight="1" spans="1:33">
      <c r="A19" s="19">
        <v>10</v>
      </c>
      <c r="B19" s="20"/>
      <c r="C19" s="21" t="s">
        <v>52</v>
      </c>
      <c r="D19" s="22"/>
      <c r="E19" s="22"/>
      <c r="F19" s="22"/>
      <c r="G19" s="22"/>
      <c r="H19" s="22"/>
      <c r="I19" s="31"/>
      <c r="J19" s="32">
        <v>625.53</v>
      </c>
      <c r="K19" s="33"/>
      <c r="L19" s="33"/>
      <c r="M19" s="33"/>
      <c r="N19" s="33"/>
      <c r="O19" s="33"/>
      <c r="P19" s="33"/>
      <c r="Q19" s="43"/>
      <c r="R19" s="51"/>
      <c r="S19" s="50"/>
      <c r="T19" s="50"/>
      <c r="U19" s="50"/>
      <c r="V19" s="45"/>
      <c r="W19" s="45"/>
      <c r="X19" s="45"/>
      <c r="Y19" s="71"/>
      <c r="Z19" s="33">
        <f t="shared" si="0"/>
        <v>625.53</v>
      </c>
      <c r="AA19" s="33"/>
      <c r="AB19" s="33"/>
      <c r="AC19" s="33"/>
      <c r="AD19" s="33"/>
      <c r="AE19" s="33"/>
      <c r="AF19" s="33"/>
      <c r="AG19" s="43"/>
    </row>
    <row r="20" s="1" customFormat="1" ht="25" customHeight="1" spans="1:33">
      <c r="A20" s="15">
        <v>11</v>
      </c>
      <c r="B20" s="16"/>
      <c r="C20" s="17" t="s">
        <v>53</v>
      </c>
      <c r="D20" s="18"/>
      <c r="E20" s="18"/>
      <c r="F20" s="18"/>
      <c r="G20" s="18"/>
      <c r="H20" s="18"/>
      <c r="I20" s="28"/>
      <c r="J20" s="29">
        <v>448255.767806789</v>
      </c>
      <c r="K20" s="30"/>
      <c r="L20" s="30"/>
      <c r="M20" s="30"/>
      <c r="N20" s="30"/>
      <c r="O20" s="30"/>
      <c r="P20" s="30"/>
      <c r="Q20" s="40"/>
      <c r="R20" s="52">
        <v>4660</v>
      </c>
      <c r="S20" s="53"/>
      <c r="T20" s="53"/>
      <c r="U20" s="53"/>
      <c r="V20" s="42"/>
      <c r="W20" s="42"/>
      <c r="X20" s="42"/>
      <c r="Y20" s="70"/>
      <c r="Z20" s="30">
        <f t="shared" si="0"/>
        <v>452915.767806789</v>
      </c>
      <c r="AA20" s="30"/>
      <c r="AB20" s="30"/>
      <c r="AC20" s="30"/>
      <c r="AD20" s="30"/>
      <c r="AE20" s="30"/>
      <c r="AF20" s="30"/>
      <c r="AG20" s="40"/>
    </row>
    <row r="21" s="1" customFormat="1" ht="25" customHeight="1" spans="1:33">
      <c r="A21" s="19">
        <v>12</v>
      </c>
      <c r="B21" s="20"/>
      <c r="C21" s="21" t="s">
        <v>54</v>
      </c>
      <c r="D21" s="22"/>
      <c r="E21" s="22"/>
      <c r="F21" s="22"/>
      <c r="G21" s="22"/>
      <c r="H21" s="22"/>
      <c r="I21" s="31"/>
      <c r="J21" s="36"/>
      <c r="K21" s="37"/>
      <c r="L21" s="37"/>
      <c r="M21" s="37"/>
      <c r="N21" s="33">
        <v>32227.2047333333</v>
      </c>
      <c r="O21" s="33"/>
      <c r="P21" s="33"/>
      <c r="Q21" s="43"/>
      <c r="R21" s="54"/>
      <c r="S21" s="55"/>
      <c r="T21" s="55"/>
      <c r="U21" s="55"/>
      <c r="V21" s="56">
        <v>6577.93986666667</v>
      </c>
      <c r="W21" s="56"/>
      <c r="X21" s="56"/>
      <c r="Y21" s="74"/>
      <c r="Z21" s="33"/>
      <c r="AA21" s="33"/>
      <c r="AB21" s="33"/>
      <c r="AC21" s="33"/>
      <c r="AD21" s="33">
        <f t="shared" si="1"/>
        <v>38805.1446</v>
      </c>
      <c r="AE21" s="33"/>
      <c r="AF21" s="33"/>
      <c r="AG21" s="43"/>
    </row>
    <row r="22" s="1" customFormat="1" ht="25" customHeight="1" spans="1:33">
      <c r="A22" s="15">
        <v>13</v>
      </c>
      <c r="B22" s="16"/>
      <c r="C22" s="17" t="s">
        <v>55</v>
      </c>
      <c r="D22" s="18"/>
      <c r="E22" s="18"/>
      <c r="F22" s="18"/>
      <c r="G22" s="18"/>
      <c r="H22" s="18"/>
      <c r="I22" s="28"/>
      <c r="J22" s="29">
        <v>0</v>
      </c>
      <c r="K22" s="30"/>
      <c r="L22" s="30"/>
      <c r="M22" s="30"/>
      <c r="N22" s="30">
        <v>0</v>
      </c>
      <c r="O22" s="30"/>
      <c r="P22" s="30"/>
      <c r="Q22" s="40"/>
      <c r="R22" s="41"/>
      <c r="S22" s="42"/>
      <c r="T22" s="42"/>
      <c r="U22" s="42"/>
      <c r="V22" s="42"/>
      <c r="W22" s="42"/>
      <c r="X22" s="42"/>
      <c r="Y22" s="70"/>
      <c r="Z22" s="30">
        <f>SUM(J22-N22+R22-V22)</f>
        <v>0</v>
      </c>
      <c r="AA22" s="30"/>
      <c r="AB22" s="30"/>
      <c r="AC22" s="30"/>
      <c r="AD22" s="30">
        <f t="shared" si="1"/>
        <v>0</v>
      </c>
      <c r="AE22" s="30"/>
      <c r="AF22" s="30"/>
      <c r="AG22" s="40"/>
    </row>
    <row r="23" s="1" customFormat="1" ht="25" customHeight="1" spans="1:33">
      <c r="A23" s="19">
        <v>14</v>
      </c>
      <c r="B23" s="20"/>
      <c r="C23" s="21" t="s">
        <v>56</v>
      </c>
      <c r="D23" s="22"/>
      <c r="E23" s="22"/>
      <c r="F23" s="22"/>
      <c r="G23" s="22"/>
      <c r="H23" s="22"/>
      <c r="I23" s="31"/>
      <c r="J23" s="32"/>
      <c r="K23" s="33"/>
      <c r="L23" s="33"/>
      <c r="M23" s="33"/>
      <c r="N23" s="33">
        <v>1120830.47</v>
      </c>
      <c r="O23" s="33"/>
      <c r="P23" s="33"/>
      <c r="Q23" s="43"/>
      <c r="R23" s="57">
        <v>440060.466</v>
      </c>
      <c r="S23" s="56"/>
      <c r="T23" s="56"/>
      <c r="U23" s="56"/>
      <c r="V23" s="56">
        <v>518075.458</v>
      </c>
      <c r="W23" s="56"/>
      <c r="X23" s="56"/>
      <c r="Y23" s="74"/>
      <c r="Z23" s="33"/>
      <c r="AA23" s="33"/>
      <c r="AB23" s="33"/>
      <c r="AC23" s="33"/>
      <c r="AD23" s="33">
        <f t="shared" si="1"/>
        <v>1198845.462</v>
      </c>
      <c r="AE23" s="33"/>
      <c r="AF23" s="33"/>
      <c r="AG23" s="43"/>
    </row>
    <row r="24" s="1" customFormat="1" ht="25" customHeight="1" spans="1:33">
      <c r="A24" s="15">
        <v>15</v>
      </c>
      <c r="B24" s="16"/>
      <c r="C24" s="17" t="s">
        <v>57</v>
      </c>
      <c r="D24" s="18"/>
      <c r="E24" s="18"/>
      <c r="F24" s="18"/>
      <c r="G24" s="18"/>
      <c r="H24" s="18"/>
      <c r="I24" s="28"/>
      <c r="J24" s="29"/>
      <c r="K24" s="30"/>
      <c r="L24" s="30"/>
      <c r="M24" s="30"/>
      <c r="N24" s="30">
        <v>0</v>
      </c>
      <c r="O24" s="30"/>
      <c r="P24" s="30"/>
      <c r="Q24" s="40"/>
      <c r="R24" s="41"/>
      <c r="S24" s="42"/>
      <c r="T24" s="42"/>
      <c r="U24" s="42"/>
      <c r="V24" s="42"/>
      <c r="W24" s="42"/>
      <c r="X24" s="42"/>
      <c r="Y24" s="70"/>
      <c r="Z24" s="30"/>
      <c r="AA24" s="30"/>
      <c r="AB24" s="30"/>
      <c r="AC24" s="30"/>
      <c r="AD24" s="30">
        <f t="shared" si="1"/>
        <v>0</v>
      </c>
      <c r="AE24" s="30"/>
      <c r="AF24" s="30"/>
      <c r="AG24" s="40"/>
    </row>
    <row r="25" s="1" customFormat="1" ht="25" customHeight="1" spans="1:33">
      <c r="A25" s="19">
        <v>16</v>
      </c>
      <c r="B25" s="20"/>
      <c r="C25" s="21" t="s">
        <v>58</v>
      </c>
      <c r="D25" s="22"/>
      <c r="E25" s="22"/>
      <c r="F25" s="22"/>
      <c r="G25" s="22"/>
      <c r="H25" s="22"/>
      <c r="I25" s="31"/>
      <c r="J25" s="32"/>
      <c r="K25" s="33"/>
      <c r="L25" s="33"/>
      <c r="M25" s="33"/>
      <c r="N25" s="33">
        <v>65143.95</v>
      </c>
      <c r="O25" s="33"/>
      <c r="P25" s="33"/>
      <c r="Q25" s="43"/>
      <c r="R25" s="44">
        <v>77672.38</v>
      </c>
      <c r="S25" s="45"/>
      <c r="T25" s="45"/>
      <c r="U25" s="45"/>
      <c r="V25" s="45">
        <v>87859.11</v>
      </c>
      <c r="W25" s="45"/>
      <c r="X25" s="45"/>
      <c r="Y25" s="71"/>
      <c r="Z25" s="33"/>
      <c r="AA25" s="33"/>
      <c r="AB25" s="33"/>
      <c r="AC25" s="33"/>
      <c r="AD25" s="33">
        <f t="shared" si="1"/>
        <v>75330.68</v>
      </c>
      <c r="AE25" s="33"/>
      <c r="AF25" s="33"/>
      <c r="AG25" s="43"/>
    </row>
    <row r="26" s="1" customFormat="1" ht="25" customHeight="1" spans="1:33">
      <c r="A26" s="15">
        <v>17</v>
      </c>
      <c r="B26" s="16"/>
      <c r="C26" s="17" t="s">
        <v>59</v>
      </c>
      <c r="D26" s="18"/>
      <c r="E26" s="18"/>
      <c r="F26" s="18"/>
      <c r="G26" s="18"/>
      <c r="H26" s="18"/>
      <c r="I26" s="28"/>
      <c r="J26" s="29"/>
      <c r="K26" s="30"/>
      <c r="L26" s="30"/>
      <c r="M26" s="30"/>
      <c r="N26" s="30">
        <v>-26608.3700000001</v>
      </c>
      <c r="O26" s="30"/>
      <c r="P26" s="30"/>
      <c r="Q26" s="40"/>
      <c r="R26" s="41">
        <v>429130.668208114</v>
      </c>
      <c r="S26" s="42"/>
      <c r="T26" s="42"/>
      <c r="U26" s="42"/>
      <c r="V26" s="42">
        <v>121688.668208114</v>
      </c>
      <c r="W26" s="42"/>
      <c r="X26" s="42"/>
      <c r="Y26" s="70"/>
      <c r="Z26" s="30"/>
      <c r="AA26" s="30"/>
      <c r="AB26" s="30"/>
      <c r="AC26" s="30"/>
      <c r="AD26" s="30">
        <f t="shared" si="1"/>
        <v>-334050.37</v>
      </c>
      <c r="AE26" s="30"/>
      <c r="AF26" s="30"/>
      <c r="AG26" s="40"/>
    </row>
    <row r="27" s="1" customFormat="1" ht="25" customHeight="1" spans="1:33">
      <c r="A27" s="19">
        <v>18</v>
      </c>
      <c r="B27" s="20"/>
      <c r="C27" s="21" t="s">
        <v>60</v>
      </c>
      <c r="D27" s="22"/>
      <c r="E27" s="22"/>
      <c r="F27" s="22"/>
      <c r="G27" s="22"/>
      <c r="H27" s="22"/>
      <c r="I27" s="31"/>
      <c r="J27" s="32"/>
      <c r="K27" s="33"/>
      <c r="L27" s="33"/>
      <c r="M27" s="33"/>
      <c r="N27" s="33">
        <v>156779</v>
      </c>
      <c r="O27" s="33"/>
      <c r="P27" s="33"/>
      <c r="Q27" s="43"/>
      <c r="R27" s="44"/>
      <c r="S27" s="45"/>
      <c r="T27" s="45"/>
      <c r="U27" s="45"/>
      <c r="V27" s="45"/>
      <c r="W27" s="45"/>
      <c r="X27" s="45"/>
      <c r="Y27" s="71"/>
      <c r="Z27" s="33"/>
      <c r="AA27" s="33"/>
      <c r="AB27" s="33"/>
      <c r="AC27" s="33"/>
      <c r="AD27" s="33">
        <f t="shared" si="1"/>
        <v>156779</v>
      </c>
      <c r="AE27" s="33"/>
      <c r="AF27" s="33"/>
      <c r="AG27" s="43"/>
    </row>
    <row r="28" s="1" customFormat="1" ht="25" customHeight="1" spans="1:33">
      <c r="A28" s="15">
        <v>19</v>
      </c>
      <c r="B28" s="16"/>
      <c r="C28" s="17" t="s">
        <v>61</v>
      </c>
      <c r="D28" s="18"/>
      <c r="E28" s="18"/>
      <c r="F28" s="18"/>
      <c r="G28" s="18"/>
      <c r="H28" s="18"/>
      <c r="I28" s="28"/>
      <c r="J28" s="29"/>
      <c r="K28" s="30"/>
      <c r="L28" s="30"/>
      <c r="M28" s="30"/>
      <c r="N28" s="30">
        <v>184815.14</v>
      </c>
      <c r="O28" s="30"/>
      <c r="P28" s="30"/>
      <c r="Q28" s="40"/>
      <c r="R28" s="41"/>
      <c r="S28" s="42"/>
      <c r="T28" s="42"/>
      <c r="U28" s="42"/>
      <c r="V28" s="42"/>
      <c r="W28" s="42"/>
      <c r="X28" s="42"/>
      <c r="Y28" s="70"/>
      <c r="Z28" s="30"/>
      <c r="AA28" s="30"/>
      <c r="AB28" s="30"/>
      <c r="AC28" s="30"/>
      <c r="AD28" s="30">
        <f t="shared" si="1"/>
        <v>184815.14</v>
      </c>
      <c r="AE28" s="30"/>
      <c r="AF28" s="30"/>
      <c r="AG28" s="40"/>
    </row>
    <row r="29" s="1" customFormat="1" ht="25" customHeight="1" spans="1:33">
      <c r="A29" s="19">
        <v>20</v>
      </c>
      <c r="B29" s="20"/>
      <c r="C29" s="21" t="s">
        <v>62</v>
      </c>
      <c r="D29" s="22"/>
      <c r="E29" s="22"/>
      <c r="F29" s="22"/>
      <c r="G29" s="22"/>
      <c r="H29" s="22"/>
      <c r="I29" s="31"/>
      <c r="J29" s="32"/>
      <c r="K29" s="33"/>
      <c r="L29" s="33"/>
      <c r="M29" s="33"/>
      <c r="N29" s="33">
        <v>2163100.61746504</v>
      </c>
      <c r="O29" s="33"/>
      <c r="P29" s="33"/>
      <c r="Q29" s="43"/>
      <c r="R29" s="58">
        <v>1517430.57783949</v>
      </c>
      <c r="S29" s="59"/>
      <c r="T29" s="59"/>
      <c r="U29" s="59"/>
      <c r="V29" s="59">
        <v>1871864.40481905</v>
      </c>
      <c r="W29" s="59"/>
      <c r="X29" s="59"/>
      <c r="Y29" s="75"/>
      <c r="Z29" s="37"/>
      <c r="AA29" s="37"/>
      <c r="AB29" s="37"/>
      <c r="AC29" s="37"/>
      <c r="AD29" s="33">
        <f t="shared" si="1"/>
        <v>2517534.4444446</v>
      </c>
      <c r="AE29" s="33"/>
      <c r="AF29" s="33"/>
      <c r="AG29" s="43"/>
    </row>
    <row r="30" ht="25" customHeight="1" spans="1:91">
      <c r="A30" s="15">
        <v>21</v>
      </c>
      <c r="B30" s="16"/>
      <c r="C30" s="17" t="s">
        <v>63</v>
      </c>
      <c r="D30" s="18"/>
      <c r="E30" s="18"/>
      <c r="F30" s="18"/>
      <c r="G30" s="18"/>
      <c r="H30" s="18"/>
      <c r="I30" s="28"/>
      <c r="J30" s="29">
        <v>-817873.077</v>
      </c>
      <c r="K30" s="30"/>
      <c r="L30" s="30"/>
      <c r="M30" s="30"/>
      <c r="N30" s="30"/>
      <c r="O30" s="30"/>
      <c r="P30" s="30"/>
      <c r="Q30" s="40"/>
      <c r="R30" s="60"/>
      <c r="S30" s="61"/>
      <c r="T30" s="61"/>
      <c r="U30" s="61"/>
      <c r="V30" s="47"/>
      <c r="W30" s="47"/>
      <c r="X30" s="47"/>
      <c r="Y30" s="72"/>
      <c r="Z30" s="30">
        <f t="shared" ref="Z30:Z42" si="2">SUM(J30-N30+R30-V30)</f>
        <v>-817873.077</v>
      </c>
      <c r="AA30" s="30"/>
      <c r="AB30" s="30"/>
      <c r="AC30" s="30"/>
      <c r="AD30" s="30"/>
      <c r="AE30" s="30"/>
      <c r="AF30" s="30"/>
      <c r="AG30" s="40"/>
      <c r="AH30" s="1"/>
      <c r="AI30" s="1"/>
      <c r="AJ30" s="1"/>
      <c r="AK30" s="1"/>
      <c r="AL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</row>
    <row r="31" ht="25" customHeight="1" spans="1:91">
      <c r="A31" s="19">
        <v>22</v>
      </c>
      <c r="B31" s="20"/>
      <c r="C31" s="21" t="s">
        <v>64</v>
      </c>
      <c r="D31" s="22"/>
      <c r="E31" s="22"/>
      <c r="F31" s="22"/>
      <c r="G31" s="22"/>
      <c r="H31" s="22"/>
      <c r="I31" s="31"/>
      <c r="J31" s="32"/>
      <c r="K31" s="33"/>
      <c r="L31" s="33"/>
      <c r="M31" s="33"/>
      <c r="N31" s="33">
        <v>0</v>
      </c>
      <c r="O31" s="33"/>
      <c r="P31" s="33"/>
      <c r="Q31" s="43"/>
      <c r="R31" s="44">
        <v>1845768.97</v>
      </c>
      <c r="S31" s="45"/>
      <c r="T31" s="45"/>
      <c r="U31" s="45"/>
      <c r="V31" s="62">
        <f>SUM(R31:R31)</f>
        <v>1845768.97</v>
      </c>
      <c r="W31" s="63"/>
      <c r="X31" s="63"/>
      <c r="Y31" s="76"/>
      <c r="Z31" s="33"/>
      <c r="AA31" s="33"/>
      <c r="AB31" s="33"/>
      <c r="AC31" s="33"/>
      <c r="AD31" s="33">
        <f t="shared" ref="AD31:AD35" si="3">N31-J31+V31-R31</f>
        <v>0</v>
      </c>
      <c r="AE31" s="33"/>
      <c r="AF31" s="33"/>
      <c r="AG31" s="43"/>
      <c r="AH31" s="1"/>
      <c r="AI31" s="1"/>
      <c r="AJ31" s="1"/>
      <c r="AK31" s="1"/>
      <c r="AL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 ht="25" customHeight="1" spans="1:91">
      <c r="A32" s="15">
        <v>23</v>
      </c>
      <c r="B32" s="16"/>
      <c r="C32" s="17" t="s">
        <v>65</v>
      </c>
      <c r="D32" s="18"/>
      <c r="E32" s="18"/>
      <c r="F32" s="18"/>
      <c r="G32" s="18"/>
      <c r="H32" s="18"/>
      <c r="I32" s="28"/>
      <c r="J32" s="29">
        <v>0</v>
      </c>
      <c r="K32" s="30"/>
      <c r="L32" s="30"/>
      <c r="M32" s="30"/>
      <c r="N32" s="30">
        <v>0</v>
      </c>
      <c r="O32" s="30"/>
      <c r="P32" s="30"/>
      <c r="Q32" s="40"/>
      <c r="R32" s="64"/>
      <c r="S32" s="65"/>
      <c r="T32" s="65"/>
      <c r="U32" s="65"/>
      <c r="V32" s="65"/>
      <c r="W32" s="65"/>
      <c r="X32" s="65"/>
      <c r="Y32" s="77"/>
      <c r="Z32" s="30">
        <f t="shared" si="2"/>
        <v>0</v>
      </c>
      <c r="AA32" s="30"/>
      <c r="AB32" s="30"/>
      <c r="AC32" s="30"/>
      <c r="AD32" s="30">
        <f t="shared" si="3"/>
        <v>0</v>
      </c>
      <c r="AE32" s="30"/>
      <c r="AF32" s="30"/>
      <c r="AG32" s="40"/>
      <c r="AH32" s="1"/>
      <c r="AI32" s="1"/>
      <c r="AJ32" s="1"/>
      <c r="AK32" s="1"/>
      <c r="AL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 ht="25" customHeight="1" spans="1:91">
      <c r="A33" s="19">
        <v>24</v>
      </c>
      <c r="B33" s="20"/>
      <c r="C33" s="21" t="s">
        <v>66</v>
      </c>
      <c r="D33" s="22"/>
      <c r="E33" s="22"/>
      <c r="F33" s="22"/>
      <c r="G33" s="22"/>
      <c r="H33" s="22"/>
      <c r="I33" s="31"/>
      <c r="J33" s="32">
        <v>0</v>
      </c>
      <c r="K33" s="33"/>
      <c r="L33" s="33"/>
      <c r="M33" s="33"/>
      <c r="N33" s="33">
        <v>0</v>
      </c>
      <c r="O33" s="33"/>
      <c r="P33" s="33"/>
      <c r="Q33" s="43"/>
      <c r="R33" s="44">
        <v>26095.43</v>
      </c>
      <c r="S33" s="45"/>
      <c r="T33" s="45"/>
      <c r="U33" s="45"/>
      <c r="V33" s="45">
        <f t="shared" ref="V33:V37" si="4">SUM(R33)</f>
        <v>26095.43</v>
      </c>
      <c r="W33" s="45"/>
      <c r="X33" s="45"/>
      <c r="Y33" s="71"/>
      <c r="Z33" s="33">
        <f t="shared" si="2"/>
        <v>0</v>
      </c>
      <c r="AA33" s="33"/>
      <c r="AB33" s="33"/>
      <c r="AC33" s="33"/>
      <c r="AD33" s="33">
        <f t="shared" si="3"/>
        <v>0</v>
      </c>
      <c r="AE33" s="33"/>
      <c r="AF33" s="33"/>
      <c r="AG33" s="43"/>
      <c r="AH33" s="1"/>
      <c r="AI33" s="1"/>
      <c r="AJ33" s="1"/>
      <c r="AK33" s="1"/>
      <c r="AL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 ht="25" customHeight="1" spans="1:91">
      <c r="A34" s="15">
        <v>25</v>
      </c>
      <c r="B34" s="16"/>
      <c r="C34" s="17" t="s">
        <v>67</v>
      </c>
      <c r="D34" s="18"/>
      <c r="E34" s="18"/>
      <c r="F34" s="18"/>
      <c r="G34" s="18"/>
      <c r="H34" s="18"/>
      <c r="I34" s="28"/>
      <c r="J34" s="29">
        <v>0</v>
      </c>
      <c r="K34" s="30"/>
      <c r="L34" s="30"/>
      <c r="M34" s="30"/>
      <c r="N34" s="30">
        <v>0</v>
      </c>
      <c r="O34" s="30"/>
      <c r="P34" s="30"/>
      <c r="Q34" s="40"/>
      <c r="R34" s="41">
        <v>1234385.32</v>
      </c>
      <c r="S34" s="42"/>
      <c r="T34" s="42"/>
      <c r="U34" s="42"/>
      <c r="V34" s="42">
        <f t="shared" si="4"/>
        <v>1234385.32</v>
      </c>
      <c r="W34" s="42"/>
      <c r="X34" s="42"/>
      <c r="Y34" s="70"/>
      <c r="Z34" s="30">
        <f t="shared" si="2"/>
        <v>0</v>
      </c>
      <c r="AA34" s="30"/>
      <c r="AB34" s="30"/>
      <c r="AC34" s="30"/>
      <c r="AD34" s="30">
        <f t="shared" si="3"/>
        <v>0</v>
      </c>
      <c r="AE34" s="30"/>
      <c r="AF34" s="30"/>
      <c r="AG34" s="40"/>
      <c r="AH34" s="1"/>
      <c r="AI34" s="1"/>
      <c r="AJ34" s="1"/>
      <c r="AK34" s="1"/>
      <c r="AL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</row>
    <row r="35" ht="25" customHeight="1" spans="1:91">
      <c r="A35" s="19">
        <v>26</v>
      </c>
      <c r="B35" s="20"/>
      <c r="C35" s="21" t="s">
        <v>68</v>
      </c>
      <c r="D35" s="22"/>
      <c r="E35" s="22"/>
      <c r="F35" s="22"/>
      <c r="G35" s="22"/>
      <c r="H35" s="22"/>
      <c r="I35" s="31"/>
      <c r="J35" s="32">
        <v>0</v>
      </c>
      <c r="K35" s="33"/>
      <c r="L35" s="33"/>
      <c r="M35" s="33"/>
      <c r="N35" s="33">
        <v>0</v>
      </c>
      <c r="O35" s="33"/>
      <c r="P35" s="33"/>
      <c r="Q35" s="43"/>
      <c r="R35" s="54"/>
      <c r="S35" s="55"/>
      <c r="T35" s="55"/>
      <c r="U35" s="55"/>
      <c r="V35" s="55"/>
      <c r="W35" s="55"/>
      <c r="X35" s="55"/>
      <c r="Y35" s="78"/>
      <c r="Z35" s="33">
        <f t="shared" si="2"/>
        <v>0</v>
      </c>
      <c r="AA35" s="33"/>
      <c r="AB35" s="33"/>
      <c r="AC35" s="33"/>
      <c r="AD35" s="33">
        <f t="shared" si="3"/>
        <v>0</v>
      </c>
      <c r="AE35" s="33"/>
      <c r="AF35" s="33"/>
      <c r="AG35" s="43"/>
      <c r="AH35" s="1"/>
      <c r="AI35" s="1"/>
      <c r="AJ35" s="1"/>
      <c r="AK35" s="1"/>
      <c r="AL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</row>
    <row r="36" ht="25" customHeight="1" spans="1:33">
      <c r="A36" s="15">
        <v>27</v>
      </c>
      <c r="B36" s="16"/>
      <c r="C36" s="17" t="s">
        <v>69</v>
      </c>
      <c r="D36" s="18"/>
      <c r="E36" s="18"/>
      <c r="F36" s="18"/>
      <c r="G36" s="18"/>
      <c r="H36" s="18"/>
      <c r="I36" s="28"/>
      <c r="J36" s="29">
        <v>0</v>
      </c>
      <c r="K36" s="30"/>
      <c r="L36" s="30"/>
      <c r="M36" s="30"/>
      <c r="N36" s="30">
        <v>0</v>
      </c>
      <c r="O36" s="30"/>
      <c r="P36" s="30"/>
      <c r="Q36" s="40"/>
      <c r="R36" s="46"/>
      <c r="S36" s="47"/>
      <c r="T36" s="47"/>
      <c r="U36" s="47"/>
      <c r="V36" s="47"/>
      <c r="W36" s="47"/>
      <c r="X36" s="47"/>
      <c r="Y36" s="72"/>
      <c r="Z36" s="30">
        <f t="shared" si="2"/>
        <v>0</v>
      </c>
      <c r="AA36" s="30"/>
      <c r="AB36" s="30"/>
      <c r="AC36" s="30"/>
      <c r="AD36" s="30">
        <f t="shared" ref="AD36:AD42" si="5">SUM(N36-J36+V36-R36+Z36)</f>
        <v>0</v>
      </c>
      <c r="AE36" s="30"/>
      <c r="AF36" s="30"/>
      <c r="AG36" s="40"/>
    </row>
    <row r="37" ht="25" customHeight="1" spans="1:33">
      <c r="A37" s="19">
        <v>28</v>
      </c>
      <c r="B37" s="20"/>
      <c r="C37" s="21" t="s">
        <v>70</v>
      </c>
      <c r="D37" s="22"/>
      <c r="E37" s="22"/>
      <c r="F37" s="22"/>
      <c r="G37" s="22"/>
      <c r="H37" s="22"/>
      <c r="I37" s="31"/>
      <c r="J37" s="32">
        <v>0</v>
      </c>
      <c r="K37" s="33"/>
      <c r="L37" s="33"/>
      <c r="M37" s="33"/>
      <c r="N37" s="33">
        <v>0</v>
      </c>
      <c r="O37" s="33"/>
      <c r="P37" s="33"/>
      <c r="Q37" s="43"/>
      <c r="R37" s="44">
        <v>200112.09</v>
      </c>
      <c r="S37" s="45"/>
      <c r="T37" s="45"/>
      <c r="U37" s="45"/>
      <c r="V37" s="45">
        <f t="shared" si="4"/>
        <v>200112.09</v>
      </c>
      <c r="W37" s="45"/>
      <c r="X37" s="45"/>
      <c r="Y37" s="71"/>
      <c r="Z37" s="33">
        <f t="shared" si="2"/>
        <v>0</v>
      </c>
      <c r="AA37" s="33"/>
      <c r="AB37" s="33"/>
      <c r="AC37" s="33"/>
      <c r="AD37" s="33">
        <f t="shared" si="5"/>
        <v>0</v>
      </c>
      <c r="AE37" s="33"/>
      <c r="AF37" s="33"/>
      <c r="AG37" s="43"/>
    </row>
    <row r="38" ht="25" customHeight="1" spans="1:33">
      <c r="A38" s="15">
        <v>29</v>
      </c>
      <c r="B38" s="16"/>
      <c r="C38" s="17" t="s">
        <v>71</v>
      </c>
      <c r="D38" s="18"/>
      <c r="E38" s="18"/>
      <c r="F38" s="18"/>
      <c r="G38" s="18"/>
      <c r="H38" s="18"/>
      <c r="I38" s="28"/>
      <c r="J38" s="29">
        <v>0</v>
      </c>
      <c r="K38" s="30"/>
      <c r="L38" s="30"/>
      <c r="M38" s="30"/>
      <c r="N38" s="30">
        <v>0</v>
      </c>
      <c r="O38" s="30"/>
      <c r="P38" s="30"/>
      <c r="Q38" s="40"/>
      <c r="R38" s="41"/>
      <c r="S38" s="42"/>
      <c r="T38" s="42"/>
      <c r="U38" s="42"/>
      <c r="V38" s="42"/>
      <c r="W38" s="42"/>
      <c r="X38" s="42"/>
      <c r="Y38" s="70"/>
      <c r="Z38" s="30">
        <f t="shared" si="2"/>
        <v>0</v>
      </c>
      <c r="AA38" s="30"/>
      <c r="AB38" s="30"/>
      <c r="AC38" s="30"/>
      <c r="AD38" s="30">
        <f t="shared" si="5"/>
        <v>0</v>
      </c>
      <c r="AE38" s="30"/>
      <c r="AF38" s="30"/>
      <c r="AG38" s="40"/>
    </row>
    <row r="39" ht="25" customHeight="1" spans="1:33">
      <c r="A39" s="19">
        <v>30</v>
      </c>
      <c r="B39" s="20"/>
      <c r="C39" s="21" t="s">
        <v>72</v>
      </c>
      <c r="D39" s="22"/>
      <c r="E39" s="22"/>
      <c r="F39" s="22"/>
      <c r="G39" s="22"/>
      <c r="H39" s="22"/>
      <c r="I39" s="31"/>
      <c r="J39" s="32">
        <v>0</v>
      </c>
      <c r="K39" s="33"/>
      <c r="L39" s="33"/>
      <c r="M39" s="33"/>
      <c r="N39" s="33">
        <v>0</v>
      </c>
      <c r="O39" s="33"/>
      <c r="P39" s="33"/>
      <c r="Q39" s="43"/>
      <c r="R39" s="44">
        <v>1026.14</v>
      </c>
      <c r="S39" s="45"/>
      <c r="T39" s="45"/>
      <c r="U39" s="45"/>
      <c r="V39" s="66">
        <f>SUM(R39)</f>
        <v>1026.14</v>
      </c>
      <c r="W39" s="66"/>
      <c r="X39" s="66"/>
      <c r="Y39" s="79"/>
      <c r="Z39" s="33">
        <f t="shared" si="2"/>
        <v>0</v>
      </c>
      <c r="AA39" s="33"/>
      <c r="AB39" s="33"/>
      <c r="AC39" s="33"/>
      <c r="AD39" s="33">
        <f t="shared" si="5"/>
        <v>0</v>
      </c>
      <c r="AE39" s="33"/>
      <c r="AF39" s="33"/>
      <c r="AG39" s="43"/>
    </row>
    <row r="40" ht="25" customHeight="1" spans="1:33">
      <c r="A40" s="15">
        <v>31</v>
      </c>
      <c r="B40" s="16"/>
      <c r="C40" s="17" t="s">
        <v>73</v>
      </c>
      <c r="D40" s="18"/>
      <c r="E40" s="18"/>
      <c r="F40" s="18"/>
      <c r="G40" s="18"/>
      <c r="H40" s="18"/>
      <c r="I40" s="28"/>
      <c r="J40" s="29">
        <v>0</v>
      </c>
      <c r="K40" s="30"/>
      <c r="L40" s="30"/>
      <c r="M40" s="30"/>
      <c r="N40" s="30">
        <v>0</v>
      </c>
      <c r="O40" s="30"/>
      <c r="P40" s="30"/>
      <c r="Q40" s="40"/>
      <c r="R40" s="41">
        <v>81907.3</v>
      </c>
      <c r="S40" s="42"/>
      <c r="T40" s="42"/>
      <c r="U40" s="42"/>
      <c r="V40" s="67">
        <f>SUM(R40)</f>
        <v>81907.3</v>
      </c>
      <c r="W40" s="67"/>
      <c r="X40" s="67"/>
      <c r="Y40" s="80"/>
      <c r="Z40" s="30">
        <f t="shared" si="2"/>
        <v>0</v>
      </c>
      <c r="AA40" s="30"/>
      <c r="AB40" s="30"/>
      <c r="AC40" s="30"/>
      <c r="AD40" s="30">
        <f t="shared" si="5"/>
        <v>0</v>
      </c>
      <c r="AE40" s="30"/>
      <c r="AF40" s="30"/>
      <c r="AG40" s="40"/>
    </row>
    <row r="41" ht="25" customHeight="1" spans="1:33">
      <c r="A41" s="19">
        <v>32</v>
      </c>
      <c r="B41" s="20"/>
      <c r="C41" s="21" t="s">
        <v>74</v>
      </c>
      <c r="D41" s="22"/>
      <c r="E41" s="22"/>
      <c r="F41" s="22"/>
      <c r="G41" s="22"/>
      <c r="H41" s="22"/>
      <c r="I41" s="31"/>
      <c r="J41" s="32">
        <v>0</v>
      </c>
      <c r="K41" s="33"/>
      <c r="L41" s="33"/>
      <c r="M41" s="33"/>
      <c r="N41" s="33">
        <v>0</v>
      </c>
      <c r="O41" s="33"/>
      <c r="P41" s="33"/>
      <c r="Q41" s="43"/>
      <c r="R41" s="54"/>
      <c r="S41" s="55"/>
      <c r="T41" s="55"/>
      <c r="U41" s="55"/>
      <c r="V41" s="55"/>
      <c r="W41" s="55"/>
      <c r="X41" s="55"/>
      <c r="Y41" s="78"/>
      <c r="Z41" s="33">
        <f t="shared" si="2"/>
        <v>0</v>
      </c>
      <c r="AA41" s="33"/>
      <c r="AB41" s="33"/>
      <c r="AC41" s="33"/>
      <c r="AD41" s="33">
        <f t="shared" si="5"/>
        <v>0</v>
      </c>
      <c r="AE41" s="33"/>
      <c r="AF41" s="33"/>
      <c r="AG41" s="43"/>
    </row>
    <row r="42" ht="25" customHeight="1" spans="1:33">
      <c r="A42" s="15">
        <v>33</v>
      </c>
      <c r="B42" s="16"/>
      <c r="C42" s="17" t="s">
        <v>75</v>
      </c>
      <c r="D42" s="18"/>
      <c r="E42" s="18"/>
      <c r="F42" s="18"/>
      <c r="G42" s="18"/>
      <c r="H42" s="18"/>
      <c r="I42" s="28"/>
      <c r="J42" s="29">
        <v>0</v>
      </c>
      <c r="K42" s="30"/>
      <c r="L42" s="30"/>
      <c r="M42" s="30"/>
      <c r="N42" s="30">
        <v>0</v>
      </c>
      <c r="O42" s="30"/>
      <c r="P42" s="30"/>
      <c r="Q42" s="40"/>
      <c r="R42" s="46"/>
      <c r="S42" s="47"/>
      <c r="T42" s="47"/>
      <c r="U42" s="47"/>
      <c r="V42" s="47"/>
      <c r="W42" s="47"/>
      <c r="X42" s="47"/>
      <c r="Y42" s="72"/>
      <c r="Z42" s="30">
        <f t="shared" si="2"/>
        <v>0</v>
      </c>
      <c r="AA42" s="30"/>
      <c r="AB42" s="30"/>
      <c r="AC42" s="30"/>
      <c r="AD42" s="30">
        <f t="shared" si="5"/>
        <v>0</v>
      </c>
      <c r="AE42" s="30"/>
      <c r="AF42" s="30"/>
      <c r="AG42" s="40"/>
    </row>
    <row r="43" ht="25" customHeight="1" spans="1:33">
      <c r="A43" s="19">
        <v>34</v>
      </c>
      <c r="B43" s="20"/>
      <c r="C43" s="21" t="s">
        <v>76</v>
      </c>
      <c r="D43" s="22"/>
      <c r="E43" s="22"/>
      <c r="F43" s="22"/>
      <c r="G43" s="22"/>
      <c r="H43" s="22"/>
      <c r="I43" s="31"/>
      <c r="J43" s="32">
        <f>SUM(J10:J42)</f>
        <v>3696288.01093296</v>
      </c>
      <c r="K43" s="33"/>
      <c r="L43" s="33"/>
      <c r="M43" s="33"/>
      <c r="N43" s="33">
        <f>SUM(N10:N42)</f>
        <v>3696288.01219837</v>
      </c>
      <c r="O43" s="33"/>
      <c r="P43" s="33"/>
      <c r="Q43" s="43"/>
      <c r="R43" s="68">
        <f>SUM(R10:R42)</f>
        <v>8515723.00865854</v>
      </c>
      <c r="S43" s="69"/>
      <c r="T43" s="69"/>
      <c r="U43" s="69"/>
      <c r="V43" s="69">
        <f>SUM(V10:V42)</f>
        <v>8515723.00865854</v>
      </c>
      <c r="W43" s="69"/>
      <c r="X43" s="69"/>
      <c r="Y43" s="81"/>
      <c r="Z43" s="69">
        <f>SUM(Z10:Z30)</f>
        <v>3838059.49977919</v>
      </c>
      <c r="AA43" s="69"/>
      <c r="AB43" s="69"/>
      <c r="AC43" s="69"/>
      <c r="AD43" s="82">
        <f>SUM(AD10:AD30)</f>
        <v>3838059.5010446</v>
      </c>
      <c r="AE43" s="82"/>
      <c r="AF43" s="82"/>
      <c r="AG43" s="83"/>
    </row>
    <row r="44" ht="25" customHeight="1" spans="1:33">
      <c r="A44" s="2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84"/>
    </row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</sheetData>
  <mergeCells count="319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J8:Q8"/>
    <mergeCell ref="R8:Y8"/>
    <mergeCell ref="Z8:AG8"/>
    <mergeCell ref="J9:M9"/>
    <mergeCell ref="N9:Q9"/>
    <mergeCell ref="R9:U9"/>
    <mergeCell ref="V9:Y9"/>
    <mergeCell ref="Z9:AC9"/>
    <mergeCell ref="AD9:AG9"/>
    <mergeCell ref="A10:B10"/>
    <mergeCell ref="C10:I10"/>
    <mergeCell ref="J10:M10"/>
    <mergeCell ref="N10:Q10"/>
    <mergeCell ref="R10:U10"/>
    <mergeCell ref="V10:Y10"/>
    <mergeCell ref="Z10:AC10"/>
    <mergeCell ref="AD10:AG10"/>
    <mergeCell ref="A11:B11"/>
    <mergeCell ref="C11:I11"/>
    <mergeCell ref="J11:M11"/>
    <mergeCell ref="N11:Q11"/>
    <mergeCell ref="R11:U11"/>
    <mergeCell ref="V11:Y11"/>
    <mergeCell ref="Z11:AC11"/>
    <mergeCell ref="AD11:AG11"/>
    <mergeCell ref="A12:B12"/>
    <mergeCell ref="C12:I12"/>
    <mergeCell ref="J12:M12"/>
    <mergeCell ref="N12:Q12"/>
    <mergeCell ref="R12:U12"/>
    <mergeCell ref="V12:Y12"/>
    <mergeCell ref="Z12:AC12"/>
    <mergeCell ref="AD12:AG12"/>
    <mergeCell ref="A13:B13"/>
    <mergeCell ref="C13:I13"/>
    <mergeCell ref="J13:M13"/>
    <mergeCell ref="N13:Q13"/>
    <mergeCell ref="R13:U13"/>
    <mergeCell ref="V13:Y13"/>
    <mergeCell ref="Z13:AC13"/>
    <mergeCell ref="AD13:AG13"/>
    <mergeCell ref="A14:B14"/>
    <mergeCell ref="C14:I14"/>
    <mergeCell ref="J14:M14"/>
    <mergeCell ref="N14:Q14"/>
    <mergeCell ref="R14:U14"/>
    <mergeCell ref="V14:Y14"/>
    <mergeCell ref="Z14:AC14"/>
    <mergeCell ref="AD14:AG14"/>
    <mergeCell ref="A15:B15"/>
    <mergeCell ref="C15:I15"/>
    <mergeCell ref="J15:M15"/>
    <mergeCell ref="N15:Q15"/>
    <mergeCell ref="R15:U15"/>
    <mergeCell ref="V15:Y15"/>
    <mergeCell ref="Z15:AC15"/>
    <mergeCell ref="AD15:AG15"/>
    <mergeCell ref="A16:B16"/>
    <mergeCell ref="C16:I16"/>
    <mergeCell ref="J16:M16"/>
    <mergeCell ref="N16:Q16"/>
    <mergeCell ref="R16:U16"/>
    <mergeCell ref="V16:Y16"/>
    <mergeCell ref="Z16:AC16"/>
    <mergeCell ref="AD16:AG16"/>
    <mergeCell ref="A17:B17"/>
    <mergeCell ref="C17:I17"/>
    <mergeCell ref="J17:M17"/>
    <mergeCell ref="N17:Q17"/>
    <mergeCell ref="R17:U17"/>
    <mergeCell ref="V17:Y17"/>
    <mergeCell ref="Z17:AC17"/>
    <mergeCell ref="AD17:AG17"/>
    <mergeCell ref="A18:B18"/>
    <mergeCell ref="C18:I18"/>
    <mergeCell ref="J18:M18"/>
    <mergeCell ref="N18:Q18"/>
    <mergeCell ref="R18:U18"/>
    <mergeCell ref="V18:Y18"/>
    <mergeCell ref="Z18:AC18"/>
    <mergeCell ref="AD18:AG18"/>
    <mergeCell ref="A19:B19"/>
    <mergeCell ref="C19:I19"/>
    <mergeCell ref="J19:M19"/>
    <mergeCell ref="N19:Q19"/>
    <mergeCell ref="R19:U19"/>
    <mergeCell ref="V19:Y19"/>
    <mergeCell ref="Z19:AC19"/>
    <mergeCell ref="AD19:AG19"/>
    <mergeCell ref="A20:B20"/>
    <mergeCell ref="C20:I20"/>
    <mergeCell ref="J20:M20"/>
    <mergeCell ref="N20:Q20"/>
    <mergeCell ref="R20:U20"/>
    <mergeCell ref="V20:Y20"/>
    <mergeCell ref="Z20:AC20"/>
    <mergeCell ref="AD20:AG20"/>
    <mergeCell ref="A21:B21"/>
    <mergeCell ref="C21:I21"/>
    <mergeCell ref="J21:M21"/>
    <mergeCell ref="N21:Q21"/>
    <mergeCell ref="R21:U21"/>
    <mergeCell ref="V21:Y21"/>
    <mergeCell ref="Z21:AC21"/>
    <mergeCell ref="AD21:AG21"/>
    <mergeCell ref="A22:B22"/>
    <mergeCell ref="C22:I22"/>
    <mergeCell ref="J22:M22"/>
    <mergeCell ref="N22:Q22"/>
    <mergeCell ref="R22:U22"/>
    <mergeCell ref="V22:Y22"/>
    <mergeCell ref="Z22:AC22"/>
    <mergeCell ref="AD22:AG22"/>
    <mergeCell ref="A23:B23"/>
    <mergeCell ref="C23:I23"/>
    <mergeCell ref="J23:M23"/>
    <mergeCell ref="N23:Q23"/>
    <mergeCell ref="R23:U23"/>
    <mergeCell ref="V23:Y23"/>
    <mergeCell ref="Z23:AC23"/>
    <mergeCell ref="AD23:AG23"/>
    <mergeCell ref="A24:B24"/>
    <mergeCell ref="C24:I24"/>
    <mergeCell ref="J24:M24"/>
    <mergeCell ref="N24:Q24"/>
    <mergeCell ref="R24:U24"/>
    <mergeCell ref="V24:Y24"/>
    <mergeCell ref="Z24:AC24"/>
    <mergeCell ref="AD24:AG24"/>
    <mergeCell ref="A25:B25"/>
    <mergeCell ref="C25:I25"/>
    <mergeCell ref="J25:M25"/>
    <mergeCell ref="N25:Q25"/>
    <mergeCell ref="R25:U25"/>
    <mergeCell ref="V25:Y25"/>
    <mergeCell ref="Z25:AC25"/>
    <mergeCell ref="AD25:AG25"/>
    <mergeCell ref="A26:B26"/>
    <mergeCell ref="C26:I26"/>
    <mergeCell ref="J26:M26"/>
    <mergeCell ref="N26:Q26"/>
    <mergeCell ref="R26:U26"/>
    <mergeCell ref="V26:Y26"/>
    <mergeCell ref="Z26:AC26"/>
    <mergeCell ref="AD26:AG26"/>
    <mergeCell ref="A27:B27"/>
    <mergeCell ref="C27:I27"/>
    <mergeCell ref="J27:M27"/>
    <mergeCell ref="N27:Q27"/>
    <mergeCell ref="R27:U27"/>
    <mergeCell ref="V27:Y27"/>
    <mergeCell ref="Z27:AC27"/>
    <mergeCell ref="AD27:AG27"/>
    <mergeCell ref="A28:B28"/>
    <mergeCell ref="C28:I28"/>
    <mergeCell ref="J28:M28"/>
    <mergeCell ref="N28:Q28"/>
    <mergeCell ref="R28:U28"/>
    <mergeCell ref="V28:Y28"/>
    <mergeCell ref="Z28:AC28"/>
    <mergeCell ref="AD28:AG28"/>
    <mergeCell ref="A29:B29"/>
    <mergeCell ref="C29:I29"/>
    <mergeCell ref="J29:M29"/>
    <mergeCell ref="N29:Q29"/>
    <mergeCell ref="R29:U29"/>
    <mergeCell ref="V29:Y29"/>
    <mergeCell ref="Z29:AC29"/>
    <mergeCell ref="AD29:AG29"/>
    <mergeCell ref="A30:B30"/>
    <mergeCell ref="C30:I30"/>
    <mergeCell ref="J30:M30"/>
    <mergeCell ref="N30:Q30"/>
    <mergeCell ref="R30:U30"/>
    <mergeCell ref="V30:Y30"/>
    <mergeCell ref="Z30:AC30"/>
    <mergeCell ref="AD30:AG30"/>
    <mergeCell ref="A31:B31"/>
    <mergeCell ref="C31:I31"/>
    <mergeCell ref="J31:M31"/>
    <mergeCell ref="N31:Q31"/>
    <mergeCell ref="R31:U31"/>
    <mergeCell ref="V31:Y31"/>
    <mergeCell ref="Z31:AC31"/>
    <mergeCell ref="AD31:AG31"/>
    <mergeCell ref="A32:B32"/>
    <mergeCell ref="C32:I32"/>
    <mergeCell ref="J32:M32"/>
    <mergeCell ref="N32:Q32"/>
    <mergeCell ref="R32:U32"/>
    <mergeCell ref="V32:Y32"/>
    <mergeCell ref="Z32:AC32"/>
    <mergeCell ref="AD32:AG32"/>
    <mergeCell ref="A33:B33"/>
    <mergeCell ref="C33:I33"/>
    <mergeCell ref="J33:M33"/>
    <mergeCell ref="N33:Q33"/>
    <mergeCell ref="R33:U33"/>
    <mergeCell ref="V33:Y33"/>
    <mergeCell ref="Z33:AC33"/>
    <mergeCell ref="AD33:AG33"/>
    <mergeCell ref="A34:B34"/>
    <mergeCell ref="C34:I34"/>
    <mergeCell ref="J34:M34"/>
    <mergeCell ref="N34:Q34"/>
    <mergeCell ref="R34:U34"/>
    <mergeCell ref="V34:Y34"/>
    <mergeCell ref="Z34:AC34"/>
    <mergeCell ref="AD34:AG34"/>
    <mergeCell ref="A35:B35"/>
    <mergeCell ref="C35:I35"/>
    <mergeCell ref="J35:M35"/>
    <mergeCell ref="N35:Q35"/>
    <mergeCell ref="R35:U35"/>
    <mergeCell ref="V35:Y35"/>
    <mergeCell ref="Z35:AC35"/>
    <mergeCell ref="AD35:AG35"/>
    <mergeCell ref="A36:B36"/>
    <mergeCell ref="C36:I36"/>
    <mergeCell ref="J36:M36"/>
    <mergeCell ref="N36:Q36"/>
    <mergeCell ref="R36:U36"/>
    <mergeCell ref="V36:Y36"/>
    <mergeCell ref="Z36:AC36"/>
    <mergeCell ref="AD36:AG36"/>
    <mergeCell ref="A37:B37"/>
    <mergeCell ref="C37:I37"/>
    <mergeCell ref="J37:M37"/>
    <mergeCell ref="N37:Q37"/>
    <mergeCell ref="R37:U37"/>
    <mergeCell ref="V37:Y37"/>
    <mergeCell ref="Z37:AC37"/>
    <mergeCell ref="AD37:AG37"/>
    <mergeCell ref="A38:B38"/>
    <mergeCell ref="C38:I38"/>
    <mergeCell ref="J38:M38"/>
    <mergeCell ref="N38:Q38"/>
    <mergeCell ref="R38:U38"/>
    <mergeCell ref="V38:Y38"/>
    <mergeCell ref="Z38:AC38"/>
    <mergeCell ref="AD38:AG38"/>
    <mergeCell ref="A39:B39"/>
    <mergeCell ref="C39:I39"/>
    <mergeCell ref="J39:M39"/>
    <mergeCell ref="N39:Q39"/>
    <mergeCell ref="R39:U39"/>
    <mergeCell ref="V39:Y39"/>
    <mergeCell ref="Z39:AC39"/>
    <mergeCell ref="AD39:AG39"/>
    <mergeCell ref="A40:B40"/>
    <mergeCell ref="C40:I40"/>
    <mergeCell ref="J40:M40"/>
    <mergeCell ref="N40:Q40"/>
    <mergeCell ref="R40:U40"/>
    <mergeCell ref="V40:Y40"/>
    <mergeCell ref="Z40:AC40"/>
    <mergeCell ref="AD40:AG40"/>
    <mergeCell ref="A41:B41"/>
    <mergeCell ref="C41:I41"/>
    <mergeCell ref="J41:M41"/>
    <mergeCell ref="N41:Q41"/>
    <mergeCell ref="R41:U41"/>
    <mergeCell ref="V41:Y41"/>
    <mergeCell ref="Z41:AC41"/>
    <mergeCell ref="AD41:AG41"/>
    <mergeCell ref="A42:B42"/>
    <mergeCell ref="C42:I42"/>
    <mergeCell ref="J42:M42"/>
    <mergeCell ref="N42:Q42"/>
    <mergeCell ref="R42:U42"/>
    <mergeCell ref="V42:Y42"/>
    <mergeCell ref="Z42:AC42"/>
    <mergeCell ref="AD42:AG42"/>
    <mergeCell ref="A43:B43"/>
    <mergeCell ref="C43:I43"/>
    <mergeCell ref="J43:M43"/>
    <mergeCell ref="N43:Q43"/>
    <mergeCell ref="R43:U43"/>
    <mergeCell ref="V43:Y43"/>
    <mergeCell ref="Z43:AC43"/>
    <mergeCell ref="AD43:AG43"/>
    <mergeCell ref="A8:B9"/>
    <mergeCell ref="C8:I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主营业务收入损益表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2021-04-01T08:11:24Z</dcterms:created>
  <dcterms:modified xsi:type="dcterms:W3CDTF">2021-04-01T09:09:52Z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551AD336FC2C47A5BE43EC6BDD0DB43D</vt:lpwstr>
  </property>
  <property fmtid="{D5CDD505-2E9C-101B-9397-08002B2CF9AE}" pid="3" name="KSOProductBuildVer">
    <vt:lpwstr>2052-11.1.0.10356</vt:lpwstr>
  </property>
</Properties>
</file>