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公账7288" sheetId="1" r:id="rId1"/>
    <sheet name="私账2688" sheetId="2" r:id="rId2"/>
    <sheet name="微信公" sheetId="3" r:id="rId3"/>
    <sheet name="微信私" sheetId="4" r:id="rId4"/>
    <sheet name="支付宝公" sheetId="5" r:id="rId5"/>
    <sheet name="支付宝私" sheetId="8" r:id="rId6"/>
    <sheet name="现金" sheetId="7" r:id="rId7"/>
  </sheets>
  <calcPr calcId="144525"/>
</workbook>
</file>

<file path=xl/sharedStrings.xml><?xml version="1.0" encoding="utf-8"?>
<sst xmlns="http://schemas.openxmlformats.org/spreadsheetml/2006/main" count="1102" uniqueCount="89">
  <si>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</si>
  <si>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</si>
  <si>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</si>
  <si>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</si>
  <si>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</si>
  <si>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</si>
  <si>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</si>
  <si>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</si>
  <si>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</si>
  <si>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</si>
  <si>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</si>
  <si>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</si>
  <si>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r>
      <rPr>
        <b/>
        <sz val="10"/>
        <color theme="1"/>
        <rFont val="Arial"/>
        <charset val="134"/>
      </rPr>
      <t>2018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</si>
  <si>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2019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</si>
  <si>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0"/>
        <rFont val="Arial"/>
        <charset val="134"/>
      </rPr>
      <t>2020</t>
    </r>
    <r>
      <rPr>
        <b/>
        <sz val="10"/>
        <color theme="0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</si>
  <si>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2021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</si>
  <si>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2022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</si>
  <si>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2023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</si>
  <si>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2024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</si>
  <si>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2025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</si>
  <si>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2026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</si>
  <si>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2027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</si>
  <si>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</si>
  <si>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</si>
  <si>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</si>
  <si>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0"/>
        <rFont val="Arial"/>
        <charset val="134"/>
      </rPr>
      <t>2</t>
    </r>
    <r>
      <rPr>
        <b/>
        <sz val="10"/>
        <color theme="0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</si>
  <si>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</si>
  <si>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</si>
  <si>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</si>
  <si>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</si>
  <si>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</si>
  <si>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</si>
  <si>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</si>
  <si>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</si>
  <si>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</si>
  <si>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宋体"/>
        <charset val="134"/>
      </rPr>
      <t>月</t>
    </r>
  </si>
  <si>
    <t>公账7288</t>
  </si>
  <si>
    <t>私账2388</t>
  </si>
  <si>
    <t>微信公</t>
  </si>
  <si>
    <t>微信私</t>
  </si>
  <si>
    <t>支付宝公</t>
  </si>
  <si>
    <t>支付宝私</t>
  </si>
  <si>
    <t>现金</t>
  </si>
  <si>
    <r>
      <rPr>
        <b/>
        <sz val="10"/>
        <color theme="0"/>
        <rFont val="宋体"/>
        <charset val="134"/>
      </rPr>
      <t>序号</t>
    </r>
  </si>
  <si>
    <t>发生日期</t>
  </si>
  <si>
    <r>
      <rPr>
        <b/>
        <sz val="10"/>
        <color theme="0"/>
        <rFont val="宋体"/>
        <charset val="134"/>
      </rPr>
      <t>凭证号</t>
    </r>
  </si>
  <si>
    <r>
      <rPr>
        <b/>
        <sz val="10"/>
        <color theme="0"/>
        <rFont val="宋体"/>
        <charset val="134"/>
      </rPr>
      <t>摘要</t>
    </r>
  </si>
  <si>
    <t>会计科目</t>
  </si>
  <si>
    <r>
      <rPr>
        <b/>
        <sz val="10"/>
        <color theme="0"/>
        <rFont val="宋体"/>
        <charset val="134"/>
      </rPr>
      <t>明细科目</t>
    </r>
  </si>
  <si>
    <r>
      <rPr>
        <b/>
        <sz val="10"/>
        <color theme="0"/>
        <rFont val="宋体"/>
        <charset val="134"/>
      </rPr>
      <t>借（收入）</t>
    </r>
  </si>
  <si>
    <r>
      <rPr>
        <b/>
        <sz val="10"/>
        <color theme="0"/>
        <rFont val="宋体"/>
        <charset val="134"/>
      </rPr>
      <t>贷（支出）</t>
    </r>
  </si>
  <si>
    <r>
      <rPr>
        <b/>
        <sz val="10"/>
        <color theme="0"/>
        <rFont val="宋体"/>
        <charset val="134"/>
      </rPr>
      <t>合计金额</t>
    </r>
    <r>
      <rPr>
        <b/>
        <sz val="10"/>
        <color theme="0"/>
        <rFont val="Arial"/>
        <charset val="134"/>
      </rPr>
      <t>CNY</t>
    </r>
  </si>
  <si>
    <t>状态</t>
  </si>
  <si>
    <r>
      <rPr>
        <b/>
        <sz val="10"/>
        <color theme="0"/>
        <rFont val="宋体"/>
        <charset val="134"/>
      </rPr>
      <t>借</t>
    </r>
  </si>
  <si>
    <t>CNY</t>
  </si>
  <si>
    <r>
      <rPr>
        <b/>
        <sz val="10"/>
        <color theme="0"/>
        <rFont val="宋体"/>
        <charset val="134"/>
      </rPr>
      <t>贷</t>
    </r>
  </si>
  <si>
    <t>CAN12345568</t>
  </si>
  <si>
    <r>
      <rPr>
        <sz val="9"/>
        <rFont val="Arial"/>
        <charset val="134"/>
      </rPr>
      <t>20</t>
    </r>
    <r>
      <rPr>
        <sz val="9"/>
        <rFont val="宋体"/>
        <charset val="134"/>
      </rPr>
      <t>年</t>
    </r>
    <r>
      <rPr>
        <sz val="9"/>
        <rFont val="Arial"/>
        <charset val="134"/>
      </rPr>
      <t>1</t>
    </r>
    <r>
      <rPr>
        <sz val="9"/>
        <rFont val="宋体"/>
        <charset val="134"/>
      </rPr>
      <t>月</t>
    </r>
    <r>
      <rPr>
        <sz val="9"/>
        <rFont val="Arial"/>
        <charset val="134"/>
      </rPr>
      <t>-10</t>
    </r>
    <r>
      <rPr>
        <sz val="9"/>
        <rFont val="宋体"/>
        <charset val="134"/>
      </rPr>
      <t>月收到运费</t>
    </r>
  </si>
  <si>
    <r>
      <rPr>
        <sz val="9"/>
        <color theme="1"/>
        <rFont val="宋体"/>
        <charset val="134"/>
      </rPr>
      <t>其他货币资金</t>
    </r>
  </si>
  <si>
    <r>
      <rPr>
        <sz val="9"/>
        <rFont val="宋体"/>
        <charset val="134"/>
      </rPr>
      <t>企业支付宝</t>
    </r>
  </si>
  <si>
    <r>
      <rPr>
        <sz val="9"/>
        <rFont val="宋体"/>
        <charset val="134"/>
      </rPr>
      <t>主营业务收入</t>
    </r>
  </si>
  <si>
    <t>待审核</t>
  </si>
  <si>
    <t>CAN12345569</t>
  </si>
  <si>
    <r>
      <rPr>
        <sz val="9"/>
        <rFont val="Arial"/>
        <charset val="134"/>
      </rPr>
      <t>10</t>
    </r>
    <r>
      <rPr>
        <sz val="9"/>
        <rFont val="宋体"/>
        <charset val="134"/>
      </rPr>
      <t>月份支付：</t>
    </r>
    <r>
      <rPr>
        <sz val="9"/>
        <rFont val="Arial"/>
        <charset val="134"/>
      </rPr>
      <t xml:space="preserve">
1</t>
    </r>
    <r>
      <rPr>
        <sz val="9"/>
        <rFont val="宋体"/>
        <charset val="134"/>
      </rPr>
      <t>、一年</t>
    </r>
    <r>
      <rPr>
        <sz val="9"/>
        <rFont val="Arial"/>
        <charset val="134"/>
      </rPr>
      <t>VPN</t>
    </r>
    <r>
      <rPr>
        <sz val="9"/>
        <rFont val="宋体"/>
        <charset val="134"/>
      </rPr>
      <t>（翻墙）费</t>
    </r>
    <r>
      <rPr>
        <sz val="9"/>
        <rFont val="Arial"/>
        <charset val="134"/>
      </rPr>
      <t xml:space="preserve">
2</t>
    </r>
    <r>
      <rPr>
        <sz val="9"/>
        <rFont val="宋体"/>
        <charset val="134"/>
      </rPr>
      <t>、客户要求退货退款</t>
    </r>
  </si>
  <si>
    <r>
      <rPr>
        <sz val="9"/>
        <rFont val="宋体"/>
        <charset val="134"/>
      </rPr>
      <t>营业费用</t>
    </r>
  </si>
  <si>
    <r>
      <rPr>
        <sz val="9"/>
        <rFont val="宋体"/>
        <charset val="134"/>
      </rPr>
      <t>一年</t>
    </r>
    <r>
      <rPr>
        <sz val="9"/>
        <rFont val="Arial"/>
        <charset val="134"/>
      </rPr>
      <t>VPN</t>
    </r>
    <r>
      <rPr>
        <sz val="9"/>
        <rFont val="宋体"/>
        <charset val="134"/>
      </rPr>
      <t>（翻墙）费</t>
    </r>
  </si>
  <si>
    <r>
      <rPr>
        <sz val="9"/>
        <color theme="1"/>
        <rFont val="宋体"/>
        <charset val="134"/>
      </rPr>
      <t>企业支付宝</t>
    </r>
  </si>
  <si>
    <t>CAN12345570</t>
  </si>
  <si>
    <r>
      <rPr>
        <sz val="9"/>
        <color theme="1"/>
        <rFont val="宋体"/>
        <charset val="134"/>
      </rPr>
      <t>营业外支出</t>
    </r>
  </si>
  <si>
    <r>
      <rPr>
        <sz val="9"/>
        <rFont val="宋体"/>
        <charset val="134"/>
      </rPr>
      <t>客户要求退货退款</t>
    </r>
  </si>
  <si>
    <t>CAN12345571</t>
  </si>
  <si>
    <r>
      <rPr>
        <sz val="9"/>
        <rFont val="宋体"/>
        <charset val="134"/>
      </rPr>
      <t>企业支付宝</t>
    </r>
    <r>
      <rPr>
        <sz val="9"/>
        <rFont val="Arial"/>
        <charset val="134"/>
      </rPr>
      <t>10</t>
    </r>
    <r>
      <rPr>
        <sz val="9"/>
        <rFont val="宋体"/>
        <charset val="134"/>
      </rPr>
      <t>月份提现</t>
    </r>
  </si>
  <si>
    <r>
      <rPr>
        <sz val="9"/>
        <color theme="1"/>
        <rFont val="宋体"/>
        <charset val="134"/>
      </rPr>
      <t>支付宝</t>
    </r>
  </si>
  <si>
    <t>CAN12345572</t>
  </si>
  <si>
    <t>CAN12345573</t>
  </si>
  <si>
    <t>CAN12345574</t>
  </si>
  <si>
    <t>CAN12345575</t>
  </si>
  <si>
    <t>CAN12345576</t>
  </si>
  <si>
    <t>CAN12345577</t>
  </si>
  <si>
    <t>CAN12345578</t>
  </si>
  <si>
    <t>CAN12345579</t>
  </si>
  <si>
    <t>CAN12345580</t>
  </si>
  <si>
    <t>CAN12345581</t>
  </si>
  <si>
    <t>CAN12345582</t>
  </si>
  <si>
    <t>CAN12345583</t>
  </si>
  <si>
    <t>CAN12345584</t>
  </si>
  <si>
    <t>CAN12345585</t>
  </si>
  <si>
    <t>CAN12345586</t>
  </si>
  <si>
    <r>
      <rPr>
        <b/>
        <sz val="10"/>
        <color theme="0"/>
        <rFont val="宋体"/>
        <charset val="134"/>
      </rPr>
      <t>科目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</si>
</sst>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sz val="9"/>
      <color theme="1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2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5" borderId="13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17" fillId="12" borderId="11" applyNumberFormat="0" applyAlignment="0" applyProtection="0">
      <alignment vertical="center"/>
    </xf>
    <xf numFmtId="0" fontId="27" fillId="30" borderId="14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22" fontId="8" fillId="4" borderId="1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2" fontId="8" fillId="5" borderId="4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22" fontId="8" fillId="4" borderId="4" xfId="0" applyNumberFormat="1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/>
    </xf>
    <xf numFmtId="176" fontId="8" fillId="4" borderId="2" xfId="0" applyNumberFormat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center" vertical="center"/>
    </xf>
    <xf numFmtId="176" fontId="8" fillId="4" borderId="0" xfId="0" applyNumberFormat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176" fontId="8" fillId="5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76" fontId="8" fillId="4" borderId="8" xfId="0" applyNumberFormat="1" applyFont="1" applyFill="1" applyBorder="1" applyAlignment="1">
      <alignment horizontal="center" vertical="center"/>
    </xf>
    <xf numFmtId="176" fontId="8" fillId="5" borderId="6" xfId="0" applyNumberFormat="1" applyFont="1" applyFill="1" applyBorder="1" applyAlignment="1">
      <alignment horizontal="center" vertical="center"/>
    </xf>
    <xf numFmtId="176" fontId="8" fillId="5" borderId="7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176" fontId="9" fillId="5" borderId="4" xfId="0" applyNumberFormat="1" applyFont="1" applyFill="1" applyBorder="1" applyAlignment="1">
      <alignment horizontal="center" vertical="center"/>
    </xf>
    <xf numFmtId="176" fontId="9" fillId="4" borderId="0" xfId="0" applyNumberFormat="1" applyFont="1" applyFill="1" applyBorder="1" applyAlignment="1">
      <alignment horizontal="center" vertical="center"/>
    </xf>
    <xf numFmtId="176" fontId="9" fillId="4" borderId="4" xfId="0" applyNumberFormat="1" applyFont="1" applyFill="1" applyBorder="1" applyAlignment="1">
      <alignment horizontal="center" vertical="center"/>
    </xf>
    <xf numFmtId="176" fontId="9" fillId="5" borderId="5" xfId="0" applyNumberFormat="1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176" fontId="9" fillId="4" borderId="8" xfId="0" applyNumberFormat="1" applyFont="1" applyFill="1" applyBorder="1" applyAlignment="1">
      <alignment horizontal="center" vertical="center"/>
    </xf>
    <xf numFmtId="176" fontId="9" fillId="5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176" fontId="8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0"/>
  <sheetViews>
    <sheetView tabSelected="1" workbookViewId="0">
      <selection activeCell="A8" sqref="A8:C8"/>
    </sheetView>
  </sheetViews>
  <sheetFormatPr defaultColWidth="9" defaultRowHeight="13.5"/>
  <cols>
    <col min="1" max="191" width="3.625" customWidth="1"/>
  </cols>
  <sheetData>
    <row r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/>
    <row r="5" ht="25" customHeight="1" spans="1:24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</row>
    <row r="6" ht="25" customHeight="1" spans="1:24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</row>
    <row r="7" ht="25" customHeight="1"/>
    <row r="8" customFormat="1" ht="25" customHeight="1" spans="1:21">
      <c r="A8" s="47" t="s">
        <v>36</v>
      </c>
      <c r="B8" s="47"/>
      <c r="C8" s="47"/>
      <c r="D8" s="10" t="s">
        <v>37</v>
      </c>
      <c r="E8" s="10"/>
      <c r="F8" s="10"/>
      <c r="G8" s="10" t="s">
        <v>38</v>
      </c>
      <c r="H8" s="10"/>
      <c r="I8" s="10"/>
      <c r="J8" s="10" t="s">
        <v>39</v>
      </c>
      <c r="K8" s="10"/>
      <c r="L8" s="10"/>
      <c r="M8" s="10" t="s">
        <v>40</v>
      </c>
      <c r="N8" s="10"/>
      <c r="O8" s="10"/>
      <c r="P8" s="10" t="s">
        <v>41</v>
      </c>
      <c r="Q8" s="10"/>
      <c r="R8" s="10"/>
      <c r="S8" s="10" t="s">
        <v>42</v>
      </c>
      <c r="T8" s="10"/>
      <c r="U8" s="10"/>
    </row>
    <row r="9" s="1" customFormat="1" ht="20" customHeight="1" spans="1:66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3" t="s">
        <v>47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84" t="s">
        <v>47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  <c r="BG9" s="84" t="s">
        <v>52</v>
      </c>
      <c r="BH9" s="12"/>
      <c r="BI9" s="12"/>
      <c r="BJ9" s="12"/>
      <c r="BK9" s="11" t="s">
        <v>51</v>
      </c>
      <c r="BL9" s="12"/>
      <c r="BM9" s="12"/>
      <c r="BN9" s="14"/>
    </row>
    <row r="10" s="1" customFormat="1" ht="20" customHeight="1" spans="1:66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  <c r="BG10" s="17"/>
      <c r="BH10" s="17"/>
      <c r="BI10" s="17"/>
      <c r="BJ10" s="17"/>
      <c r="BK10" s="16"/>
      <c r="BL10" s="17"/>
      <c r="BM10" s="17"/>
      <c r="BN10" s="18"/>
    </row>
    <row r="11" ht="25" customHeight="1" spans="1:66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  <c r="BG11" s="85" t="s">
        <v>61</v>
      </c>
      <c r="BH11" s="86"/>
      <c r="BI11" s="86"/>
      <c r="BJ11" s="86"/>
      <c r="BK11" s="58">
        <v>35744.84</v>
      </c>
      <c r="BL11" s="59"/>
      <c r="BM11" s="59"/>
      <c r="BN11" s="71"/>
    </row>
    <row r="12" ht="25" customHeight="1" spans="1:66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SUM(BC11+AE12-AU12)</f>
        <v>35744.84</v>
      </c>
      <c r="BD12" s="74"/>
      <c r="BE12" s="74"/>
      <c r="BF12" s="80"/>
      <c r="BG12" s="74"/>
      <c r="BH12" s="74"/>
      <c r="BI12" s="74"/>
      <c r="BJ12" s="74"/>
      <c r="BK12" s="75">
        <f t="shared" ref="BK12:BK29" si="1">SUM(BK11+AI12-AY12)</f>
        <v>35496.84</v>
      </c>
      <c r="BL12" s="74"/>
      <c r="BM12" s="74"/>
      <c r="BN12" s="80"/>
    </row>
    <row r="13" ht="25" customHeight="1" spans="1:66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35744.84</v>
      </c>
      <c r="BD13" s="76"/>
      <c r="BE13" s="76"/>
      <c r="BF13" s="81"/>
      <c r="BG13" s="76"/>
      <c r="BH13" s="76"/>
      <c r="BI13" s="76"/>
      <c r="BJ13" s="76"/>
      <c r="BK13" s="77">
        <f t="shared" si="1"/>
        <v>34886.84</v>
      </c>
      <c r="BL13" s="76"/>
      <c r="BM13" s="76"/>
      <c r="BN13" s="81"/>
    </row>
    <row r="14" ht="25" customHeight="1" spans="1:66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35744.84</v>
      </c>
      <c r="BD14" s="74"/>
      <c r="BE14" s="74"/>
      <c r="BF14" s="80"/>
      <c r="BG14" s="74"/>
      <c r="BH14" s="74"/>
      <c r="BI14" s="74"/>
      <c r="BJ14" s="74"/>
      <c r="BK14" s="75">
        <f t="shared" si="1"/>
        <v>1886.84</v>
      </c>
      <c r="BL14" s="74"/>
      <c r="BM14" s="74"/>
      <c r="BN14" s="80"/>
    </row>
    <row r="15" ht="25" customHeight="1" spans="1:66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35744.84</v>
      </c>
      <c r="BD15" s="76"/>
      <c r="BE15" s="76"/>
      <c r="BF15" s="81"/>
      <c r="BG15" s="76"/>
      <c r="BH15" s="76"/>
      <c r="BI15" s="76"/>
      <c r="BJ15" s="76"/>
      <c r="BK15" s="77">
        <f t="shared" si="1"/>
        <v>37631.68</v>
      </c>
      <c r="BL15" s="76"/>
      <c r="BM15" s="76"/>
      <c r="BN15" s="81"/>
    </row>
    <row r="16" ht="25" customHeight="1" spans="1:66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35744.84</v>
      </c>
      <c r="BD16" s="74"/>
      <c r="BE16" s="74"/>
      <c r="BF16" s="80"/>
      <c r="BG16" s="74"/>
      <c r="BH16" s="74"/>
      <c r="BI16" s="74"/>
      <c r="BJ16" s="74"/>
      <c r="BK16" s="75">
        <f t="shared" si="1"/>
        <v>37383.68</v>
      </c>
      <c r="BL16" s="74"/>
      <c r="BM16" s="74"/>
      <c r="BN16" s="80"/>
    </row>
    <row r="17" ht="25" customHeight="1" spans="1:66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35744.84</v>
      </c>
      <c r="BD17" s="76"/>
      <c r="BE17" s="76"/>
      <c r="BF17" s="81"/>
      <c r="BG17" s="76"/>
      <c r="BH17" s="76"/>
      <c r="BI17" s="76"/>
      <c r="BJ17" s="76"/>
      <c r="BK17" s="77">
        <f t="shared" si="1"/>
        <v>36773.68</v>
      </c>
      <c r="BL17" s="76"/>
      <c r="BM17" s="76"/>
      <c r="BN17" s="81"/>
    </row>
    <row r="18" ht="25" customHeight="1" spans="1:66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35744.84</v>
      </c>
      <c r="BD18" s="74"/>
      <c r="BE18" s="74"/>
      <c r="BF18" s="80"/>
      <c r="BG18" s="74"/>
      <c r="BH18" s="74"/>
      <c r="BI18" s="74"/>
      <c r="BJ18" s="74"/>
      <c r="BK18" s="75">
        <f t="shared" si="1"/>
        <v>3773.67999999999</v>
      </c>
      <c r="BL18" s="74"/>
      <c r="BM18" s="74"/>
      <c r="BN18" s="80"/>
    </row>
    <row r="19" ht="25" customHeight="1" spans="1:66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35744.84</v>
      </c>
      <c r="BD19" s="76"/>
      <c r="BE19" s="76"/>
      <c r="BF19" s="81"/>
      <c r="BG19" s="76"/>
      <c r="BH19" s="76"/>
      <c r="BI19" s="76"/>
      <c r="BJ19" s="76"/>
      <c r="BK19" s="77">
        <f t="shared" si="1"/>
        <v>39518.52</v>
      </c>
      <c r="BL19" s="76"/>
      <c r="BM19" s="76"/>
      <c r="BN19" s="81"/>
    </row>
    <row r="20" ht="25" customHeight="1" spans="1:66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35744.84</v>
      </c>
      <c r="BD20" s="74"/>
      <c r="BE20" s="74"/>
      <c r="BF20" s="80"/>
      <c r="BG20" s="74"/>
      <c r="BH20" s="74"/>
      <c r="BI20" s="74"/>
      <c r="BJ20" s="74"/>
      <c r="BK20" s="75">
        <f t="shared" si="1"/>
        <v>39270.52</v>
      </c>
      <c r="BL20" s="74"/>
      <c r="BM20" s="74"/>
      <c r="BN20" s="80"/>
    </row>
    <row r="21" ht="25" customHeight="1" spans="1:66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35744.84</v>
      </c>
      <c r="BD21" s="76"/>
      <c r="BE21" s="76"/>
      <c r="BF21" s="81"/>
      <c r="BG21" s="76"/>
      <c r="BH21" s="76"/>
      <c r="BI21" s="76"/>
      <c r="BJ21" s="76"/>
      <c r="BK21" s="77">
        <f t="shared" si="1"/>
        <v>38660.52</v>
      </c>
      <c r="BL21" s="76"/>
      <c r="BM21" s="76"/>
      <c r="BN21" s="81"/>
    </row>
    <row r="22" ht="25" customHeight="1" spans="1:66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35744.84</v>
      </c>
      <c r="BD22" s="74"/>
      <c r="BE22" s="74"/>
      <c r="BF22" s="80"/>
      <c r="BG22" s="74"/>
      <c r="BH22" s="74"/>
      <c r="BI22" s="74"/>
      <c r="BJ22" s="74"/>
      <c r="BK22" s="75">
        <f t="shared" si="1"/>
        <v>5660.51999999999</v>
      </c>
      <c r="BL22" s="74"/>
      <c r="BM22" s="74"/>
      <c r="BN22" s="80"/>
    </row>
    <row r="23" ht="25" customHeight="1" spans="1:66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35744.84</v>
      </c>
      <c r="BD23" s="76"/>
      <c r="BE23" s="76"/>
      <c r="BF23" s="81"/>
      <c r="BG23" s="76"/>
      <c r="BH23" s="76"/>
      <c r="BI23" s="76"/>
      <c r="BJ23" s="76"/>
      <c r="BK23" s="77">
        <f t="shared" si="1"/>
        <v>41405.36</v>
      </c>
      <c r="BL23" s="76"/>
      <c r="BM23" s="76"/>
      <c r="BN23" s="81"/>
    </row>
    <row r="24" ht="25" customHeight="1" spans="1:66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35744.84</v>
      </c>
      <c r="BD24" s="74"/>
      <c r="BE24" s="74"/>
      <c r="BF24" s="80"/>
      <c r="BG24" s="74"/>
      <c r="BH24" s="74"/>
      <c r="BI24" s="74"/>
      <c r="BJ24" s="74"/>
      <c r="BK24" s="75">
        <f t="shared" si="1"/>
        <v>41157.36</v>
      </c>
      <c r="BL24" s="74"/>
      <c r="BM24" s="74"/>
      <c r="BN24" s="80"/>
    </row>
    <row r="25" ht="25" customHeight="1" spans="1:66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35744.84</v>
      </c>
      <c r="BD25" s="76"/>
      <c r="BE25" s="76"/>
      <c r="BF25" s="81"/>
      <c r="BG25" s="76"/>
      <c r="BH25" s="76"/>
      <c r="BI25" s="76"/>
      <c r="BJ25" s="76"/>
      <c r="BK25" s="77">
        <f t="shared" si="1"/>
        <v>40547.36</v>
      </c>
      <c r="BL25" s="76"/>
      <c r="BM25" s="76"/>
      <c r="BN25" s="81"/>
    </row>
    <row r="26" ht="25" customHeight="1" spans="1:66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35744.84</v>
      </c>
      <c r="BD26" s="74"/>
      <c r="BE26" s="74"/>
      <c r="BF26" s="80"/>
      <c r="BG26" s="74"/>
      <c r="BH26" s="74"/>
      <c r="BI26" s="74"/>
      <c r="BJ26" s="74"/>
      <c r="BK26" s="75">
        <f t="shared" si="1"/>
        <v>7547.35999999999</v>
      </c>
      <c r="BL26" s="74"/>
      <c r="BM26" s="74"/>
      <c r="BN26" s="80"/>
    </row>
    <row r="27" ht="25" customHeight="1" spans="1:66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35744.84</v>
      </c>
      <c r="BD27" s="76"/>
      <c r="BE27" s="76"/>
      <c r="BF27" s="81"/>
      <c r="BG27" s="76"/>
      <c r="BH27" s="76"/>
      <c r="BI27" s="76"/>
      <c r="BJ27" s="76"/>
      <c r="BK27" s="77">
        <f t="shared" si="1"/>
        <v>43292.2</v>
      </c>
      <c r="BL27" s="76"/>
      <c r="BM27" s="76"/>
      <c r="BN27" s="81"/>
    </row>
    <row r="28" ht="25" customHeight="1" spans="1:66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35744.84</v>
      </c>
      <c r="BD28" s="74"/>
      <c r="BE28" s="74"/>
      <c r="BF28" s="80"/>
      <c r="BG28" s="74"/>
      <c r="BH28" s="74"/>
      <c r="BI28" s="74"/>
      <c r="BJ28" s="74"/>
      <c r="BK28" s="75">
        <f t="shared" si="1"/>
        <v>43044.2</v>
      </c>
      <c r="BL28" s="74"/>
      <c r="BM28" s="74"/>
      <c r="BN28" s="80"/>
    </row>
    <row r="29" ht="25" customHeight="1" spans="1:66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35744.84</v>
      </c>
      <c r="BD29" s="76"/>
      <c r="BE29" s="76"/>
      <c r="BF29" s="81"/>
      <c r="BG29" s="76"/>
      <c r="BH29" s="76"/>
      <c r="BI29" s="76"/>
      <c r="BJ29" s="76"/>
      <c r="BK29" s="77">
        <f t="shared" si="1"/>
        <v>42434.2</v>
      </c>
      <c r="BL29" s="76"/>
      <c r="BM29" s="76"/>
      <c r="BN29" s="81"/>
    </row>
    <row r="30" ht="25" customHeight="1" spans="1:66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SUM(AE30-AU30)</f>
        <v>0</v>
      </c>
      <c r="BD30" s="79"/>
      <c r="BE30" s="79"/>
      <c r="BF30" s="82"/>
      <c r="BG30" s="79"/>
      <c r="BH30" s="79"/>
      <c r="BI30" s="79"/>
      <c r="BJ30" s="79"/>
      <c r="BK30" s="78">
        <f>SUM(AI30-AY30)</f>
        <v>42434.2</v>
      </c>
      <c r="BL30" s="79"/>
      <c r="BM30" s="79"/>
      <c r="BN30" s="82"/>
    </row>
    <row r="31" ht="25" customHeight="1" spans="1:66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83"/>
    </row>
    <row r="32" ht="25" customHeight="1" spans="1:66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</row>
    <row r="33" ht="25" customHeight="1" spans="1:66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96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BG11:BJ11"/>
    <mergeCell ref="BK11:BN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BK12:BN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BK13:BN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BK14:BN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BK15:BN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BK16:BN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BK17:BN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BK18:BN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BK19:BN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BK20:BN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BK21:BN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BK22:BN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BK23:BN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BK24:BN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BK25:BN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BK26:BN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BK27:BN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BK28:BN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BK29:BN29"/>
    <mergeCell ref="L30:V30"/>
    <mergeCell ref="AI30:AL30"/>
    <mergeCell ref="AM30:AR30"/>
    <mergeCell ref="AS30:AX30"/>
    <mergeCell ref="AY30:BB30"/>
    <mergeCell ref="BC30:BF30"/>
    <mergeCell ref="BK30:BN30"/>
    <mergeCell ref="A9:B10"/>
    <mergeCell ref="C9:G10"/>
    <mergeCell ref="H9:K10"/>
    <mergeCell ref="L9:V10"/>
    <mergeCell ref="AC9:AH10"/>
    <mergeCell ref="AS9:AX10"/>
    <mergeCell ref="BC9:BF10"/>
    <mergeCell ref="BG9:BJ10"/>
    <mergeCell ref="BK9:BN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topLeftCell="A7" workbookViewId="0">
      <selection activeCell="A11" sqref="A11:BF30"/>
    </sheetView>
  </sheetViews>
  <sheetFormatPr defaultColWidth="9" defaultRowHeight="13.5"/>
  <cols>
    <col min="1" max="183" width="3.625" customWidth="1"/>
  </cols>
  <sheetData>
    <row r="1" customFormat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customFormat="1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customFormat="1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 spans="25:34"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ht="25" customHeight="1" spans="1:32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  <c r="Y5" s="6"/>
      <c r="Z5" s="7"/>
      <c r="AA5" s="7"/>
      <c r="AB5" s="7"/>
      <c r="AC5" s="6"/>
      <c r="AD5" s="6"/>
      <c r="AE5" s="6"/>
      <c r="AF5" s="6"/>
    </row>
    <row r="6" customFormat="1" ht="25" customHeight="1" spans="1:32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  <c r="Y6" s="6"/>
      <c r="Z6" s="7"/>
      <c r="AA6" s="7"/>
      <c r="AB6" s="7"/>
      <c r="AC6" s="6"/>
      <c r="AD6" s="6"/>
      <c r="AE6" s="6"/>
      <c r="AF6" s="6"/>
    </row>
    <row r="7" customFormat="1" ht="25" customHeight="1" spans="25:32">
      <c r="Y7" s="6"/>
      <c r="Z7" s="7"/>
      <c r="AA7" s="7"/>
      <c r="AB7" s="7"/>
      <c r="AC7" s="6"/>
      <c r="AD7" s="6"/>
      <c r="AE7" s="6"/>
      <c r="AF7" s="6"/>
    </row>
    <row r="8" customFormat="1" ht="25" customHeight="1" spans="1:32">
      <c r="A8" s="10" t="s">
        <v>36</v>
      </c>
      <c r="B8" s="10"/>
      <c r="C8" s="10"/>
      <c r="D8" s="47" t="s">
        <v>37</v>
      </c>
      <c r="E8" s="47"/>
      <c r="F8" s="47"/>
      <c r="G8" s="10" t="s">
        <v>38</v>
      </c>
      <c r="H8" s="10"/>
      <c r="I8" s="10"/>
      <c r="J8" s="10" t="s">
        <v>39</v>
      </c>
      <c r="K8" s="10"/>
      <c r="L8" s="10"/>
      <c r="M8" s="10" t="s">
        <v>40</v>
      </c>
      <c r="N8" s="10"/>
      <c r="O8" s="10"/>
      <c r="P8" s="10" t="s">
        <v>41</v>
      </c>
      <c r="Q8" s="10"/>
      <c r="R8" s="10"/>
      <c r="S8" s="10" t="s">
        <v>42</v>
      </c>
      <c r="T8" s="10"/>
      <c r="U8" s="10"/>
      <c r="V8" s="7"/>
      <c r="W8" s="7"/>
      <c r="X8" s="7"/>
      <c r="Y8" s="6"/>
      <c r="Z8" s="7"/>
      <c r="AA8" s="7"/>
      <c r="AB8" s="7"/>
      <c r="AC8" s="6"/>
      <c r="AD8" s="6"/>
      <c r="AE8" s="6"/>
      <c r="AF8" s="6"/>
    </row>
    <row r="9" s="1" customFormat="1" ht="20" customHeight="1" spans="1:58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1" t="s">
        <v>88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12" t="s">
        <v>88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</row>
    <row r="10" s="1" customFormat="1" ht="20" customHeight="1" spans="1:58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</row>
    <row r="11" ht="25" customHeight="1" spans="1:58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</row>
    <row r="12" ht="25" customHeight="1" spans="1:58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SUM(BC11+AI12-AY12)</f>
        <v>35496.84</v>
      </c>
      <c r="BD12" s="74"/>
      <c r="BE12" s="74"/>
      <c r="BF12" s="80"/>
    </row>
    <row r="13" ht="25" customHeight="1" spans="1:58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34886.84</v>
      </c>
      <c r="BD13" s="76"/>
      <c r="BE13" s="76"/>
      <c r="BF13" s="81"/>
    </row>
    <row r="14" ht="25" customHeight="1" spans="1:58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1886.84</v>
      </c>
      <c r="BD14" s="74"/>
      <c r="BE14" s="74"/>
      <c r="BF14" s="80"/>
    </row>
    <row r="15" ht="25" customHeight="1" spans="1:58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37631.68</v>
      </c>
      <c r="BD15" s="76"/>
      <c r="BE15" s="76"/>
      <c r="BF15" s="81"/>
    </row>
    <row r="16" ht="25" customHeight="1" spans="1:58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37383.68</v>
      </c>
      <c r="BD16" s="74"/>
      <c r="BE16" s="74"/>
      <c r="BF16" s="80"/>
    </row>
    <row r="17" ht="25" customHeight="1" spans="1:58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36773.68</v>
      </c>
      <c r="BD17" s="76"/>
      <c r="BE17" s="76"/>
      <c r="BF17" s="81"/>
    </row>
    <row r="18" ht="25" customHeight="1" spans="1:58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3773.67999999999</v>
      </c>
      <c r="BD18" s="74"/>
      <c r="BE18" s="74"/>
      <c r="BF18" s="80"/>
    </row>
    <row r="19" ht="25" customHeight="1" spans="1:58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39518.52</v>
      </c>
      <c r="BD19" s="76"/>
      <c r="BE19" s="76"/>
      <c r="BF19" s="81"/>
    </row>
    <row r="20" ht="25" customHeight="1" spans="1:58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39270.52</v>
      </c>
      <c r="BD20" s="74"/>
      <c r="BE20" s="74"/>
      <c r="BF20" s="80"/>
    </row>
    <row r="21" ht="25" customHeight="1" spans="1:58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38660.52</v>
      </c>
      <c r="BD21" s="76"/>
      <c r="BE21" s="76"/>
      <c r="BF21" s="81"/>
    </row>
    <row r="22" ht="25" customHeight="1" spans="1:58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5660.51999999999</v>
      </c>
      <c r="BD22" s="74"/>
      <c r="BE22" s="74"/>
      <c r="BF22" s="80"/>
    </row>
    <row r="23" ht="25" customHeight="1" spans="1:58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41405.36</v>
      </c>
      <c r="BD23" s="76"/>
      <c r="BE23" s="76"/>
      <c r="BF23" s="81"/>
    </row>
    <row r="24" ht="25" customHeight="1" spans="1:58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41157.36</v>
      </c>
      <c r="BD24" s="74"/>
      <c r="BE24" s="74"/>
      <c r="BF24" s="80"/>
    </row>
    <row r="25" ht="25" customHeight="1" spans="1:58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40547.36</v>
      </c>
      <c r="BD25" s="76"/>
      <c r="BE25" s="76"/>
      <c r="BF25" s="81"/>
    </row>
    <row r="26" ht="25" customHeight="1" spans="1:58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7547.35999999999</v>
      </c>
      <c r="BD26" s="74"/>
      <c r="BE26" s="74"/>
      <c r="BF26" s="80"/>
    </row>
    <row r="27" ht="25" customHeight="1" spans="1:58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43292.2</v>
      </c>
      <c r="BD27" s="76"/>
      <c r="BE27" s="76"/>
      <c r="BF27" s="81"/>
    </row>
    <row r="28" ht="25" customHeight="1" spans="1:58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43044.2</v>
      </c>
      <c r="BD28" s="74"/>
      <c r="BE28" s="74"/>
      <c r="BF28" s="80"/>
    </row>
    <row r="29" ht="25" customHeight="1" spans="1:58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42434.2</v>
      </c>
      <c r="BD29" s="76"/>
      <c r="BE29" s="76"/>
      <c r="BF29" s="81"/>
    </row>
    <row r="30" ht="25" customHeight="1" spans="1:58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SUM(AI30-AY30)</f>
        <v>42434.2</v>
      </c>
      <c r="BD30" s="79"/>
      <c r="BE30" s="79"/>
      <c r="BF30" s="82"/>
    </row>
    <row r="31" ht="25" customHeight="1" spans="1:58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83"/>
    </row>
    <row r="32" ht="25" customHeight="1" spans="1:5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</row>
    <row r="33" ht="25" customHeight="1" spans="1:5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75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B5"/>
    <mergeCell ref="AC5:AF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L30:V30"/>
    <mergeCell ref="AI30:AL30"/>
    <mergeCell ref="AM30:AR30"/>
    <mergeCell ref="AS30:AX30"/>
    <mergeCell ref="AY30:BB30"/>
    <mergeCell ref="BC30:BF30"/>
    <mergeCell ref="A9:B10"/>
    <mergeCell ref="C9:G10"/>
    <mergeCell ref="H9:K10"/>
    <mergeCell ref="L9:V10"/>
    <mergeCell ref="AC9:AH10"/>
    <mergeCell ref="AS9:AX10"/>
    <mergeCell ref="BC9:B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workbookViewId="0">
      <selection activeCell="AC15" sqref="AC15:AH15"/>
    </sheetView>
  </sheetViews>
  <sheetFormatPr defaultColWidth="9" defaultRowHeight="13.5"/>
  <cols>
    <col min="1" max="183" width="3.625" customWidth="1"/>
  </cols>
  <sheetData>
    <row r="1" customFormat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customFormat="1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customFormat="1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 spans="25:34"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ht="25" customHeight="1" spans="1:32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  <c r="Y5" s="6"/>
      <c r="Z5" s="7"/>
      <c r="AA5" s="7"/>
      <c r="AB5" s="7"/>
      <c r="AC5" s="6"/>
      <c r="AD5" s="6"/>
      <c r="AE5" s="6"/>
      <c r="AF5" s="6"/>
    </row>
    <row r="6" customFormat="1" ht="25" customHeight="1" spans="1:32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  <c r="Y6" s="6"/>
      <c r="Z6" s="7"/>
      <c r="AA6" s="7"/>
      <c r="AB6" s="7"/>
      <c r="AC6" s="6"/>
      <c r="AD6" s="6"/>
      <c r="AE6" s="6"/>
      <c r="AF6" s="6"/>
    </row>
    <row r="7" customFormat="1" ht="25" customHeight="1" spans="1:32">
      <c r="A7" s="6"/>
      <c r="B7" s="7"/>
      <c r="C7" s="7"/>
      <c r="D7" s="7"/>
      <c r="E7" s="7"/>
      <c r="F7" s="7"/>
      <c r="G7" s="8"/>
      <c r="H7" s="9"/>
      <c r="I7" s="9"/>
      <c r="J7" s="9"/>
      <c r="K7" s="9"/>
      <c r="L7" s="9"/>
      <c r="M7" s="6"/>
      <c r="N7" s="7"/>
      <c r="O7" s="7"/>
      <c r="P7" s="7"/>
      <c r="Q7" s="6"/>
      <c r="R7" s="7"/>
      <c r="S7" s="7"/>
      <c r="T7" s="7"/>
      <c r="U7" s="6"/>
      <c r="V7" s="7"/>
      <c r="W7" s="7"/>
      <c r="X7" s="7"/>
      <c r="Y7" s="6"/>
      <c r="Z7" s="7"/>
      <c r="AA7" s="7"/>
      <c r="AB7" s="7"/>
      <c r="AC7" s="6"/>
      <c r="AD7" s="6"/>
      <c r="AE7" s="6"/>
      <c r="AF7" s="6"/>
    </row>
    <row r="8" customFormat="1" ht="25" customHeight="1" spans="1:32">
      <c r="A8" s="10" t="s">
        <v>36</v>
      </c>
      <c r="B8" s="10"/>
      <c r="C8" s="10"/>
      <c r="D8" s="10" t="s">
        <v>37</v>
      </c>
      <c r="E8" s="10"/>
      <c r="F8" s="10"/>
      <c r="G8" s="47" t="s">
        <v>38</v>
      </c>
      <c r="H8" s="47"/>
      <c r="I8" s="47"/>
      <c r="J8" s="10" t="s">
        <v>39</v>
      </c>
      <c r="K8" s="10"/>
      <c r="L8" s="10"/>
      <c r="M8" s="10" t="s">
        <v>40</v>
      </c>
      <c r="N8" s="10"/>
      <c r="O8" s="10"/>
      <c r="P8" s="10" t="s">
        <v>41</v>
      </c>
      <c r="Q8" s="10"/>
      <c r="R8" s="10"/>
      <c r="S8" s="10" t="s">
        <v>42</v>
      </c>
      <c r="T8" s="10"/>
      <c r="U8" s="10"/>
      <c r="V8" s="7"/>
      <c r="W8" s="7"/>
      <c r="X8" s="7"/>
      <c r="Y8" s="6"/>
      <c r="Z8" s="7"/>
      <c r="AA8" s="7"/>
      <c r="AB8" s="7"/>
      <c r="AC8" s="6"/>
      <c r="AD8" s="6"/>
      <c r="AE8" s="6"/>
      <c r="AF8" s="6"/>
    </row>
    <row r="9" s="1" customFormat="1" ht="20" customHeight="1" spans="1:58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1" t="s">
        <v>88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12" t="s">
        <v>88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</row>
    <row r="10" s="1" customFormat="1" ht="20" customHeight="1" spans="1:58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</row>
    <row r="11" ht="25" customHeight="1" spans="1:58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</row>
    <row r="12" ht="25" customHeight="1" spans="1:58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SUM(BC11+AI12-AY12)</f>
        <v>35496.84</v>
      </c>
      <c r="BD12" s="74"/>
      <c r="BE12" s="74"/>
      <c r="BF12" s="80"/>
    </row>
    <row r="13" ht="25" customHeight="1" spans="1:58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34886.84</v>
      </c>
      <c r="BD13" s="76"/>
      <c r="BE13" s="76"/>
      <c r="BF13" s="81"/>
    </row>
    <row r="14" ht="25" customHeight="1" spans="1:58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1886.84</v>
      </c>
      <c r="BD14" s="74"/>
      <c r="BE14" s="74"/>
      <c r="BF14" s="80"/>
    </row>
    <row r="15" ht="25" customHeight="1" spans="1:58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37631.68</v>
      </c>
      <c r="BD15" s="76"/>
      <c r="BE15" s="76"/>
      <c r="BF15" s="81"/>
    </row>
    <row r="16" ht="25" customHeight="1" spans="1:58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37383.68</v>
      </c>
      <c r="BD16" s="74"/>
      <c r="BE16" s="74"/>
      <c r="BF16" s="80"/>
    </row>
    <row r="17" ht="25" customHeight="1" spans="1:58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36773.68</v>
      </c>
      <c r="BD17" s="76"/>
      <c r="BE17" s="76"/>
      <c r="BF17" s="81"/>
    </row>
    <row r="18" ht="25" customHeight="1" spans="1:58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3773.67999999999</v>
      </c>
      <c r="BD18" s="74"/>
      <c r="BE18" s="74"/>
      <c r="BF18" s="80"/>
    </row>
    <row r="19" ht="25" customHeight="1" spans="1:58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39518.52</v>
      </c>
      <c r="BD19" s="76"/>
      <c r="BE19" s="76"/>
      <c r="BF19" s="81"/>
    </row>
    <row r="20" ht="25" customHeight="1" spans="1:58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39270.52</v>
      </c>
      <c r="BD20" s="74"/>
      <c r="BE20" s="74"/>
      <c r="BF20" s="80"/>
    </row>
    <row r="21" ht="25" customHeight="1" spans="1:58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38660.52</v>
      </c>
      <c r="BD21" s="76"/>
      <c r="BE21" s="76"/>
      <c r="BF21" s="81"/>
    </row>
    <row r="22" ht="25" customHeight="1" spans="1:58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5660.51999999999</v>
      </c>
      <c r="BD22" s="74"/>
      <c r="BE22" s="74"/>
      <c r="BF22" s="80"/>
    </row>
    <row r="23" ht="25" customHeight="1" spans="1:58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41405.36</v>
      </c>
      <c r="BD23" s="76"/>
      <c r="BE23" s="76"/>
      <c r="BF23" s="81"/>
    </row>
    <row r="24" ht="25" customHeight="1" spans="1:58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41157.36</v>
      </c>
      <c r="BD24" s="74"/>
      <c r="BE24" s="74"/>
      <c r="BF24" s="80"/>
    </row>
    <row r="25" ht="25" customHeight="1" spans="1:58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40547.36</v>
      </c>
      <c r="BD25" s="76"/>
      <c r="BE25" s="76"/>
      <c r="BF25" s="81"/>
    </row>
    <row r="26" ht="25" customHeight="1" spans="1:58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7547.35999999999</v>
      </c>
      <c r="BD26" s="74"/>
      <c r="BE26" s="74"/>
      <c r="BF26" s="80"/>
    </row>
    <row r="27" ht="25" customHeight="1" spans="1:58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43292.2</v>
      </c>
      <c r="BD27" s="76"/>
      <c r="BE27" s="76"/>
      <c r="BF27" s="81"/>
    </row>
    <row r="28" ht="25" customHeight="1" spans="1:58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43044.2</v>
      </c>
      <c r="BD28" s="74"/>
      <c r="BE28" s="74"/>
      <c r="BF28" s="80"/>
    </row>
    <row r="29" ht="25" customHeight="1" spans="1:58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42434.2</v>
      </c>
      <c r="BD29" s="76"/>
      <c r="BE29" s="76"/>
      <c r="BF29" s="81"/>
    </row>
    <row r="30" ht="25" customHeight="1" spans="1:58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SUM(AI30-AY30)</f>
        <v>42434.2</v>
      </c>
      <c r="BD30" s="79"/>
      <c r="BE30" s="79"/>
      <c r="BF30" s="82"/>
    </row>
    <row r="31" ht="25" customHeight="1" spans="1:58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83"/>
    </row>
    <row r="32" ht="25" customHeight="1" spans="1:5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</row>
    <row r="33" ht="25" customHeight="1" spans="1:5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75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B5"/>
    <mergeCell ref="AC5:AF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L30:V30"/>
    <mergeCell ref="AI30:AL30"/>
    <mergeCell ref="AM30:AR30"/>
    <mergeCell ref="AS30:AX30"/>
    <mergeCell ref="AY30:BB30"/>
    <mergeCell ref="BC30:BF30"/>
    <mergeCell ref="A9:B10"/>
    <mergeCell ref="C9:G10"/>
    <mergeCell ref="H9:K10"/>
    <mergeCell ref="L9:V10"/>
    <mergeCell ref="AC9:AH10"/>
    <mergeCell ref="AS9:AX10"/>
    <mergeCell ref="BC9:B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workbookViewId="0">
      <selection activeCell="A1" sqref="A1:X6"/>
    </sheetView>
  </sheetViews>
  <sheetFormatPr defaultColWidth="9" defaultRowHeight="13.5"/>
  <cols>
    <col min="1" max="183" width="3.625" customWidth="1"/>
  </cols>
  <sheetData>
    <row r="1" customFormat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customFormat="1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customFormat="1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 spans="25:34"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ht="25" customHeight="1" spans="1:32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  <c r="Y5" s="6"/>
      <c r="Z5" s="7"/>
      <c r="AA5" s="7"/>
      <c r="AB5" s="7"/>
      <c r="AC5" s="6"/>
      <c r="AD5" s="6"/>
      <c r="AE5" s="6"/>
      <c r="AF5" s="6"/>
    </row>
    <row r="6" customFormat="1" ht="25" customHeight="1" spans="1:32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  <c r="Y6" s="6"/>
      <c r="Z6" s="7"/>
      <c r="AA6" s="7"/>
      <c r="AB6" s="7"/>
      <c r="AC6" s="6"/>
      <c r="AD6" s="6"/>
      <c r="AE6" s="6"/>
      <c r="AF6" s="6"/>
    </row>
    <row r="7" customFormat="1" ht="25" customHeight="1" spans="1:32">
      <c r="A7" s="6"/>
      <c r="B7" s="7"/>
      <c r="C7" s="7"/>
      <c r="D7" s="7"/>
      <c r="E7" s="7"/>
      <c r="F7" s="7"/>
      <c r="G7" s="8"/>
      <c r="H7" s="9"/>
      <c r="I7" s="9"/>
      <c r="J7" s="9"/>
      <c r="K7" s="9"/>
      <c r="L7" s="9"/>
      <c r="M7" s="6"/>
      <c r="N7" s="7"/>
      <c r="O7" s="7"/>
      <c r="P7" s="7"/>
      <c r="Q7" s="6"/>
      <c r="R7" s="7"/>
      <c r="S7" s="7"/>
      <c r="T7" s="7"/>
      <c r="U7" s="6"/>
      <c r="V7" s="7"/>
      <c r="W7" s="7"/>
      <c r="X7" s="7"/>
      <c r="Y7" s="6"/>
      <c r="Z7" s="7"/>
      <c r="AA7" s="7"/>
      <c r="AB7" s="7"/>
      <c r="AC7" s="6"/>
      <c r="AD7" s="6"/>
      <c r="AE7" s="6"/>
      <c r="AF7" s="6"/>
    </row>
    <row r="8" customFormat="1" ht="25" customHeight="1" spans="1:32">
      <c r="A8" s="10" t="s">
        <v>36</v>
      </c>
      <c r="B8" s="10"/>
      <c r="C8" s="10"/>
      <c r="D8" s="10" t="s">
        <v>37</v>
      </c>
      <c r="E8" s="10"/>
      <c r="F8" s="10"/>
      <c r="G8" s="10" t="s">
        <v>38</v>
      </c>
      <c r="H8" s="10"/>
      <c r="I8" s="10"/>
      <c r="J8" s="47" t="s">
        <v>39</v>
      </c>
      <c r="K8" s="47"/>
      <c r="L8" s="47"/>
      <c r="M8" s="10" t="s">
        <v>40</v>
      </c>
      <c r="N8" s="10"/>
      <c r="O8" s="10"/>
      <c r="P8" s="10" t="s">
        <v>41</v>
      </c>
      <c r="Q8" s="10"/>
      <c r="R8" s="10"/>
      <c r="S8" s="10" t="s">
        <v>42</v>
      </c>
      <c r="T8" s="10"/>
      <c r="U8" s="10"/>
      <c r="V8" s="7"/>
      <c r="W8" s="7"/>
      <c r="X8" s="7"/>
      <c r="Y8" s="6"/>
      <c r="Z8" s="7"/>
      <c r="AA8" s="7"/>
      <c r="AB8" s="7"/>
      <c r="AC8" s="6"/>
      <c r="AD8" s="6"/>
      <c r="AE8" s="6"/>
      <c r="AF8" s="6"/>
    </row>
    <row r="9" s="1" customFormat="1" ht="20" customHeight="1" spans="1:58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1" t="s">
        <v>88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12" t="s">
        <v>88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</row>
    <row r="10" s="1" customFormat="1" ht="20" customHeight="1" spans="1:58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</row>
    <row r="11" ht="25" customHeight="1" spans="1:58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</row>
    <row r="12" ht="25" customHeight="1" spans="1:58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SUM(BC11+AI12-AY12)</f>
        <v>35496.84</v>
      </c>
      <c r="BD12" s="74"/>
      <c r="BE12" s="74"/>
      <c r="BF12" s="80"/>
    </row>
    <row r="13" ht="25" customHeight="1" spans="1:58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34886.84</v>
      </c>
      <c r="BD13" s="76"/>
      <c r="BE13" s="76"/>
      <c r="BF13" s="81"/>
    </row>
    <row r="14" ht="25" customHeight="1" spans="1:58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1886.84</v>
      </c>
      <c r="BD14" s="74"/>
      <c r="BE14" s="74"/>
      <c r="BF14" s="80"/>
    </row>
    <row r="15" ht="25" customHeight="1" spans="1:58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37631.68</v>
      </c>
      <c r="BD15" s="76"/>
      <c r="BE15" s="76"/>
      <c r="BF15" s="81"/>
    </row>
    <row r="16" ht="25" customHeight="1" spans="1:58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37383.68</v>
      </c>
      <c r="BD16" s="74"/>
      <c r="BE16" s="74"/>
      <c r="BF16" s="80"/>
    </row>
    <row r="17" ht="25" customHeight="1" spans="1:58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36773.68</v>
      </c>
      <c r="BD17" s="76"/>
      <c r="BE17" s="76"/>
      <c r="BF17" s="81"/>
    </row>
    <row r="18" ht="25" customHeight="1" spans="1:58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3773.67999999999</v>
      </c>
      <c r="BD18" s="74"/>
      <c r="BE18" s="74"/>
      <c r="BF18" s="80"/>
    </row>
    <row r="19" ht="25" customHeight="1" spans="1:58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39518.52</v>
      </c>
      <c r="BD19" s="76"/>
      <c r="BE19" s="76"/>
      <c r="BF19" s="81"/>
    </row>
    <row r="20" ht="25" customHeight="1" spans="1:58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39270.52</v>
      </c>
      <c r="BD20" s="74"/>
      <c r="BE20" s="74"/>
      <c r="BF20" s="80"/>
    </row>
    <row r="21" ht="25" customHeight="1" spans="1:58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38660.52</v>
      </c>
      <c r="BD21" s="76"/>
      <c r="BE21" s="76"/>
      <c r="BF21" s="81"/>
    </row>
    <row r="22" ht="25" customHeight="1" spans="1:58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5660.51999999999</v>
      </c>
      <c r="BD22" s="74"/>
      <c r="BE22" s="74"/>
      <c r="BF22" s="80"/>
    </row>
    <row r="23" ht="25" customHeight="1" spans="1:58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41405.36</v>
      </c>
      <c r="BD23" s="76"/>
      <c r="BE23" s="76"/>
      <c r="BF23" s="81"/>
    </row>
    <row r="24" ht="25" customHeight="1" spans="1:58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41157.36</v>
      </c>
      <c r="BD24" s="74"/>
      <c r="BE24" s="74"/>
      <c r="BF24" s="80"/>
    </row>
    <row r="25" ht="25" customHeight="1" spans="1:58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40547.36</v>
      </c>
      <c r="BD25" s="76"/>
      <c r="BE25" s="76"/>
      <c r="BF25" s="81"/>
    </row>
    <row r="26" ht="25" customHeight="1" spans="1:58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7547.35999999999</v>
      </c>
      <c r="BD26" s="74"/>
      <c r="BE26" s="74"/>
      <c r="BF26" s="80"/>
    </row>
    <row r="27" ht="25" customHeight="1" spans="1:58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43292.2</v>
      </c>
      <c r="BD27" s="76"/>
      <c r="BE27" s="76"/>
      <c r="BF27" s="81"/>
    </row>
    <row r="28" ht="25" customHeight="1" spans="1:58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43044.2</v>
      </c>
      <c r="BD28" s="74"/>
      <c r="BE28" s="74"/>
      <c r="BF28" s="80"/>
    </row>
    <row r="29" ht="25" customHeight="1" spans="1:58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42434.2</v>
      </c>
      <c r="BD29" s="76"/>
      <c r="BE29" s="76"/>
      <c r="BF29" s="81"/>
    </row>
    <row r="30" ht="25" customHeight="1" spans="1:58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SUM(AI30-AY30)</f>
        <v>42434.2</v>
      </c>
      <c r="BD30" s="79"/>
      <c r="BE30" s="79"/>
      <c r="BF30" s="82"/>
    </row>
    <row r="31" ht="25" customHeight="1" spans="1:58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83"/>
    </row>
    <row r="32" ht="25" customHeight="1" spans="1:5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</row>
    <row r="33" ht="25" customHeight="1" spans="1:5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75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B5"/>
    <mergeCell ref="AC5:AF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L30:V30"/>
    <mergeCell ref="AI30:AL30"/>
    <mergeCell ref="AM30:AR30"/>
    <mergeCell ref="AS30:AX30"/>
    <mergeCell ref="AY30:BB30"/>
    <mergeCell ref="BC30:BF30"/>
    <mergeCell ref="A9:B10"/>
    <mergeCell ref="C9:G10"/>
    <mergeCell ref="H9:K10"/>
    <mergeCell ref="L9:V10"/>
    <mergeCell ref="AC9:AH10"/>
    <mergeCell ref="AS9:AX10"/>
    <mergeCell ref="BC9:BF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workbookViewId="0">
      <selection activeCell="A1" sqref="A1:AB6"/>
    </sheetView>
  </sheetViews>
  <sheetFormatPr defaultColWidth="9" defaultRowHeight="13.5"/>
  <cols>
    <col min="1" max="183" width="3.625" customWidth="1"/>
  </cols>
  <sheetData>
    <row r="1" customFormat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customFormat="1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customFormat="1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 spans="25:34"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ht="25" customHeight="1" spans="1:32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  <c r="Y5" s="6"/>
      <c r="Z5" s="7"/>
      <c r="AA5" s="7"/>
      <c r="AB5" s="7"/>
      <c r="AC5" s="6"/>
      <c r="AD5" s="6"/>
      <c r="AE5" s="6"/>
      <c r="AF5" s="6"/>
    </row>
    <row r="6" customFormat="1" ht="25" customHeight="1" spans="1:32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  <c r="Y6" s="6"/>
      <c r="Z6" s="7"/>
      <c r="AA6" s="7"/>
      <c r="AB6" s="7"/>
      <c r="AC6" s="6"/>
      <c r="AD6" s="6"/>
      <c r="AE6" s="6"/>
      <c r="AF6" s="6"/>
    </row>
    <row r="7" customFormat="1" ht="25" customHeight="1" spans="1:32">
      <c r="A7" s="6"/>
      <c r="B7" s="7"/>
      <c r="C7" s="7"/>
      <c r="D7" s="7"/>
      <c r="E7" s="7"/>
      <c r="F7" s="7"/>
      <c r="G7" s="8"/>
      <c r="H7" s="9"/>
      <c r="I7" s="9"/>
      <c r="J7" s="9"/>
      <c r="K7" s="9"/>
      <c r="L7" s="9"/>
      <c r="M7" s="6"/>
      <c r="N7" s="7"/>
      <c r="O7" s="7"/>
      <c r="P7" s="7"/>
      <c r="Q7" s="6"/>
      <c r="R7" s="7"/>
      <c r="S7" s="7"/>
      <c r="T7" s="7"/>
      <c r="U7" s="6"/>
      <c r="V7" s="7"/>
      <c r="W7" s="7"/>
      <c r="X7" s="7"/>
      <c r="Y7" s="6"/>
      <c r="Z7" s="7"/>
      <c r="AA7" s="7"/>
      <c r="AB7" s="7"/>
      <c r="AC7" s="6"/>
      <c r="AD7" s="6"/>
      <c r="AE7" s="6"/>
      <c r="AF7" s="6"/>
    </row>
    <row r="8" customFormat="1" ht="25" customHeight="1" spans="1:32">
      <c r="A8" s="10" t="s">
        <v>36</v>
      </c>
      <c r="B8" s="10"/>
      <c r="C8" s="10"/>
      <c r="D8" s="10" t="s">
        <v>37</v>
      </c>
      <c r="E8" s="10"/>
      <c r="F8" s="10"/>
      <c r="G8" s="10" t="s">
        <v>38</v>
      </c>
      <c r="H8" s="10"/>
      <c r="I8" s="10"/>
      <c r="J8" s="10" t="s">
        <v>39</v>
      </c>
      <c r="K8" s="10"/>
      <c r="L8" s="10"/>
      <c r="M8" s="47" t="s">
        <v>40</v>
      </c>
      <c r="N8" s="47"/>
      <c r="O8" s="47"/>
      <c r="P8" s="10" t="s">
        <v>41</v>
      </c>
      <c r="Q8" s="10"/>
      <c r="R8" s="10"/>
      <c r="S8" s="10" t="s">
        <v>42</v>
      </c>
      <c r="T8" s="10"/>
      <c r="U8" s="10"/>
      <c r="V8" s="7"/>
      <c r="W8" s="7"/>
      <c r="X8" s="7"/>
      <c r="Y8" s="6"/>
      <c r="Z8" s="7"/>
      <c r="AA8" s="7"/>
      <c r="AB8" s="7"/>
      <c r="AC8" s="6"/>
      <c r="AD8" s="6"/>
      <c r="AE8" s="6"/>
      <c r="AF8" s="6"/>
    </row>
    <row r="9" s="1" customFormat="1" ht="20" customHeight="1" spans="1:58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1" t="s">
        <v>88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12" t="s">
        <v>88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</row>
    <row r="10" s="1" customFormat="1" ht="20" customHeight="1" spans="1:58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</row>
    <row r="11" ht="25" customHeight="1" spans="1:58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</row>
    <row r="12" ht="25" customHeight="1" spans="1:58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SUM(BC11+AI12-AY12)</f>
        <v>35496.84</v>
      </c>
      <c r="BD12" s="74"/>
      <c r="BE12" s="74"/>
      <c r="BF12" s="80"/>
    </row>
    <row r="13" ht="25" customHeight="1" spans="1:58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34886.84</v>
      </c>
      <c r="BD13" s="76"/>
      <c r="BE13" s="76"/>
      <c r="BF13" s="81"/>
    </row>
    <row r="14" ht="25" customHeight="1" spans="1:58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1886.84</v>
      </c>
      <c r="BD14" s="74"/>
      <c r="BE14" s="74"/>
      <c r="BF14" s="80"/>
    </row>
    <row r="15" ht="25" customHeight="1" spans="1:58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37631.68</v>
      </c>
      <c r="BD15" s="76"/>
      <c r="BE15" s="76"/>
      <c r="BF15" s="81"/>
    </row>
    <row r="16" ht="25" customHeight="1" spans="1:58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37383.68</v>
      </c>
      <c r="BD16" s="74"/>
      <c r="BE16" s="74"/>
      <c r="BF16" s="80"/>
    </row>
    <row r="17" ht="25" customHeight="1" spans="1:58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36773.68</v>
      </c>
      <c r="BD17" s="76"/>
      <c r="BE17" s="76"/>
      <c r="BF17" s="81"/>
    </row>
    <row r="18" ht="25" customHeight="1" spans="1:58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3773.67999999999</v>
      </c>
      <c r="BD18" s="74"/>
      <c r="BE18" s="74"/>
      <c r="BF18" s="80"/>
    </row>
    <row r="19" ht="25" customHeight="1" spans="1:58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39518.52</v>
      </c>
      <c r="BD19" s="76"/>
      <c r="BE19" s="76"/>
      <c r="BF19" s="81"/>
    </row>
    <row r="20" ht="25" customHeight="1" spans="1:58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39270.52</v>
      </c>
      <c r="BD20" s="74"/>
      <c r="BE20" s="74"/>
      <c r="BF20" s="80"/>
    </row>
    <row r="21" ht="25" customHeight="1" spans="1:58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38660.52</v>
      </c>
      <c r="BD21" s="76"/>
      <c r="BE21" s="76"/>
      <c r="BF21" s="81"/>
    </row>
    <row r="22" ht="25" customHeight="1" spans="1:58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5660.51999999999</v>
      </c>
      <c r="BD22" s="74"/>
      <c r="BE22" s="74"/>
      <c r="BF22" s="80"/>
    </row>
    <row r="23" ht="25" customHeight="1" spans="1:58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41405.36</v>
      </c>
      <c r="BD23" s="76"/>
      <c r="BE23" s="76"/>
      <c r="BF23" s="81"/>
    </row>
    <row r="24" ht="25" customHeight="1" spans="1:58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41157.36</v>
      </c>
      <c r="BD24" s="74"/>
      <c r="BE24" s="74"/>
      <c r="BF24" s="80"/>
    </row>
    <row r="25" ht="25" customHeight="1" spans="1:58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40547.36</v>
      </c>
      <c r="BD25" s="76"/>
      <c r="BE25" s="76"/>
      <c r="BF25" s="81"/>
    </row>
    <row r="26" ht="25" customHeight="1" spans="1:58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7547.35999999999</v>
      </c>
      <c r="BD26" s="74"/>
      <c r="BE26" s="74"/>
      <c r="BF26" s="80"/>
    </row>
    <row r="27" ht="25" customHeight="1" spans="1:58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43292.2</v>
      </c>
      <c r="BD27" s="76"/>
      <c r="BE27" s="76"/>
      <c r="BF27" s="81"/>
    </row>
    <row r="28" ht="25" customHeight="1" spans="1:58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43044.2</v>
      </c>
      <c r="BD28" s="74"/>
      <c r="BE28" s="74"/>
      <c r="BF28" s="80"/>
    </row>
    <row r="29" ht="25" customHeight="1" spans="1:58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42434.2</v>
      </c>
      <c r="BD29" s="76"/>
      <c r="BE29" s="76"/>
      <c r="BF29" s="81"/>
    </row>
    <row r="30" ht="25" customHeight="1" spans="1:58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SUM(AI30-AY30)</f>
        <v>42434.2</v>
      </c>
      <c r="BD30" s="79"/>
      <c r="BE30" s="79"/>
      <c r="BF30" s="82"/>
    </row>
    <row r="31" ht="25" customHeight="1" spans="1:58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83"/>
    </row>
    <row r="32" ht="25" customHeight="1" spans="1:5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</row>
    <row r="33" ht="25" customHeight="1" spans="1:5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75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B5"/>
    <mergeCell ref="AC5:AF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L30:V30"/>
    <mergeCell ref="AI30:AL30"/>
    <mergeCell ref="AM30:AR30"/>
    <mergeCell ref="AS30:AX30"/>
    <mergeCell ref="AY30:BB30"/>
    <mergeCell ref="BC30:BF30"/>
    <mergeCell ref="A9:B10"/>
    <mergeCell ref="C9:G10"/>
    <mergeCell ref="H9:K10"/>
    <mergeCell ref="L9:V10"/>
    <mergeCell ref="AC9:AH10"/>
    <mergeCell ref="AS9:AX10"/>
    <mergeCell ref="BC9:BF1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workbookViewId="0">
      <selection activeCell="A1" sqref="A1:X6"/>
    </sheetView>
  </sheetViews>
  <sheetFormatPr defaultColWidth="9" defaultRowHeight="13.5"/>
  <cols>
    <col min="1" max="183" width="3.625" customWidth="1"/>
  </cols>
  <sheetData>
    <row r="1" customFormat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customFormat="1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customFormat="1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 spans="25:34"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ht="25" customHeight="1" spans="1:32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  <c r="Y5" s="6"/>
      <c r="Z5" s="7"/>
      <c r="AA5" s="7"/>
      <c r="AB5" s="7"/>
      <c r="AC5" s="6"/>
      <c r="AD5" s="6"/>
      <c r="AE5" s="6"/>
      <c r="AF5" s="6"/>
    </row>
    <row r="6" customFormat="1" ht="25" customHeight="1" spans="1:32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  <c r="Y6" s="6"/>
      <c r="Z6" s="7"/>
      <c r="AA6" s="7"/>
      <c r="AB6" s="7"/>
      <c r="AC6" s="6"/>
      <c r="AD6" s="6"/>
      <c r="AE6" s="6"/>
      <c r="AF6" s="6"/>
    </row>
    <row r="7" customFormat="1" ht="25" customHeight="1" spans="1:32">
      <c r="A7" s="6"/>
      <c r="B7" s="7"/>
      <c r="C7" s="7"/>
      <c r="D7" s="7"/>
      <c r="E7" s="7"/>
      <c r="F7" s="7"/>
      <c r="G7" s="8"/>
      <c r="H7" s="9"/>
      <c r="I7" s="9"/>
      <c r="J7" s="9"/>
      <c r="K7" s="9"/>
      <c r="L7" s="9"/>
      <c r="M7" s="6"/>
      <c r="N7" s="7"/>
      <c r="O7" s="7"/>
      <c r="P7" s="7"/>
      <c r="Q7" s="6"/>
      <c r="R7" s="7"/>
      <c r="S7" s="7"/>
      <c r="T7" s="7"/>
      <c r="U7" s="6"/>
      <c r="V7" s="7"/>
      <c r="W7" s="7"/>
      <c r="X7" s="7"/>
      <c r="Y7" s="6"/>
      <c r="Z7" s="7"/>
      <c r="AA7" s="7"/>
      <c r="AB7" s="7"/>
      <c r="AC7" s="6"/>
      <c r="AD7" s="6"/>
      <c r="AE7" s="6"/>
      <c r="AF7" s="6"/>
    </row>
    <row r="8" customFormat="1" ht="25" customHeight="1" spans="1:32">
      <c r="A8" s="10" t="s">
        <v>36</v>
      </c>
      <c r="B8" s="10"/>
      <c r="C8" s="10"/>
      <c r="D8" s="10" t="s">
        <v>37</v>
      </c>
      <c r="E8" s="10"/>
      <c r="F8" s="10"/>
      <c r="G8" s="10" t="s">
        <v>38</v>
      </c>
      <c r="H8" s="10"/>
      <c r="I8" s="10"/>
      <c r="J8" s="10" t="s">
        <v>39</v>
      </c>
      <c r="K8" s="10"/>
      <c r="L8" s="10"/>
      <c r="M8" s="10" t="s">
        <v>40</v>
      </c>
      <c r="N8" s="10"/>
      <c r="O8" s="10"/>
      <c r="P8" s="47" t="s">
        <v>41</v>
      </c>
      <c r="Q8" s="47"/>
      <c r="R8" s="47"/>
      <c r="S8" s="10" t="s">
        <v>42</v>
      </c>
      <c r="T8" s="10"/>
      <c r="U8" s="10"/>
      <c r="V8" s="7"/>
      <c r="W8" s="7"/>
      <c r="X8" s="7"/>
      <c r="Y8" s="6"/>
      <c r="Z8" s="7"/>
      <c r="AA8" s="7"/>
      <c r="AB8" s="7"/>
      <c r="AC8" s="6"/>
      <c r="AD8" s="6"/>
      <c r="AE8" s="6"/>
      <c r="AF8" s="6"/>
    </row>
    <row r="9" s="1" customFormat="1" ht="20" customHeight="1" spans="1:58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1" t="s">
        <v>88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12" t="s">
        <v>88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</row>
    <row r="10" s="1" customFormat="1" ht="20" customHeight="1" spans="1:58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</row>
    <row r="11" ht="25" customHeight="1" spans="1:58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</row>
    <row r="12" ht="25" customHeight="1" spans="1:58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SUM(BC11+AI12-AY12)</f>
        <v>35496.84</v>
      </c>
      <c r="BD12" s="74"/>
      <c r="BE12" s="74"/>
      <c r="BF12" s="80"/>
    </row>
    <row r="13" ht="25" customHeight="1" spans="1:58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34886.84</v>
      </c>
      <c r="BD13" s="76"/>
      <c r="BE13" s="76"/>
      <c r="BF13" s="81"/>
    </row>
    <row r="14" ht="25" customHeight="1" spans="1:58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1886.84</v>
      </c>
      <c r="BD14" s="74"/>
      <c r="BE14" s="74"/>
      <c r="BF14" s="80"/>
    </row>
    <row r="15" ht="25" customHeight="1" spans="1:58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37631.68</v>
      </c>
      <c r="BD15" s="76"/>
      <c r="BE15" s="76"/>
      <c r="BF15" s="81"/>
    </row>
    <row r="16" ht="25" customHeight="1" spans="1:58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37383.68</v>
      </c>
      <c r="BD16" s="74"/>
      <c r="BE16" s="74"/>
      <c r="BF16" s="80"/>
    </row>
    <row r="17" ht="25" customHeight="1" spans="1:58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36773.68</v>
      </c>
      <c r="BD17" s="76"/>
      <c r="BE17" s="76"/>
      <c r="BF17" s="81"/>
    </row>
    <row r="18" ht="25" customHeight="1" spans="1:58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3773.67999999999</v>
      </c>
      <c r="BD18" s="74"/>
      <c r="BE18" s="74"/>
      <c r="BF18" s="80"/>
    </row>
    <row r="19" ht="25" customHeight="1" spans="1:58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39518.52</v>
      </c>
      <c r="BD19" s="76"/>
      <c r="BE19" s="76"/>
      <c r="BF19" s="81"/>
    </row>
    <row r="20" ht="25" customHeight="1" spans="1:58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39270.52</v>
      </c>
      <c r="BD20" s="74"/>
      <c r="BE20" s="74"/>
      <c r="BF20" s="80"/>
    </row>
    <row r="21" ht="25" customHeight="1" spans="1:58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38660.52</v>
      </c>
      <c r="BD21" s="76"/>
      <c r="BE21" s="76"/>
      <c r="BF21" s="81"/>
    </row>
    <row r="22" ht="25" customHeight="1" spans="1:58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5660.51999999999</v>
      </c>
      <c r="BD22" s="74"/>
      <c r="BE22" s="74"/>
      <c r="BF22" s="80"/>
    </row>
    <row r="23" ht="25" customHeight="1" spans="1:58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41405.36</v>
      </c>
      <c r="BD23" s="76"/>
      <c r="BE23" s="76"/>
      <c r="BF23" s="81"/>
    </row>
    <row r="24" ht="25" customHeight="1" spans="1:58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41157.36</v>
      </c>
      <c r="BD24" s="74"/>
      <c r="BE24" s="74"/>
      <c r="BF24" s="80"/>
    </row>
    <row r="25" ht="25" customHeight="1" spans="1:58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40547.36</v>
      </c>
      <c r="BD25" s="76"/>
      <c r="BE25" s="76"/>
      <c r="BF25" s="81"/>
    </row>
    <row r="26" ht="25" customHeight="1" spans="1:58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7547.35999999999</v>
      </c>
      <c r="BD26" s="74"/>
      <c r="BE26" s="74"/>
      <c r="BF26" s="80"/>
    </row>
    <row r="27" ht="25" customHeight="1" spans="1:58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43292.2</v>
      </c>
      <c r="BD27" s="76"/>
      <c r="BE27" s="76"/>
      <c r="BF27" s="81"/>
    </row>
    <row r="28" ht="25" customHeight="1" spans="1:58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43044.2</v>
      </c>
      <c r="BD28" s="74"/>
      <c r="BE28" s="74"/>
      <c r="BF28" s="80"/>
    </row>
    <row r="29" ht="25" customHeight="1" spans="1:58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42434.2</v>
      </c>
      <c r="BD29" s="76"/>
      <c r="BE29" s="76"/>
      <c r="BF29" s="81"/>
    </row>
    <row r="30" ht="25" customHeight="1" spans="1:58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SUM(AI30-AY30)</f>
        <v>42434.2</v>
      </c>
      <c r="BD30" s="79"/>
      <c r="BE30" s="79"/>
      <c r="BF30" s="82"/>
    </row>
    <row r="31" ht="25" customHeight="1" spans="1:58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83"/>
    </row>
    <row r="32" ht="25" customHeight="1" spans="1:5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</row>
    <row r="33" ht="25" customHeight="1" spans="1:5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75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B5"/>
    <mergeCell ref="AC5:AF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L30:V30"/>
    <mergeCell ref="AI30:AL30"/>
    <mergeCell ref="AM30:AR30"/>
    <mergeCell ref="AS30:AX30"/>
    <mergeCell ref="AY30:BB30"/>
    <mergeCell ref="BC30:BF30"/>
    <mergeCell ref="A9:B10"/>
    <mergeCell ref="C9:G10"/>
    <mergeCell ref="H9:K10"/>
    <mergeCell ref="L9:V10"/>
    <mergeCell ref="AC9:AH10"/>
    <mergeCell ref="AS9:AX10"/>
    <mergeCell ref="BC9:BF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"/>
  <sheetViews>
    <sheetView workbookViewId="0">
      <selection activeCell="AR7" sqref="AR7"/>
    </sheetView>
  </sheetViews>
  <sheetFormatPr defaultColWidth="9" defaultRowHeight="13.5"/>
  <cols>
    <col min="1" max="183" width="3.625" customWidth="1"/>
  </cols>
  <sheetData>
    <row r="1" customFormat="1" ht="25" customHeight="1" spans="1:16">
      <c r="A1" s="2" t="s">
        <v>0</v>
      </c>
      <c r="B1" s="3"/>
      <c r="C1" s="3"/>
      <c r="D1" s="3"/>
      <c r="E1" s="4" t="s">
        <v>1</v>
      </c>
      <c r="F1" s="5"/>
      <c r="G1" s="5"/>
      <c r="H1" s="5"/>
      <c r="I1" s="4" t="s">
        <v>2</v>
      </c>
      <c r="J1" s="5"/>
      <c r="K1" s="5"/>
      <c r="L1" s="5"/>
      <c r="M1" s="4" t="s">
        <v>3</v>
      </c>
      <c r="N1" s="5"/>
      <c r="O1" s="5"/>
      <c r="P1" s="5"/>
    </row>
    <row r="2" customFormat="1" ht="25" customHeight="1" spans="1:16">
      <c r="A2" s="4" t="s">
        <v>4</v>
      </c>
      <c r="B2" s="5"/>
      <c r="C2" s="5"/>
      <c r="D2" s="5"/>
      <c r="E2" s="4" t="s">
        <v>5</v>
      </c>
      <c r="F2" s="5"/>
      <c r="G2" s="5"/>
      <c r="H2" s="5"/>
      <c r="I2" s="4" t="s">
        <v>6</v>
      </c>
      <c r="J2" s="5"/>
      <c r="K2" s="5"/>
      <c r="L2" s="5"/>
      <c r="M2" s="4" t="s">
        <v>7</v>
      </c>
      <c r="N2" s="5"/>
      <c r="O2" s="5"/>
      <c r="P2" s="5"/>
    </row>
    <row r="3" customFormat="1" ht="25" customHeight="1" spans="1:16">
      <c r="A3" s="4" t="s">
        <v>8</v>
      </c>
      <c r="B3" s="5"/>
      <c r="C3" s="5"/>
      <c r="D3" s="5"/>
      <c r="E3" s="4" t="s">
        <v>9</v>
      </c>
      <c r="F3" s="5"/>
      <c r="G3" s="5"/>
      <c r="H3" s="5"/>
      <c r="I3" s="4" t="s">
        <v>10</v>
      </c>
      <c r="J3" s="5"/>
      <c r="K3" s="5"/>
      <c r="L3" s="5"/>
      <c r="M3" s="4" t="s">
        <v>11</v>
      </c>
      <c r="N3" s="5"/>
      <c r="O3" s="5"/>
      <c r="P3" s="5"/>
    </row>
    <row r="4" ht="25" customHeight="1" spans="25:34"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ht="25" customHeight="1" spans="1:32">
      <c r="A5" s="5" t="s">
        <v>12</v>
      </c>
      <c r="B5" s="5"/>
      <c r="C5" s="5" t="s">
        <v>13</v>
      </c>
      <c r="D5" s="5"/>
      <c r="E5" s="3" t="s">
        <v>14</v>
      </c>
      <c r="F5" s="3"/>
      <c r="G5" s="5" t="s">
        <v>15</v>
      </c>
      <c r="H5" s="5"/>
      <c r="I5" s="5" t="s">
        <v>16</v>
      </c>
      <c r="J5" s="5"/>
      <c r="K5" s="5" t="s">
        <v>17</v>
      </c>
      <c r="L5" s="5"/>
      <c r="M5" s="5" t="s">
        <v>18</v>
      </c>
      <c r="N5" s="5"/>
      <c r="O5" s="5" t="s">
        <v>19</v>
      </c>
      <c r="P5" s="5"/>
      <c r="Q5" s="5" t="s">
        <v>20</v>
      </c>
      <c r="R5" s="5"/>
      <c r="S5" s="5" t="s">
        <v>21</v>
      </c>
      <c r="T5" s="5"/>
      <c r="U5" s="5" t="s">
        <v>22</v>
      </c>
      <c r="V5" s="5"/>
      <c r="W5" s="5" t="s">
        <v>23</v>
      </c>
      <c r="X5" s="5"/>
      <c r="Y5" s="6"/>
      <c r="Z5" s="7"/>
      <c r="AA5" s="7"/>
      <c r="AB5" s="7"/>
      <c r="AC5" s="6"/>
      <c r="AD5" s="6"/>
      <c r="AE5" s="6"/>
      <c r="AF5" s="6"/>
    </row>
    <row r="6" customFormat="1" ht="25" customHeight="1" spans="1:32">
      <c r="A6" s="5" t="s">
        <v>24</v>
      </c>
      <c r="B6" s="5"/>
      <c r="C6" s="3" t="s">
        <v>25</v>
      </c>
      <c r="D6" s="3"/>
      <c r="E6" s="5" t="s">
        <v>26</v>
      </c>
      <c r="F6" s="5"/>
      <c r="G6" s="5" t="s">
        <v>27</v>
      </c>
      <c r="H6" s="5"/>
      <c r="I6" s="5" t="s">
        <v>28</v>
      </c>
      <c r="J6" s="5"/>
      <c r="K6" s="5" t="s">
        <v>29</v>
      </c>
      <c r="L6" s="5"/>
      <c r="M6" s="5" t="s">
        <v>30</v>
      </c>
      <c r="N6" s="5"/>
      <c r="O6" s="5" t="s">
        <v>31</v>
      </c>
      <c r="P6" s="5"/>
      <c r="Q6" s="5" t="s">
        <v>32</v>
      </c>
      <c r="R6" s="5"/>
      <c r="S6" s="5" t="s">
        <v>33</v>
      </c>
      <c r="T6" s="5"/>
      <c r="U6" s="5" t="s">
        <v>34</v>
      </c>
      <c r="V6" s="5"/>
      <c r="W6" s="5" t="s">
        <v>35</v>
      </c>
      <c r="X6" s="5"/>
      <c r="Y6" s="6"/>
      <c r="Z6" s="7"/>
      <c r="AA6" s="7"/>
      <c r="AB6" s="7"/>
      <c r="AC6" s="6"/>
      <c r="AD6" s="6"/>
      <c r="AE6" s="6"/>
      <c r="AF6" s="6"/>
    </row>
    <row r="7" customFormat="1" ht="25" customHeight="1" spans="1:32">
      <c r="A7" s="6"/>
      <c r="B7" s="7"/>
      <c r="C7" s="7"/>
      <c r="D7" s="7"/>
      <c r="E7" s="7"/>
      <c r="F7" s="7"/>
      <c r="G7" s="8"/>
      <c r="H7" s="9"/>
      <c r="I7" s="9"/>
      <c r="J7" s="9"/>
      <c r="K7" s="9"/>
      <c r="L7" s="9"/>
      <c r="M7" s="6"/>
      <c r="N7" s="7"/>
      <c r="O7" s="7"/>
      <c r="P7" s="7"/>
      <c r="Q7" s="6"/>
      <c r="R7" s="7"/>
      <c r="S7" s="7"/>
      <c r="T7" s="7"/>
      <c r="U7" s="6"/>
      <c r="V7" s="7"/>
      <c r="W7" s="7"/>
      <c r="X7" s="7"/>
      <c r="Y7" s="6"/>
      <c r="Z7" s="7"/>
      <c r="AA7" s="7"/>
      <c r="AB7" s="7"/>
      <c r="AC7" s="6"/>
      <c r="AD7" s="6"/>
      <c r="AE7" s="6"/>
      <c r="AF7" s="6"/>
    </row>
    <row r="8" customFormat="1" ht="25" customHeight="1" spans="1:32">
      <c r="A8" s="10" t="s">
        <v>36</v>
      </c>
      <c r="B8" s="10"/>
      <c r="C8" s="10"/>
      <c r="D8" s="10" t="s">
        <v>37</v>
      </c>
      <c r="E8" s="10"/>
      <c r="F8" s="10"/>
      <c r="G8" s="10" t="s">
        <v>38</v>
      </c>
      <c r="H8" s="10"/>
      <c r="I8" s="10"/>
      <c r="J8" s="10" t="s">
        <v>39</v>
      </c>
      <c r="K8" s="10"/>
      <c r="L8" s="10"/>
      <c r="M8" s="10" t="s">
        <v>40</v>
      </c>
      <c r="N8" s="10"/>
      <c r="O8" s="10"/>
      <c r="P8" s="10" t="s">
        <v>41</v>
      </c>
      <c r="Q8" s="10"/>
      <c r="R8" s="10"/>
      <c r="S8" s="47" t="s">
        <v>42</v>
      </c>
      <c r="T8" s="47"/>
      <c r="U8" s="47"/>
      <c r="V8" s="7"/>
      <c r="W8" s="7"/>
      <c r="X8" s="7"/>
      <c r="Y8" s="6"/>
      <c r="Z8" s="7"/>
      <c r="AA8" s="7"/>
      <c r="AB8" s="7"/>
      <c r="AC8" s="6"/>
      <c r="AD8" s="6"/>
      <c r="AE8" s="6"/>
      <c r="AF8" s="6"/>
    </row>
    <row r="9" s="1" customFormat="1" ht="20" customHeight="1" spans="1:58">
      <c r="A9" s="11" t="s">
        <v>43</v>
      </c>
      <c r="B9" s="12"/>
      <c r="C9" s="13" t="s">
        <v>44</v>
      </c>
      <c r="D9" s="12"/>
      <c r="E9" s="12"/>
      <c r="F9" s="12"/>
      <c r="G9" s="14"/>
      <c r="H9" s="12" t="s">
        <v>45</v>
      </c>
      <c r="I9" s="12"/>
      <c r="J9" s="12"/>
      <c r="K9" s="12"/>
      <c r="L9" s="11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4"/>
      <c r="W9" s="11" t="s">
        <v>88</v>
      </c>
      <c r="X9" s="12"/>
      <c r="Y9" s="12"/>
      <c r="Z9" s="12"/>
      <c r="AA9" s="12"/>
      <c r="AB9" s="12"/>
      <c r="AC9" s="11" t="s">
        <v>48</v>
      </c>
      <c r="AD9" s="12"/>
      <c r="AE9" s="12"/>
      <c r="AF9" s="12"/>
      <c r="AG9" s="12"/>
      <c r="AH9" s="14"/>
      <c r="AI9" s="12" t="s">
        <v>49</v>
      </c>
      <c r="AJ9" s="12"/>
      <c r="AK9" s="12"/>
      <c r="AL9" s="14"/>
      <c r="AM9" s="12" t="s">
        <v>88</v>
      </c>
      <c r="AN9" s="12"/>
      <c r="AO9" s="12"/>
      <c r="AP9" s="12"/>
      <c r="AQ9" s="12"/>
      <c r="AR9" s="12"/>
      <c r="AS9" s="11" t="s">
        <v>48</v>
      </c>
      <c r="AT9" s="12"/>
      <c r="AU9" s="12"/>
      <c r="AV9" s="12"/>
      <c r="AW9" s="12"/>
      <c r="AX9" s="14"/>
      <c r="AY9" s="12" t="s">
        <v>50</v>
      </c>
      <c r="AZ9" s="12"/>
      <c r="BA9" s="12"/>
      <c r="BB9" s="12"/>
      <c r="BC9" s="11" t="s">
        <v>51</v>
      </c>
      <c r="BD9" s="12"/>
      <c r="BE9" s="12"/>
      <c r="BF9" s="14"/>
    </row>
    <row r="10" s="1" customFormat="1" ht="20" customHeight="1" spans="1:58">
      <c r="A10" s="15"/>
      <c r="B10" s="3"/>
      <c r="C10" s="16"/>
      <c r="D10" s="17"/>
      <c r="E10" s="17"/>
      <c r="F10" s="17"/>
      <c r="G10" s="18"/>
      <c r="H10" s="3"/>
      <c r="I10" s="3"/>
      <c r="J10" s="3"/>
      <c r="K10" s="3"/>
      <c r="L10" s="15"/>
      <c r="M10" s="3"/>
      <c r="N10" s="3"/>
      <c r="O10" s="3"/>
      <c r="P10" s="3"/>
      <c r="Q10" s="3"/>
      <c r="R10" s="3"/>
      <c r="S10" s="3"/>
      <c r="T10" s="3"/>
      <c r="U10" s="3"/>
      <c r="V10" s="48"/>
      <c r="W10" s="15" t="s">
        <v>53</v>
      </c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48"/>
      <c r="AI10" s="3" t="s">
        <v>54</v>
      </c>
      <c r="AJ10" s="3"/>
      <c r="AK10" s="3"/>
      <c r="AL10" s="48"/>
      <c r="AM10" s="3" t="s">
        <v>55</v>
      </c>
      <c r="AN10" s="3"/>
      <c r="AO10" s="3"/>
      <c r="AP10" s="3"/>
      <c r="AQ10" s="3"/>
      <c r="AR10" s="3"/>
      <c r="AS10" s="15"/>
      <c r="AT10" s="3"/>
      <c r="AU10" s="3"/>
      <c r="AV10" s="3"/>
      <c r="AW10" s="3"/>
      <c r="AX10" s="48"/>
      <c r="AY10" s="3" t="s">
        <v>54</v>
      </c>
      <c r="AZ10" s="3"/>
      <c r="BA10" s="3"/>
      <c r="BB10" s="3"/>
      <c r="BC10" s="16"/>
      <c r="BD10" s="17"/>
      <c r="BE10" s="17"/>
      <c r="BF10" s="18"/>
    </row>
    <row r="11" ht="25" customHeight="1" spans="1:58">
      <c r="A11" s="19">
        <v>1</v>
      </c>
      <c r="B11" s="20"/>
      <c r="C11" s="21">
        <v>43705.6259490741</v>
      </c>
      <c r="D11" s="20"/>
      <c r="E11" s="20"/>
      <c r="F11" s="20"/>
      <c r="G11" s="22"/>
      <c r="H11" s="20" t="s">
        <v>56</v>
      </c>
      <c r="I11" s="20"/>
      <c r="J11" s="20"/>
      <c r="K11" s="20"/>
      <c r="L11" s="37" t="s">
        <v>57</v>
      </c>
      <c r="M11" s="38"/>
      <c r="N11" s="38"/>
      <c r="O11" s="38"/>
      <c r="P11" s="38"/>
      <c r="Q11" s="38"/>
      <c r="R11" s="38"/>
      <c r="S11" s="38"/>
      <c r="T11" s="38"/>
      <c r="U11" s="38"/>
      <c r="V11" s="49"/>
      <c r="W11" s="50" t="s">
        <v>58</v>
      </c>
      <c r="X11" s="51"/>
      <c r="Y11" s="51"/>
      <c r="Z11" s="51"/>
      <c r="AA11" s="51"/>
      <c r="AB11" s="51"/>
      <c r="AC11" s="62" t="s">
        <v>59</v>
      </c>
      <c r="AD11" s="63"/>
      <c r="AE11" s="63"/>
      <c r="AF11" s="63"/>
      <c r="AG11" s="63"/>
      <c r="AH11" s="67"/>
      <c r="AI11" s="51">
        <v>35744.84</v>
      </c>
      <c r="AJ11" s="51"/>
      <c r="AK11" s="51"/>
      <c r="AL11" s="68"/>
      <c r="AM11" s="63" t="s">
        <v>60</v>
      </c>
      <c r="AN11" s="63"/>
      <c r="AO11" s="63"/>
      <c r="AP11" s="63"/>
      <c r="AQ11" s="63"/>
      <c r="AR11" s="63"/>
      <c r="AS11" s="62" t="s">
        <v>59</v>
      </c>
      <c r="AT11" s="63"/>
      <c r="AU11" s="63"/>
      <c r="AV11" s="63"/>
      <c r="AW11" s="63"/>
      <c r="AX11" s="67"/>
      <c r="AY11" s="63"/>
      <c r="AZ11" s="63"/>
      <c r="BA11" s="63"/>
      <c r="BB11" s="63"/>
      <c r="BC11" s="58">
        <v>35744.84</v>
      </c>
      <c r="BD11" s="59"/>
      <c r="BE11" s="59"/>
      <c r="BF11" s="71"/>
    </row>
    <row r="12" ht="25" customHeight="1" spans="1:58">
      <c r="A12" s="23">
        <v>2</v>
      </c>
      <c r="B12" s="24"/>
      <c r="C12" s="25">
        <v>43706.6259490741</v>
      </c>
      <c r="D12" s="24"/>
      <c r="E12" s="24"/>
      <c r="F12" s="24"/>
      <c r="G12" s="26"/>
      <c r="H12" s="24" t="s">
        <v>62</v>
      </c>
      <c r="I12" s="24"/>
      <c r="J12" s="24"/>
      <c r="K12" s="24"/>
      <c r="L12" s="39" t="s">
        <v>63</v>
      </c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43" t="s">
        <v>64</v>
      </c>
      <c r="X12" s="44"/>
      <c r="Y12" s="44"/>
      <c r="Z12" s="44"/>
      <c r="AA12" s="44"/>
      <c r="AB12" s="44"/>
      <c r="AC12" s="43" t="s">
        <v>65</v>
      </c>
      <c r="AD12" s="44"/>
      <c r="AE12" s="44"/>
      <c r="AF12" s="44"/>
      <c r="AG12" s="44"/>
      <c r="AH12" s="55"/>
      <c r="AI12" s="57"/>
      <c r="AJ12" s="57"/>
      <c r="AK12" s="57"/>
      <c r="AL12" s="69"/>
      <c r="AM12" s="57" t="s">
        <v>58</v>
      </c>
      <c r="AN12" s="57"/>
      <c r="AO12" s="57"/>
      <c r="AP12" s="57"/>
      <c r="AQ12" s="57"/>
      <c r="AR12" s="57"/>
      <c r="AS12" s="23" t="s">
        <v>66</v>
      </c>
      <c r="AT12" s="66"/>
      <c r="AU12" s="66"/>
      <c r="AV12" s="66"/>
      <c r="AW12" s="66"/>
      <c r="AX12" s="26"/>
      <c r="AY12" s="74">
        <v>248</v>
      </c>
      <c r="AZ12" s="74"/>
      <c r="BA12" s="74"/>
      <c r="BB12" s="74"/>
      <c r="BC12" s="75">
        <f t="shared" ref="BC12:BC29" si="0">SUM(BC11+AI12-AY12)</f>
        <v>35496.84</v>
      </c>
      <c r="BD12" s="74"/>
      <c r="BE12" s="74"/>
      <c r="BF12" s="80"/>
    </row>
    <row r="13" ht="25" customHeight="1" spans="1:58">
      <c r="A13" s="27">
        <v>3</v>
      </c>
      <c r="B13" s="28"/>
      <c r="C13" s="29">
        <v>43707.6259490741</v>
      </c>
      <c r="D13" s="28"/>
      <c r="E13" s="28"/>
      <c r="F13" s="28"/>
      <c r="G13" s="30"/>
      <c r="H13" s="28" t="s">
        <v>67</v>
      </c>
      <c r="I13" s="28"/>
      <c r="J13" s="28"/>
      <c r="K13" s="28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53"/>
      <c r="W13" s="27" t="s">
        <v>68</v>
      </c>
      <c r="X13" s="54"/>
      <c r="Y13" s="54"/>
      <c r="Z13" s="54"/>
      <c r="AA13" s="54"/>
      <c r="AB13" s="54"/>
      <c r="AC13" s="64" t="s">
        <v>69</v>
      </c>
      <c r="AD13" s="65"/>
      <c r="AE13" s="65"/>
      <c r="AF13" s="65"/>
      <c r="AG13" s="65"/>
      <c r="AH13" s="70"/>
      <c r="AI13" s="59"/>
      <c r="AJ13" s="59"/>
      <c r="AK13" s="59"/>
      <c r="AL13" s="71"/>
      <c r="AM13" s="59"/>
      <c r="AN13" s="59"/>
      <c r="AO13" s="59"/>
      <c r="AP13" s="59"/>
      <c r="AQ13" s="59"/>
      <c r="AR13" s="59"/>
      <c r="AS13" s="27"/>
      <c r="AT13" s="54"/>
      <c r="AU13" s="54"/>
      <c r="AV13" s="54"/>
      <c r="AW13" s="54"/>
      <c r="AX13" s="30"/>
      <c r="AY13" s="76">
        <v>610</v>
      </c>
      <c r="AZ13" s="76"/>
      <c r="BA13" s="76"/>
      <c r="BB13" s="76"/>
      <c r="BC13" s="77">
        <f t="shared" si="0"/>
        <v>34886.84</v>
      </c>
      <c r="BD13" s="76"/>
      <c r="BE13" s="76"/>
      <c r="BF13" s="81"/>
    </row>
    <row r="14" ht="25" customHeight="1" spans="1:58">
      <c r="A14" s="23">
        <v>4</v>
      </c>
      <c r="B14" s="24"/>
      <c r="C14" s="25">
        <v>43708.6259490741</v>
      </c>
      <c r="D14" s="24"/>
      <c r="E14" s="24"/>
      <c r="F14" s="24"/>
      <c r="G14" s="26"/>
      <c r="H14" s="24" t="s">
        <v>70</v>
      </c>
      <c r="I14" s="24"/>
      <c r="J14" s="24"/>
      <c r="K14" s="24"/>
      <c r="L14" s="43" t="s">
        <v>71</v>
      </c>
      <c r="M14" s="44"/>
      <c r="N14" s="44"/>
      <c r="O14" s="44"/>
      <c r="P14" s="44"/>
      <c r="Q14" s="44"/>
      <c r="R14" s="44"/>
      <c r="S14" s="44"/>
      <c r="T14" s="44"/>
      <c r="U14" s="44"/>
      <c r="V14" s="55"/>
      <c r="W14" s="56" t="s">
        <v>58</v>
      </c>
      <c r="X14" s="57"/>
      <c r="Y14" s="57"/>
      <c r="Z14" s="57"/>
      <c r="AA14" s="57"/>
      <c r="AB14" s="57"/>
      <c r="AC14" s="23" t="s">
        <v>72</v>
      </c>
      <c r="AD14" s="66"/>
      <c r="AE14" s="66"/>
      <c r="AF14" s="66"/>
      <c r="AG14" s="66"/>
      <c r="AH14" s="26"/>
      <c r="AI14" s="57"/>
      <c r="AJ14" s="57"/>
      <c r="AK14" s="57"/>
      <c r="AL14" s="69"/>
      <c r="AM14" s="57" t="s">
        <v>58</v>
      </c>
      <c r="AN14" s="57"/>
      <c r="AO14" s="57"/>
      <c r="AP14" s="57"/>
      <c r="AQ14" s="57"/>
      <c r="AR14" s="57"/>
      <c r="AS14" s="23" t="s">
        <v>66</v>
      </c>
      <c r="AT14" s="66"/>
      <c r="AU14" s="66"/>
      <c r="AV14" s="66"/>
      <c r="AW14" s="66"/>
      <c r="AX14" s="26"/>
      <c r="AY14" s="57">
        <v>33000</v>
      </c>
      <c r="AZ14" s="57"/>
      <c r="BA14" s="57"/>
      <c r="BB14" s="57"/>
      <c r="BC14" s="75">
        <f t="shared" si="0"/>
        <v>1886.84</v>
      </c>
      <c r="BD14" s="74"/>
      <c r="BE14" s="74"/>
      <c r="BF14" s="80"/>
    </row>
    <row r="15" ht="25" customHeight="1" spans="1:58">
      <c r="A15" s="27">
        <v>5</v>
      </c>
      <c r="B15" s="28"/>
      <c r="C15" s="29">
        <v>43709.6259490741</v>
      </c>
      <c r="D15" s="28"/>
      <c r="E15" s="28"/>
      <c r="F15" s="28"/>
      <c r="G15" s="30"/>
      <c r="H15" s="28" t="s">
        <v>73</v>
      </c>
      <c r="I15" s="28"/>
      <c r="J15" s="28"/>
      <c r="K15" s="28"/>
      <c r="L15" s="41" t="s">
        <v>57</v>
      </c>
      <c r="M15" s="42"/>
      <c r="N15" s="42"/>
      <c r="O15" s="42"/>
      <c r="P15" s="42"/>
      <c r="Q15" s="42"/>
      <c r="R15" s="42"/>
      <c r="S15" s="42"/>
      <c r="T15" s="42"/>
      <c r="U15" s="42"/>
      <c r="V15" s="53"/>
      <c r="W15" s="58" t="s">
        <v>58</v>
      </c>
      <c r="X15" s="59"/>
      <c r="Y15" s="59"/>
      <c r="Z15" s="59"/>
      <c r="AA15" s="59"/>
      <c r="AB15" s="59"/>
      <c r="AC15" s="64" t="s">
        <v>59</v>
      </c>
      <c r="AD15" s="65"/>
      <c r="AE15" s="65"/>
      <c r="AF15" s="65"/>
      <c r="AG15" s="65"/>
      <c r="AH15" s="70"/>
      <c r="AI15" s="59">
        <v>35744.84</v>
      </c>
      <c r="AJ15" s="59"/>
      <c r="AK15" s="59"/>
      <c r="AL15" s="71"/>
      <c r="AM15" s="65" t="s">
        <v>60</v>
      </c>
      <c r="AN15" s="65"/>
      <c r="AO15" s="65"/>
      <c r="AP15" s="65"/>
      <c r="AQ15" s="65"/>
      <c r="AR15" s="65"/>
      <c r="AS15" s="64" t="s">
        <v>59</v>
      </c>
      <c r="AT15" s="65"/>
      <c r="AU15" s="65"/>
      <c r="AV15" s="65"/>
      <c r="AW15" s="65"/>
      <c r="AX15" s="70"/>
      <c r="AY15" s="65"/>
      <c r="AZ15" s="65"/>
      <c r="BA15" s="65"/>
      <c r="BB15" s="65"/>
      <c r="BC15" s="77">
        <f t="shared" si="0"/>
        <v>37631.68</v>
      </c>
      <c r="BD15" s="76"/>
      <c r="BE15" s="76"/>
      <c r="BF15" s="81"/>
    </row>
    <row r="16" ht="25" customHeight="1" spans="1:58">
      <c r="A16" s="23">
        <v>6</v>
      </c>
      <c r="B16" s="24"/>
      <c r="C16" s="25">
        <v>43710.6259490741</v>
      </c>
      <c r="D16" s="24"/>
      <c r="E16" s="24"/>
      <c r="F16" s="24"/>
      <c r="G16" s="26"/>
      <c r="H16" s="24" t="s">
        <v>74</v>
      </c>
      <c r="I16" s="24"/>
      <c r="J16" s="24"/>
      <c r="K16" s="24"/>
      <c r="L16" s="39" t="s">
        <v>63</v>
      </c>
      <c r="M16" s="40"/>
      <c r="N16" s="40"/>
      <c r="O16" s="40"/>
      <c r="P16" s="40"/>
      <c r="Q16" s="40"/>
      <c r="R16" s="40"/>
      <c r="S16" s="40"/>
      <c r="T16" s="40"/>
      <c r="U16" s="40"/>
      <c r="V16" s="52"/>
      <c r="W16" s="43" t="s">
        <v>64</v>
      </c>
      <c r="X16" s="44"/>
      <c r="Y16" s="44"/>
      <c r="Z16" s="44"/>
      <c r="AA16" s="44"/>
      <c r="AB16" s="44"/>
      <c r="AC16" s="43" t="s">
        <v>65</v>
      </c>
      <c r="AD16" s="44"/>
      <c r="AE16" s="44"/>
      <c r="AF16" s="44"/>
      <c r="AG16" s="44"/>
      <c r="AH16" s="55"/>
      <c r="AI16" s="57"/>
      <c r="AJ16" s="57"/>
      <c r="AK16" s="57"/>
      <c r="AL16" s="69"/>
      <c r="AM16" s="57" t="s">
        <v>58</v>
      </c>
      <c r="AN16" s="57"/>
      <c r="AO16" s="57"/>
      <c r="AP16" s="57"/>
      <c r="AQ16" s="57"/>
      <c r="AR16" s="57"/>
      <c r="AS16" s="23" t="s">
        <v>66</v>
      </c>
      <c r="AT16" s="66"/>
      <c r="AU16" s="66"/>
      <c r="AV16" s="66"/>
      <c r="AW16" s="66"/>
      <c r="AX16" s="26"/>
      <c r="AY16" s="74">
        <v>248</v>
      </c>
      <c r="AZ16" s="74"/>
      <c r="BA16" s="74"/>
      <c r="BB16" s="74"/>
      <c r="BC16" s="75">
        <f t="shared" si="0"/>
        <v>37383.68</v>
      </c>
      <c r="BD16" s="74"/>
      <c r="BE16" s="74"/>
      <c r="BF16" s="80"/>
    </row>
    <row r="17" ht="25" customHeight="1" spans="1:58">
      <c r="A17" s="27">
        <v>7</v>
      </c>
      <c r="B17" s="28"/>
      <c r="C17" s="29">
        <v>43711.6259490741</v>
      </c>
      <c r="D17" s="28"/>
      <c r="E17" s="28"/>
      <c r="F17" s="28"/>
      <c r="G17" s="30"/>
      <c r="H17" s="28" t="s">
        <v>75</v>
      </c>
      <c r="I17" s="28"/>
      <c r="J17" s="28"/>
      <c r="K17" s="28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53"/>
      <c r="W17" s="27" t="s">
        <v>68</v>
      </c>
      <c r="X17" s="54"/>
      <c r="Y17" s="54"/>
      <c r="Z17" s="54"/>
      <c r="AA17" s="54"/>
      <c r="AB17" s="54"/>
      <c r="AC17" s="64" t="s">
        <v>69</v>
      </c>
      <c r="AD17" s="65"/>
      <c r="AE17" s="65"/>
      <c r="AF17" s="65"/>
      <c r="AG17" s="65"/>
      <c r="AH17" s="70"/>
      <c r="AI17" s="59"/>
      <c r="AJ17" s="59"/>
      <c r="AK17" s="59"/>
      <c r="AL17" s="71"/>
      <c r="AM17" s="59"/>
      <c r="AN17" s="59"/>
      <c r="AO17" s="59"/>
      <c r="AP17" s="59"/>
      <c r="AQ17" s="59"/>
      <c r="AR17" s="59"/>
      <c r="AS17" s="27"/>
      <c r="AT17" s="54"/>
      <c r="AU17" s="54"/>
      <c r="AV17" s="54"/>
      <c r="AW17" s="54"/>
      <c r="AX17" s="30"/>
      <c r="AY17" s="76">
        <v>610</v>
      </c>
      <c r="AZ17" s="76"/>
      <c r="BA17" s="76"/>
      <c r="BB17" s="76"/>
      <c r="BC17" s="77">
        <f t="shared" si="0"/>
        <v>36773.68</v>
      </c>
      <c r="BD17" s="76"/>
      <c r="BE17" s="76"/>
      <c r="BF17" s="81"/>
    </row>
    <row r="18" ht="25" customHeight="1" spans="1:58">
      <c r="A18" s="23">
        <v>8</v>
      </c>
      <c r="B18" s="24"/>
      <c r="C18" s="25">
        <v>43712.6259490741</v>
      </c>
      <c r="D18" s="24"/>
      <c r="E18" s="24"/>
      <c r="F18" s="24"/>
      <c r="G18" s="26"/>
      <c r="H18" s="24" t="s">
        <v>76</v>
      </c>
      <c r="I18" s="24"/>
      <c r="J18" s="24"/>
      <c r="K18" s="24"/>
      <c r="L18" s="43" t="s">
        <v>71</v>
      </c>
      <c r="M18" s="44"/>
      <c r="N18" s="44"/>
      <c r="O18" s="44"/>
      <c r="P18" s="44"/>
      <c r="Q18" s="44"/>
      <c r="R18" s="44"/>
      <c r="S18" s="44"/>
      <c r="T18" s="44"/>
      <c r="U18" s="44"/>
      <c r="V18" s="55"/>
      <c r="W18" s="56" t="s">
        <v>58</v>
      </c>
      <c r="X18" s="57"/>
      <c r="Y18" s="57"/>
      <c r="Z18" s="57"/>
      <c r="AA18" s="57"/>
      <c r="AB18" s="57"/>
      <c r="AC18" s="23" t="s">
        <v>72</v>
      </c>
      <c r="AD18" s="66"/>
      <c r="AE18" s="66"/>
      <c r="AF18" s="66"/>
      <c r="AG18" s="66"/>
      <c r="AH18" s="26"/>
      <c r="AI18" s="57"/>
      <c r="AJ18" s="57"/>
      <c r="AK18" s="57"/>
      <c r="AL18" s="69"/>
      <c r="AM18" s="57" t="s">
        <v>58</v>
      </c>
      <c r="AN18" s="57"/>
      <c r="AO18" s="57"/>
      <c r="AP18" s="57"/>
      <c r="AQ18" s="57"/>
      <c r="AR18" s="57"/>
      <c r="AS18" s="23" t="s">
        <v>66</v>
      </c>
      <c r="AT18" s="66"/>
      <c r="AU18" s="66"/>
      <c r="AV18" s="66"/>
      <c r="AW18" s="66"/>
      <c r="AX18" s="26"/>
      <c r="AY18" s="57">
        <v>33000</v>
      </c>
      <c r="AZ18" s="57"/>
      <c r="BA18" s="57"/>
      <c r="BB18" s="57"/>
      <c r="BC18" s="75">
        <f t="shared" si="0"/>
        <v>3773.67999999999</v>
      </c>
      <c r="BD18" s="74"/>
      <c r="BE18" s="74"/>
      <c r="BF18" s="80"/>
    </row>
    <row r="19" ht="25" customHeight="1" spans="1:58">
      <c r="A19" s="27">
        <v>9</v>
      </c>
      <c r="B19" s="28"/>
      <c r="C19" s="29">
        <v>43713.6259490741</v>
      </c>
      <c r="D19" s="28"/>
      <c r="E19" s="28"/>
      <c r="F19" s="28"/>
      <c r="G19" s="30"/>
      <c r="H19" s="28" t="s">
        <v>77</v>
      </c>
      <c r="I19" s="28"/>
      <c r="J19" s="28"/>
      <c r="K19" s="28"/>
      <c r="L19" s="41" t="s">
        <v>57</v>
      </c>
      <c r="M19" s="42"/>
      <c r="N19" s="42"/>
      <c r="O19" s="42"/>
      <c r="P19" s="42"/>
      <c r="Q19" s="42"/>
      <c r="R19" s="42"/>
      <c r="S19" s="42"/>
      <c r="T19" s="42"/>
      <c r="U19" s="42"/>
      <c r="V19" s="53"/>
      <c r="W19" s="58" t="s">
        <v>58</v>
      </c>
      <c r="X19" s="59"/>
      <c r="Y19" s="59"/>
      <c r="Z19" s="59"/>
      <c r="AA19" s="59"/>
      <c r="AB19" s="59"/>
      <c r="AC19" s="64" t="s">
        <v>59</v>
      </c>
      <c r="AD19" s="65"/>
      <c r="AE19" s="65"/>
      <c r="AF19" s="65"/>
      <c r="AG19" s="65"/>
      <c r="AH19" s="70"/>
      <c r="AI19" s="59">
        <v>35744.84</v>
      </c>
      <c r="AJ19" s="59"/>
      <c r="AK19" s="59"/>
      <c r="AL19" s="71"/>
      <c r="AM19" s="65" t="s">
        <v>60</v>
      </c>
      <c r="AN19" s="65"/>
      <c r="AO19" s="65"/>
      <c r="AP19" s="65"/>
      <c r="AQ19" s="65"/>
      <c r="AR19" s="65"/>
      <c r="AS19" s="64" t="s">
        <v>59</v>
      </c>
      <c r="AT19" s="65"/>
      <c r="AU19" s="65"/>
      <c r="AV19" s="65"/>
      <c r="AW19" s="65"/>
      <c r="AX19" s="70"/>
      <c r="AY19" s="65"/>
      <c r="AZ19" s="65"/>
      <c r="BA19" s="65"/>
      <c r="BB19" s="65"/>
      <c r="BC19" s="77">
        <f t="shared" si="0"/>
        <v>39518.52</v>
      </c>
      <c r="BD19" s="76"/>
      <c r="BE19" s="76"/>
      <c r="BF19" s="81"/>
    </row>
    <row r="20" ht="25" customHeight="1" spans="1:58">
      <c r="A20" s="23">
        <v>10</v>
      </c>
      <c r="B20" s="24"/>
      <c r="C20" s="25">
        <v>43714.6259490741</v>
      </c>
      <c r="D20" s="24"/>
      <c r="E20" s="24"/>
      <c r="F20" s="24"/>
      <c r="G20" s="26"/>
      <c r="H20" s="24" t="s">
        <v>78</v>
      </c>
      <c r="I20" s="24"/>
      <c r="J20" s="24"/>
      <c r="K20" s="24"/>
      <c r="L20" s="39" t="s">
        <v>63</v>
      </c>
      <c r="M20" s="40"/>
      <c r="N20" s="40"/>
      <c r="O20" s="40"/>
      <c r="P20" s="40"/>
      <c r="Q20" s="40"/>
      <c r="R20" s="40"/>
      <c r="S20" s="40"/>
      <c r="T20" s="40"/>
      <c r="U20" s="40"/>
      <c r="V20" s="52"/>
      <c r="W20" s="43" t="s">
        <v>64</v>
      </c>
      <c r="X20" s="44"/>
      <c r="Y20" s="44"/>
      <c r="Z20" s="44"/>
      <c r="AA20" s="44"/>
      <c r="AB20" s="44"/>
      <c r="AC20" s="43" t="s">
        <v>65</v>
      </c>
      <c r="AD20" s="44"/>
      <c r="AE20" s="44"/>
      <c r="AF20" s="44"/>
      <c r="AG20" s="44"/>
      <c r="AH20" s="55"/>
      <c r="AI20" s="57"/>
      <c r="AJ20" s="57"/>
      <c r="AK20" s="57"/>
      <c r="AL20" s="69"/>
      <c r="AM20" s="57" t="s">
        <v>58</v>
      </c>
      <c r="AN20" s="57"/>
      <c r="AO20" s="57"/>
      <c r="AP20" s="57"/>
      <c r="AQ20" s="57"/>
      <c r="AR20" s="57"/>
      <c r="AS20" s="23" t="s">
        <v>66</v>
      </c>
      <c r="AT20" s="66"/>
      <c r="AU20" s="66"/>
      <c r="AV20" s="66"/>
      <c r="AW20" s="66"/>
      <c r="AX20" s="26"/>
      <c r="AY20" s="74">
        <v>248</v>
      </c>
      <c r="AZ20" s="74"/>
      <c r="BA20" s="74"/>
      <c r="BB20" s="74"/>
      <c r="BC20" s="75">
        <f t="shared" si="0"/>
        <v>39270.52</v>
      </c>
      <c r="BD20" s="74"/>
      <c r="BE20" s="74"/>
      <c r="BF20" s="80"/>
    </row>
    <row r="21" ht="25" customHeight="1" spans="1:58">
      <c r="A21" s="27">
        <v>11</v>
      </c>
      <c r="B21" s="28"/>
      <c r="C21" s="29">
        <v>43715.6259490741</v>
      </c>
      <c r="D21" s="28"/>
      <c r="E21" s="28"/>
      <c r="F21" s="28"/>
      <c r="G21" s="30"/>
      <c r="H21" s="28" t="s">
        <v>79</v>
      </c>
      <c r="I21" s="28"/>
      <c r="J21" s="28"/>
      <c r="K21" s="28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53"/>
      <c r="W21" s="27" t="s">
        <v>68</v>
      </c>
      <c r="X21" s="54"/>
      <c r="Y21" s="54"/>
      <c r="Z21" s="54"/>
      <c r="AA21" s="54"/>
      <c r="AB21" s="54"/>
      <c r="AC21" s="64" t="s">
        <v>69</v>
      </c>
      <c r="AD21" s="65"/>
      <c r="AE21" s="65"/>
      <c r="AF21" s="65"/>
      <c r="AG21" s="65"/>
      <c r="AH21" s="70"/>
      <c r="AI21" s="59"/>
      <c r="AJ21" s="59"/>
      <c r="AK21" s="59"/>
      <c r="AL21" s="71"/>
      <c r="AM21" s="59"/>
      <c r="AN21" s="59"/>
      <c r="AO21" s="59"/>
      <c r="AP21" s="59"/>
      <c r="AQ21" s="59"/>
      <c r="AR21" s="59"/>
      <c r="AS21" s="27"/>
      <c r="AT21" s="54"/>
      <c r="AU21" s="54"/>
      <c r="AV21" s="54"/>
      <c r="AW21" s="54"/>
      <c r="AX21" s="30"/>
      <c r="AY21" s="76">
        <v>610</v>
      </c>
      <c r="AZ21" s="76"/>
      <c r="BA21" s="76"/>
      <c r="BB21" s="76"/>
      <c r="BC21" s="77">
        <f t="shared" si="0"/>
        <v>38660.52</v>
      </c>
      <c r="BD21" s="76"/>
      <c r="BE21" s="76"/>
      <c r="BF21" s="81"/>
    </row>
    <row r="22" ht="25" customHeight="1" spans="1:58">
      <c r="A22" s="23">
        <v>12</v>
      </c>
      <c r="B22" s="24"/>
      <c r="C22" s="25">
        <v>43716.6259490741</v>
      </c>
      <c r="D22" s="24"/>
      <c r="E22" s="24"/>
      <c r="F22" s="24"/>
      <c r="G22" s="26"/>
      <c r="H22" s="24" t="s">
        <v>80</v>
      </c>
      <c r="I22" s="24"/>
      <c r="J22" s="24"/>
      <c r="K22" s="24"/>
      <c r="L22" s="43" t="s">
        <v>71</v>
      </c>
      <c r="M22" s="44"/>
      <c r="N22" s="44"/>
      <c r="O22" s="44"/>
      <c r="P22" s="44"/>
      <c r="Q22" s="44"/>
      <c r="R22" s="44"/>
      <c r="S22" s="44"/>
      <c r="T22" s="44"/>
      <c r="U22" s="44"/>
      <c r="V22" s="55"/>
      <c r="W22" s="56" t="s">
        <v>58</v>
      </c>
      <c r="X22" s="57"/>
      <c r="Y22" s="57"/>
      <c r="Z22" s="57"/>
      <c r="AA22" s="57"/>
      <c r="AB22" s="57"/>
      <c r="AC22" s="23" t="s">
        <v>72</v>
      </c>
      <c r="AD22" s="66"/>
      <c r="AE22" s="66"/>
      <c r="AF22" s="66"/>
      <c r="AG22" s="66"/>
      <c r="AH22" s="26"/>
      <c r="AI22" s="57"/>
      <c r="AJ22" s="57"/>
      <c r="AK22" s="57"/>
      <c r="AL22" s="69"/>
      <c r="AM22" s="57" t="s">
        <v>58</v>
      </c>
      <c r="AN22" s="57"/>
      <c r="AO22" s="57"/>
      <c r="AP22" s="57"/>
      <c r="AQ22" s="57"/>
      <c r="AR22" s="57"/>
      <c r="AS22" s="23" t="s">
        <v>66</v>
      </c>
      <c r="AT22" s="66"/>
      <c r="AU22" s="66"/>
      <c r="AV22" s="66"/>
      <c r="AW22" s="66"/>
      <c r="AX22" s="26"/>
      <c r="AY22" s="57">
        <v>33000</v>
      </c>
      <c r="AZ22" s="57"/>
      <c r="BA22" s="57"/>
      <c r="BB22" s="57"/>
      <c r="BC22" s="75">
        <f t="shared" si="0"/>
        <v>5660.51999999999</v>
      </c>
      <c r="BD22" s="74"/>
      <c r="BE22" s="74"/>
      <c r="BF22" s="80"/>
    </row>
    <row r="23" ht="25" customHeight="1" spans="1:58">
      <c r="A23" s="27">
        <v>13</v>
      </c>
      <c r="B23" s="28"/>
      <c r="C23" s="29">
        <v>43717.6259490741</v>
      </c>
      <c r="D23" s="28"/>
      <c r="E23" s="28"/>
      <c r="F23" s="28"/>
      <c r="G23" s="30"/>
      <c r="H23" s="28" t="s">
        <v>81</v>
      </c>
      <c r="I23" s="28"/>
      <c r="J23" s="28"/>
      <c r="K23" s="28"/>
      <c r="L23" s="41" t="s">
        <v>57</v>
      </c>
      <c r="M23" s="42"/>
      <c r="N23" s="42"/>
      <c r="O23" s="42"/>
      <c r="P23" s="42"/>
      <c r="Q23" s="42"/>
      <c r="R23" s="42"/>
      <c r="S23" s="42"/>
      <c r="T23" s="42"/>
      <c r="U23" s="42"/>
      <c r="V23" s="53"/>
      <c r="W23" s="58" t="s">
        <v>58</v>
      </c>
      <c r="X23" s="59"/>
      <c r="Y23" s="59"/>
      <c r="Z23" s="59"/>
      <c r="AA23" s="59"/>
      <c r="AB23" s="59"/>
      <c r="AC23" s="64" t="s">
        <v>59</v>
      </c>
      <c r="AD23" s="65"/>
      <c r="AE23" s="65"/>
      <c r="AF23" s="65"/>
      <c r="AG23" s="65"/>
      <c r="AH23" s="70"/>
      <c r="AI23" s="59">
        <v>35744.84</v>
      </c>
      <c r="AJ23" s="59"/>
      <c r="AK23" s="59"/>
      <c r="AL23" s="71"/>
      <c r="AM23" s="65" t="s">
        <v>60</v>
      </c>
      <c r="AN23" s="65"/>
      <c r="AO23" s="65"/>
      <c r="AP23" s="65"/>
      <c r="AQ23" s="65"/>
      <c r="AR23" s="65"/>
      <c r="AS23" s="64" t="s">
        <v>59</v>
      </c>
      <c r="AT23" s="65"/>
      <c r="AU23" s="65"/>
      <c r="AV23" s="65"/>
      <c r="AW23" s="65"/>
      <c r="AX23" s="70"/>
      <c r="AY23" s="65"/>
      <c r="AZ23" s="65"/>
      <c r="BA23" s="65"/>
      <c r="BB23" s="65"/>
      <c r="BC23" s="77">
        <f t="shared" si="0"/>
        <v>41405.36</v>
      </c>
      <c r="BD23" s="76"/>
      <c r="BE23" s="76"/>
      <c r="BF23" s="81"/>
    </row>
    <row r="24" ht="25" customHeight="1" spans="1:58">
      <c r="A24" s="23">
        <v>14</v>
      </c>
      <c r="B24" s="24"/>
      <c r="C24" s="25">
        <v>43718.6259490741</v>
      </c>
      <c r="D24" s="24"/>
      <c r="E24" s="24"/>
      <c r="F24" s="24"/>
      <c r="G24" s="26"/>
      <c r="H24" s="24" t="s">
        <v>82</v>
      </c>
      <c r="I24" s="24"/>
      <c r="J24" s="24"/>
      <c r="K24" s="24"/>
      <c r="L24" s="39" t="s">
        <v>63</v>
      </c>
      <c r="M24" s="40"/>
      <c r="N24" s="40"/>
      <c r="O24" s="40"/>
      <c r="P24" s="40"/>
      <c r="Q24" s="40"/>
      <c r="R24" s="40"/>
      <c r="S24" s="40"/>
      <c r="T24" s="40"/>
      <c r="U24" s="40"/>
      <c r="V24" s="52"/>
      <c r="W24" s="43" t="s">
        <v>64</v>
      </c>
      <c r="X24" s="44"/>
      <c r="Y24" s="44"/>
      <c r="Z24" s="44"/>
      <c r="AA24" s="44"/>
      <c r="AB24" s="44"/>
      <c r="AC24" s="43" t="s">
        <v>65</v>
      </c>
      <c r="AD24" s="44"/>
      <c r="AE24" s="44"/>
      <c r="AF24" s="44"/>
      <c r="AG24" s="44"/>
      <c r="AH24" s="55"/>
      <c r="AI24" s="57"/>
      <c r="AJ24" s="57"/>
      <c r="AK24" s="57"/>
      <c r="AL24" s="69"/>
      <c r="AM24" s="57" t="s">
        <v>58</v>
      </c>
      <c r="AN24" s="57"/>
      <c r="AO24" s="57"/>
      <c r="AP24" s="57"/>
      <c r="AQ24" s="57"/>
      <c r="AR24" s="57"/>
      <c r="AS24" s="23" t="s">
        <v>66</v>
      </c>
      <c r="AT24" s="66"/>
      <c r="AU24" s="66"/>
      <c r="AV24" s="66"/>
      <c r="AW24" s="66"/>
      <c r="AX24" s="26"/>
      <c r="AY24" s="74">
        <v>248</v>
      </c>
      <c r="AZ24" s="74"/>
      <c r="BA24" s="74"/>
      <c r="BB24" s="74"/>
      <c r="BC24" s="75">
        <f t="shared" si="0"/>
        <v>41157.36</v>
      </c>
      <c r="BD24" s="74"/>
      <c r="BE24" s="74"/>
      <c r="BF24" s="80"/>
    </row>
    <row r="25" ht="25" customHeight="1" spans="1:58">
      <c r="A25" s="27">
        <v>15</v>
      </c>
      <c r="B25" s="28"/>
      <c r="C25" s="29">
        <v>43719.6259490741</v>
      </c>
      <c r="D25" s="28"/>
      <c r="E25" s="28"/>
      <c r="F25" s="28"/>
      <c r="G25" s="30"/>
      <c r="H25" s="28" t="s">
        <v>83</v>
      </c>
      <c r="I25" s="28"/>
      <c r="J25" s="28"/>
      <c r="K25" s="28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53"/>
      <c r="W25" s="27" t="s">
        <v>68</v>
      </c>
      <c r="X25" s="54"/>
      <c r="Y25" s="54"/>
      <c r="Z25" s="54"/>
      <c r="AA25" s="54"/>
      <c r="AB25" s="54"/>
      <c r="AC25" s="64" t="s">
        <v>69</v>
      </c>
      <c r="AD25" s="65"/>
      <c r="AE25" s="65"/>
      <c r="AF25" s="65"/>
      <c r="AG25" s="65"/>
      <c r="AH25" s="70"/>
      <c r="AI25" s="59"/>
      <c r="AJ25" s="59"/>
      <c r="AK25" s="59"/>
      <c r="AL25" s="71"/>
      <c r="AM25" s="59"/>
      <c r="AN25" s="59"/>
      <c r="AO25" s="59"/>
      <c r="AP25" s="59"/>
      <c r="AQ25" s="59"/>
      <c r="AR25" s="59"/>
      <c r="AS25" s="27"/>
      <c r="AT25" s="54"/>
      <c r="AU25" s="54"/>
      <c r="AV25" s="54"/>
      <c r="AW25" s="54"/>
      <c r="AX25" s="30"/>
      <c r="AY25" s="76">
        <v>610</v>
      </c>
      <c r="AZ25" s="76"/>
      <c r="BA25" s="76"/>
      <c r="BB25" s="76"/>
      <c r="BC25" s="77">
        <f t="shared" si="0"/>
        <v>40547.36</v>
      </c>
      <c r="BD25" s="76"/>
      <c r="BE25" s="76"/>
      <c r="BF25" s="81"/>
    </row>
    <row r="26" ht="25" customHeight="1" spans="1:58">
      <c r="A26" s="23">
        <v>16</v>
      </c>
      <c r="B26" s="24"/>
      <c r="C26" s="25">
        <v>43720.6259490741</v>
      </c>
      <c r="D26" s="24"/>
      <c r="E26" s="24"/>
      <c r="F26" s="24"/>
      <c r="G26" s="26"/>
      <c r="H26" s="24" t="s">
        <v>84</v>
      </c>
      <c r="I26" s="24"/>
      <c r="J26" s="24"/>
      <c r="K26" s="24"/>
      <c r="L26" s="43" t="s">
        <v>71</v>
      </c>
      <c r="M26" s="44"/>
      <c r="N26" s="44"/>
      <c r="O26" s="44"/>
      <c r="P26" s="44"/>
      <c r="Q26" s="44"/>
      <c r="R26" s="44"/>
      <c r="S26" s="44"/>
      <c r="T26" s="44"/>
      <c r="U26" s="44"/>
      <c r="V26" s="55"/>
      <c r="W26" s="56" t="s">
        <v>58</v>
      </c>
      <c r="X26" s="57"/>
      <c r="Y26" s="57"/>
      <c r="Z26" s="57"/>
      <c r="AA26" s="57"/>
      <c r="AB26" s="57"/>
      <c r="AC26" s="23" t="s">
        <v>72</v>
      </c>
      <c r="AD26" s="66"/>
      <c r="AE26" s="66"/>
      <c r="AF26" s="66"/>
      <c r="AG26" s="66"/>
      <c r="AH26" s="26"/>
      <c r="AI26" s="57"/>
      <c r="AJ26" s="57"/>
      <c r="AK26" s="57"/>
      <c r="AL26" s="69"/>
      <c r="AM26" s="57" t="s">
        <v>58</v>
      </c>
      <c r="AN26" s="57"/>
      <c r="AO26" s="57"/>
      <c r="AP26" s="57"/>
      <c r="AQ26" s="57"/>
      <c r="AR26" s="57"/>
      <c r="AS26" s="23" t="s">
        <v>66</v>
      </c>
      <c r="AT26" s="66"/>
      <c r="AU26" s="66"/>
      <c r="AV26" s="66"/>
      <c r="AW26" s="66"/>
      <c r="AX26" s="26"/>
      <c r="AY26" s="57">
        <v>33000</v>
      </c>
      <c r="AZ26" s="57"/>
      <c r="BA26" s="57"/>
      <c r="BB26" s="57"/>
      <c r="BC26" s="75">
        <f t="shared" si="0"/>
        <v>7547.35999999999</v>
      </c>
      <c r="BD26" s="74"/>
      <c r="BE26" s="74"/>
      <c r="BF26" s="80"/>
    </row>
    <row r="27" ht="25" customHeight="1" spans="1:58">
      <c r="A27" s="27">
        <v>17</v>
      </c>
      <c r="B27" s="28"/>
      <c r="C27" s="29">
        <v>43721.6259490741</v>
      </c>
      <c r="D27" s="28"/>
      <c r="E27" s="28"/>
      <c r="F27" s="28"/>
      <c r="G27" s="30"/>
      <c r="H27" s="28" t="s">
        <v>85</v>
      </c>
      <c r="I27" s="28"/>
      <c r="J27" s="28"/>
      <c r="K27" s="28"/>
      <c r="L27" s="41" t="s">
        <v>57</v>
      </c>
      <c r="M27" s="42"/>
      <c r="N27" s="42"/>
      <c r="O27" s="42"/>
      <c r="P27" s="42"/>
      <c r="Q27" s="42"/>
      <c r="R27" s="42"/>
      <c r="S27" s="42"/>
      <c r="T27" s="42"/>
      <c r="U27" s="42"/>
      <c r="V27" s="53"/>
      <c r="W27" s="58" t="s">
        <v>58</v>
      </c>
      <c r="X27" s="59"/>
      <c r="Y27" s="59"/>
      <c r="Z27" s="59"/>
      <c r="AA27" s="59"/>
      <c r="AB27" s="59"/>
      <c r="AC27" s="64" t="s">
        <v>59</v>
      </c>
      <c r="AD27" s="65"/>
      <c r="AE27" s="65"/>
      <c r="AF27" s="65"/>
      <c r="AG27" s="65"/>
      <c r="AH27" s="70"/>
      <c r="AI27" s="59">
        <v>35744.84</v>
      </c>
      <c r="AJ27" s="59"/>
      <c r="AK27" s="59"/>
      <c r="AL27" s="71"/>
      <c r="AM27" s="65" t="s">
        <v>60</v>
      </c>
      <c r="AN27" s="65"/>
      <c r="AO27" s="65"/>
      <c r="AP27" s="65"/>
      <c r="AQ27" s="65"/>
      <c r="AR27" s="65"/>
      <c r="AS27" s="64" t="s">
        <v>59</v>
      </c>
      <c r="AT27" s="65"/>
      <c r="AU27" s="65"/>
      <c r="AV27" s="65"/>
      <c r="AW27" s="65"/>
      <c r="AX27" s="70"/>
      <c r="AY27" s="65"/>
      <c r="AZ27" s="65"/>
      <c r="BA27" s="65"/>
      <c r="BB27" s="65"/>
      <c r="BC27" s="77">
        <f t="shared" si="0"/>
        <v>43292.2</v>
      </c>
      <c r="BD27" s="76"/>
      <c r="BE27" s="76"/>
      <c r="BF27" s="81"/>
    </row>
    <row r="28" ht="25" customHeight="1" spans="1:58">
      <c r="A28" s="23">
        <v>18</v>
      </c>
      <c r="B28" s="24"/>
      <c r="C28" s="25">
        <v>43722.6259490741</v>
      </c>
      <c r="D28" s="24"/>
      <c r="E28" s="24"/>
      <c r="F28" s="24"/>
      <c r="G28" s="26"/>
      <c r="H28" s="24" t="s">
        <v>86</v>
      </c>
      <c r="I28" s="24"/>
      <c r="J28" s="24"/>
      <c r="K28" s="24"/>
      <c r="L28" s="39" t="s">
        <v>63</v>
      </c>
      <c r="M28" s="40"/>
      <c r="N28" s="40"/>
      <c r="O28" s="40"/>
      <c r="P28" s="40"/>
      <c r="Q28" s="40"/>
      <c r="R28" s="40"/>
      <c r="S28" s="40"/>
      <c r="T28" s="40"/>
      <c r="U28" s="40"/>
      <c r="V28" s="52"/>
      <c r="W28" s="43" t="s">
        <v>64</v>
      </c>
      <c r="X28" s="44"/>
      <c r="Y28" s="44"/>
      <c r="Z28" s="44"/>
      <c r="AA28" s="44"/>
      <c r="AB28" s="44"/>
      <c r="AC28" s="43" t="s">
        <v>65</v>
      </c>
      <c r="AD28" s="44"/>
      <c r="AE28" s="44"/>
      <c r="AF28" s="44"/>
      <c r="AG28" s="44"/>
      <c r="AH28" s="55"/>
      <c r="AI28" s="57"/>
      <c r="AJ28" s="57"/>
      <c r="AK28" s="57"/>
      <c r="AL28" s="69"/>
      <c r="AM28" s="57" t="s">
        <v>58</v>
      </c>
      <c r="AN28" s="57"/>
      <c r="AO28" s="57"/>
      <c r="AP28" s="57"/>
      <c r="AQ28" s="57"/>
      <c r="AR28" s="57"/>
      <c r="AS28" s="23" t="s">
        <v>66</v>
      </c>
      <c r="AT28" s="66"/>
      <c r="AU28" s="66"/>
      <c r="AV28" s="66"/>
      <c r="AW28" s="66"/>
      <c r="AX28" s="26"/>
      <c r="AY28" s="74">
        <v>248</v>
      </c>
      <c r="AZ28" s="74"/>
      <c r="BA28" s="74"/>
      <c r="BB28" s="74"/>
      <c r="BC28" s="75">
        <f t="shared" si="0"/>
        <v>43044.2</v>
      </c>
      <c r="BD28" s="74"/>
      <c r="BE28" s="74"/>
      <c r="BF28" s="80"/>
    </row>
    <row r="29" ht="25" customHeight="1" spans="1:58">
      <c r="A29" s="27">
        <v>19</v>
      </c>
      <c r="B29" s="28"/>
      <c r="C29" s="29">
        <v>43723.6259490741</v>
      </c>
      <c r="D29" s="28"/>
      <c r="E29" s="28"/>
      <c r="F29" s="28"/>
      <c r="G29" s="30"/>
      <c r="H29" s="28" t="s">
        <v>87</v>
      </c>
      <c r="I29" s="28"/>
      <c r="J29" s="28"/>
      <c r="K29" s="28"/>
      <c r="L29" s="41"/>
      <c r="M29" s="42"/>
      <c r="N29" s="42"/>
      <c r="O29" s="42"/>
      <c r="P29" s="42"/>
      <c r="Q29" s="42"/>
      <c r="R29" s="42"/>
      <c r="S29" s="42"/>
      <c r="T29" s="42"/>
      <c r="U29" s="42"/>
      <c r="V29" s="53"/>
      <c r="W29" s="27" t="s">
        <v>68</v>
      </c>
      <c r="X29" s="54"/>
      <c r="Y29" s="54"/>
      <c r="Z29" s="54"/>
      <c r="AA29" s="54"/>
      <c r="AB29" s="54"/>
      <c r="AC29" s="64" t="s">
        <v>69</v>
      </c>
      <c r="AD29" s="65"/>
      <c r="AE29" s="65"/>
      <c r="AF29" s="65"/>
      <c r="AG29" s="65"/>
      <c r="AH29" s="70"/>
      <c r="AI29" s="59"/>
      <c r="AJ29" s="59"/>
      <c r="AK29" s="59"/>
      <c r="AL29" s="71"/>
      <c r="AM29" s="59"/>
      <c r="AN29" s="59"/>
      <c r="AO29" s="59"/>
      <c r="AP29" s="59"/>
      <c r="AQ29" s="59"/>
      <c r="AR29" s="59"/>
      <c r="AS29" s="27"/>
      <c r="AT29" s="54"/>
      <c r="AU29" s="54"/>
      <c r="AV29" s="54"/>
      <c r="AW29" s="54"/>
      <c r="AX29" s="30"/>
      <c r="AY29" s="76">
        <v>610</v>
      </c>
      <c r="AZ29" s="76"/>
      <c r="BA29" s="76"/>
      <c r="BB29" s="76"/>
      <c r="BC29" s="77">
        <f t="shared" si="0"/>
        <v>42434.2</v>
      </c>
      <c r="BD29" s="76"/>
      <c r="BE29" s="76"/>
      <c r="BF29" s="81"/>
    </row>
    <row r="30" ht="25" customHeight="1" spans="1:58">
      <c r="A30" s="31"/>
      <c r="B30" s="32"/>
      <c r="C30" s="31"/>
      <c r="D30" s="32"/>
      <c r="E30" s="32"/>
      <c r="F30" s="32"/>
      <c r="G30" s="33"/>
      <c r="H30" s="32"/>
      <c r="I30" s="32"/>
      <c r="J30" s="32"/>
      <c r="K30" s="32"/>
      <c r="L30" s="45"/>
      <c r="M30" s="46"/>
      <c r="N30" s="46"/>
      <c r="O30" s="46"/>
      <c r="P30" s="46"/>
      <c r="Q30" s="46"/>
      <c r="R30" s="46"/>
      <c r="S30" s="46"/>
      <c r="T30" s="46"/>
      <c r="U30" s="46"/>
      <c r="V30" s="60"/>
      <c r="W30" s="31"/>
      <c r="X30" s="32"/>
      <c r="Y30" s="32"/>
      <c r="Z30" s="32"/>
      <c r="AA30" s="32"/>
      <c r="AB30" s="32"/>
      <c r="AC30" s="31"/>
      <c r="AD30" s="32"/>
      <c r="AE30" s="32"/>
      <c r="AF30" s="32"/>
      <c r="AG30" s="32"/>
      <c r="AH30" s="33"/>
      <c r="AI30" s="72">
        <f>SUM(AI11:AI29)</f>
        <v>178724.2</v>
      </c>
      <c r="AJ30" s="72"/>
      <c r="AK30" s="72"/>
      <c r="AL30" s="73"/>
      <c r="AM30" s="72"/>
      <c r="AN30" s="72"/>
      <c r="AO30" s="72"/>
      <c r="AP30" s="72"/>
      <c r="AQ30" s="72"/>
      <c r="AR30" s="72"/>
      <c r="AS30" s="31"/>
      <c r="AT30" s="32"/>
      <c r="AU30" s="32"/>
      <c r="AV30" s="32"/>
      <c r="AW30" s="32"/>
      <c r="AX30" s="33"/>
      <c r="AY30" s="72">
        <f>SUM(AY12:AY29)</f>
        <v>136290</v>
      </c>
      <c r="AZ30" s="72"/>
      <c r="BA30" s="72"/>
      <c r="BB30" s="72"/>
      <c r="BC30" s="78">
        <f>SUM(AI30-AY30)</f>
        <v>42434.2</v>
      </c>
      <c r="BD30" s="79"/>
      <c r="BE30" s="79"/>
      <c r="BF30" s="82"/>
    </row>
    <row r="31" ht="25" customHeight="1" spans="1:58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83"/>
    </row>
    <row r="32" ht="25" customHeight="1" spans="1:5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</row>
    <row r="33" ht="25" customHeight="1" spans="1:5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</row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mergeCells count="275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AB5"/>
    <mergeCell ref="AC5:AF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W9:AB9"/>
    <mergeCell ref="AI9:AL9"/>
    <mergeCell ref="AM9:AR9"/>
    <mergeCell ref="AY9:BB9"/>
    <mergeCell ref="W10:AB10"/>
    <mergeCell ref="AI10:AL10"/>
    <mergeCell ref="AM10:AR10"/>
    <mergeCell ref="AY10:BB10"/>
    <mergeCell ref="A11:B11"/>
    <mergeCell ref="C11:G11"/>
    <mergeCell ref="H11:K11"/>
    <mergeCell ref="L11:V11"/>
    <mergeCell ref="W11:AB11"/>
    <mergeCell ref="AC11:AH11"/>
    <mergeCell ref="AI11:AL11"/>
    <mergeCell ref="AM11:AR11"/>
    <mergeCell ref="AS11:AX11"/>
    <mergeCell ref="AY11:BB11"/>
    <mergeCell ref="BC11:BF11"/>
    <mergeCell ref="A12:B12"/>
    <mergeCell ref="C12:G12"/>
    <mergeCell ref="H12:K12"/>
    <mergeCell ref="L12:V12"/>
    <mergeCell ref="W12:AB12"/>
    <mergeCell ref="AC12:AH12"/>
    <mergeCell ref="AI12:AL12"/>
    <mergeCell ref="AM12:AR12"/>
    <mergeCell ref="AS12:AX12"/>
    <mergeCell ref="AY12:BB12"/>
    <mergeCell ref="BC12:BF12"/>
    <mergeCell ref="A13:B13"/>
    <mergeCell ref="C13:G13"/>
    <mergeCell ref="H13:K13"/>
    <mergeCell ref="L13:V13"/>
    <mergeCell ref="W13:AB13"/>
    <mergeCell ref="AC13:AH13"/>
    <mergeCell ref="AI13:AL13"/>
    <mergeCell ref="AM13:AR13"/>
    <mergeCell ref="AS13:AX13"/>
    <mergeCell ref="AY13:BB13"/>
    <mergeCell ref="BC13:BF13"/>
    <mergeCell ref="A14:B14"/>
    <mergeCell ref="C14:G14"/>
    <mergeCell ref="H14:K14"/>
    <mergeCell ref="L14:V14"/>
    <mergeCell ref="W14:AB14"/>
    <mergeCell ref="AC14:AH14"/>
    <mergeCell ref="AI14:AL14"/>
    <mergeCell ref="AM14:AR14"/>
    <mergeCell ref="AS14:AX14"/>
    <mergeCell ref="AY14:BB14"/>
    <mergeCell ref="BC14:BF14"/>
    <mergeCell ref="A15:B15"/>
    <mergeCell ref="C15:G15"/>
    <mergeCell ref="H15:K15"/>
    <mergeCell ref="L15:V15"/>
    <mergeCell ref="W15:AB15"/>
    <mergeCell ref="AC15:AH15"/>
    <mergeCell ref="AI15:AL15"/>
    <mergeCell ref="AM15:AR15"/>
    <mergeCell ref="AS15:AX15"/>
    <mergeCell ref="AY15:BB15"/>
    <mergeCell ref="BC15:BF15"/>
    <mergeCell ref="A16:B16"/>
    <mergeCell ref="C16:G16"/>
    <mergeCell ref="H16:K16"/>
    <mergeCell ref="L16:V16"/>
    <mergeCell ref="W16:AB16"/>
    <mergeCell ref="AC16:AH16"/>
    <mergeCell ref="AI16:AL16"/>
    <mergeCell ref="AM16:AR16"/>
    <mergeCell ref="AS16:AX16"/>
    <mergeCell ref="AY16:BB16"/>
    <mergeCell ref="BC16:BF16"/>
    <mergeCell ref="A17:B17"/>
    <mergeCell ref="C17:G17"/>
    <mergeCell ref="H17:K17"/>
    <mergeCell ref="L17:V17"/>
    <mergeCell ref="W17:AB17"/>
    <mergeCell ref="AC17:AH17"/>
    <mergeCell ref="AI17:AL17"/>
    <mergeCell ref="AM17:AR17"/>
    <mergeCell ref="AS17:AX17"/>
    <mergeCell ref="AY17:BB17"/>
    <mergeCell ref="BC17:BF17"/>
    <mergeCell ref="A18:B18"/>
    <mergeCell ref="C18:G18"/>
    <mergeCell ref="H18:K18"/>
    <mergeCell ref="L18:V18"/>
    <mergeCell ref="W18:AB18"/>
    <mergeCell ref="AC18:AH18"/>
    <mergeCell ref="AI18:AL18"/>
    <mergeCell ref="AM18:AR18"/>
    <mergeCell ref="AS18:AX18"/>
    <mergeCell ref="AY18:BB18"/>
    <mergeCell ref="BC18:BF18"/>
    <mergeCell ref="A19:B19"/>
    <mergeCell ref="C19:G19"/>
    <mergeCell ref="H19:K19"/>
    <mergeCell ref="L19:V19"/>
    <mergeCell ref="W19:AB19"/>
    <mergeCell ref="AC19:AH19"/>
    <mergeCell ref="AI19:AL19"/>
    <mergeCell ref="AM19:AR19"/>
    <mergeCell ref="AS19:AX19"/>
    <mergeCell ref="AY19:BB19"/>
    <mergeCell ref="BC19:BF19"/>
    <mergeCell ref="A20:B20"/>
    <mergeCell ref="C20:G20"/>
    <mergeCell ref="H20:K20"/>
    <mergeCell ref="L20:V20"/>
    <mergeCell ref="W20:AB20"/>
    <mergeCell ref="AC20:AH20"/>
    <mergeCell ref="AI20:AL20"/>
    <mergeCell ref="AM20:AR20"/>
    <mergeCell ref="AS20:AX20"/>
    <mergeCell ref="AY20:BB20"/>
    <mergeCell ref="BC20:BF20"/>
    <mergeCell ref="A21:B21"/>
    <mergeCell ref="C21:G21"/>
    <mergeCell ref="H21:K21"/>
    <mergeCell ref="L21:V21"/>
    <mergeCell ref="W21:AB21"/>
    <mergeCell ref="AC21:AH21"/>
    <mergeCell ref="AI21:AL21"/>
    <mergeCell ref="AM21:AR21"/>
    <mergeCell ref="AS21:AX21"/>
    <mergeCell ref="AY21:BB21"/>
    <mergeCell ref="BC21:BF21"/>
    <mergeCell ref="A22:B22"/>
    <mergeCell ref="C22:G22"/>
    <mergeCell ref="H22:K22"/>
    <mergeCell ref="L22:V22"/>
    <mergeCell ref="W22:AB22"/>
    <mergeCell ref="AC22:AH22"/>
    <mergeCell ref="AI22:AL22"/>
    <mergeCell ref="AM22:AR22"/>
    <mergeCell ref="AS22:AX22"/>
    <mergeCell ref="AY22:BB22"/>
    <mergeCell ref="BC22:BF22"/>
    <mergeCell ref="A23:B23"/>
    <mergeCell ref="C23:G23"/>
    <mergeCell ref="H23:K23"/>
    <mergeCell ref="L23:V23"/>
    <mergeCell ref="W23:AB23"/>
    <mergeCell ref="AC23:AH23"/>
    <mergeCell ref="AI23:AL23"/>
    <mergeCell ref="AM23:AR23"/>
    <mergeCell ref="AS23:AX23"/>
    <mergeCell ref="AY23:BB23"/>
    <mergeCell ref="BC23:BF23"/>
    <mergeCell ref="A24:B24"/>
    <mergeCell ref="C24:G24"/>
    <mergeCell ref="H24:K24"/>
    <mergeCell ref="L24:V24"/>
    <mergeCell ref="W24:AB24"/>
    <mergeCell ref="AC24:AH24"/>
    <mergeCell ref="AI24:AL24"/>
    <mergeCell ref="AM24:AR24"/>
    <mergeCell ref="AS24:AX24"/>
    <mergeCell ref="AY24:BB24"/>
    <mergeCell ref="BC24:BF24"/>
    <mergeCell ref="A25:B25"/>
    <mergeCell ref="C25:G25"/>
    <mergeCell ref="H25:K25"/>
    <mergeCell ref="L25:V25"/>
    <mergeCell ref="W25:AB25"/>
    <mergeCell ref="AC25:AH25"/>
    <mergeCell ref="AI25:AL25"/>
    <mergeCell ref="AM25:AR25"/>
    <mergeCell ref="AS25:AX25"/>
    <mergeCell ref="AY25:BB25"/>
    <mergeCell ref="BC25:BF25"/>
    <mergeCell ref="A26:B26"/>
    <mergeCell ref="C26:G26"/>
    <mergeCell ref="H26:K26"/>
    <mergeCell ref="L26:V26"/>
    <mergeCell ref="W26:AB26"/>
    <mergeCell ref="AC26:AH26"/>
    <mergeCell ref="AI26:AL26"/>
    <mergeCell ref="AM26:AR26"/>
    <mergeCell ref="AS26:AX26"/>
    <mergeCell ref="AY26:BB26"/>
    <mergeCell ref="BC26:BF26"/>
    <mergeCell ref="A27:B27"/>
    <mergeCell ref="C27:G27"/>
    <mergeCell ref="H27:K27"/>
    <mergeCell ref="L27:V27"/>
    <mergeCell ref="W27:AB27"/>
    <mergeCell ref="AC27:AH27"/>
    <mergeCell ref="AI27:AL27"/>
    <mergeCell ref="AM27:AR27"/>
    <mergeCell ref="AS27:AX27"/>
    <mergeCell ref="AY27:BB27"/>
    <mergeCell ref="BC27:BF27"/>
    <mergeCell ref="A28:B28"/>
    <mergeCell ref="C28:G28"/>
    <mergeCell ref="H28:K28"/>
    <mergeCell ref="L28:V28"/>
    <mergeCell ref="W28:AB28"/>
    <mergeCell ref="AC28:AH28"/>
    <mergeCell ref="AI28:AL28"/>
    <mergeCell ref="AM28:AR28"/>
    <mergeCell ref="AS28:AX28"/>
    <mergeCell ref="AY28:BB28"/>
    <mergeCell ref="BC28:BF28"/>
    <mergeCell ref="A29:B29"/>
    <mergeCell ref="C29:G29"/>
    <mergeCell ref="H29:K29"/>
    <mergeCell ref="L29:V29"/>
    <mergeCell ref="W29:AB29"/>
    <mergeCell ref="AC29:AH29"/>
    <mergeCell ref="AI29:AL29"/>
    <mergeCell ref="AM29:AR29"/>
    <mergeCell ref="AS29:AX29"/>
    <mergeCell ref="AY29:BB29"/>
    <mergeCell ref="BC29:BF29"/>
    <mergeCell ref="L30:V30"/>
    <mergeCell ref="AI30:AL30"/>
    <mergeCell ref="AM30:AR30"/>
    <mergeCell ref="AS30:AX30"/>
    <mergeCell ref="AY30:BB30"/>
    <mergeCell ref="BC30:BF30"/>
    <mergeCell ref="A9:B10"/>
    <mergeCell ref="C9:G10"/>
    <mergeCell ref="H9:K10"/>
    <mergeCell ref="L9:V10"/>
    <mergeCell ref="AC9:AH10"/>
    <mergeCell ref="AS9:AX10"/>
    <mergeCell ref="BC9:B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公账7288</vt:lpstr>
      <vt:lpstr>私账2688</vt:lpstr>
      <vt:lpstr>微信公</vt:lpstr>
      <vt:lpstr>微信私</vt:lpstr>
      <vt:lpstr>支付宝公</vt:lpstr>
      <vt:lpstr>支付宝私</vt:lpstr>
      <vt:lpstr>现金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2021-03-30T07:15:00Z</dcterms:created>
  <dcterms:modified xsi:type="dcterms:W3CDTF">2021-03-31T10:36:53Z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2DBCD9FC0CC14EA08BA3867C301432D7</vt:lpwstr>
  </property>
  <property fmtid="{D5CDD505-2E9C-101B-9397-08002B2CF9AE}" pid="3" name="KSOProductBuildVer">
    <vt:lpwstr>2052-11.1.0.10356</vt:lpwstr>
  </property>
</Properties>
</file>