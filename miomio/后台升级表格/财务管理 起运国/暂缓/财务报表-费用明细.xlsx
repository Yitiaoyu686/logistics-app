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营业费用" sheetId="1" r:id="rId1"/>
    <sheet name="财务费用" sheetId="2" r:id="rId2"/>
  </sheets>
  <calcPr calcId="144525"/>
</workbook>
</file>

<file path=xl/sharedStrings.xml><?xml version="1.0" encoding="utf-8"?>
<sst xmlns="http://schemas.openxmlformats.org/spreadsheetml/2006/main" count="198" uniqueCount="79">
  <si>
    <t>尼日利亚</t>
  </si>
  <si>
    <t>加纳</t>
  </si>
  <si>
    <t>几内亚</t>
  </si>
  <si>
    <t>中国</t>
  </si>
  <si>
    <t>广州</t>
  </si>
  <si>
    <t>深圳</t>
  </si>
  <si>
    <t>香港</t>
  </si>
  <si>
    <t>上海</t>
  </si>
  <si>
    <t>全部</t>
  </si>
  <si>
    <t>白云区站点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</si>
  <si>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</si>
  <si>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</si>
  <si>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</si>
  <si>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</si>
  <si>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</si>
  <si>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</si>
  <si>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</si>
  <si>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</si>
  <si>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</si>
  <si>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</si>
  <si>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</si>
  <si>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</si>
  <si>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</si>
  <si>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</si>
  <si>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</si>
  <si>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</si>
  <si>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</si>
  <si>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</si>
  <si>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</si>
  <si>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</si>
  <si>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</si>
  <si>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</si>
  <si>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</si>
  <si>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</si>
  <si>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营业费用</t>
  </si>
  <si>
    <t>财务费用</t>
  </si>
  <si>
    <t>选择途径</t>
  </si>
  <si>
    <t>序号</t>
  </si>
  <si>
    <t>摘要</t>
  </si>
  <si>
    <t>金额CNY</t>
  </si>
  <si>
    <t>途径</t>
  </si>
  <si>
    <t>日期</t>
  </si>
  <si>
    <t>备注</t>
  </si>
  <si>
    <t>操作</t>
  </si>
  <si>
    <t>支付：企业网上银行工行证书年服务费</t>
  </si>
  <si>
    <t>现金</t>
  </si>
  <si>
    <t>8月份公司社保费</t>
  </si>
  <si>
    <t>公账</t>
  </si>
  <si>
    <t>生活补贴 住宿补贴及加班费</t>
  </si>
  <si>
    <t>私账</t>
  </si>
  <si>
    <t>支付：网购多功能货物架2副</t>
  </si>
  <si>
    <t>微信/公</t>
  </si>
  <si>
    <t>女生房租费（9月5日至10月22日）</t>
  </si>
  <si>
    <t>微信/私</t>
  </si>
  <si>
    <t>男生房租及手机充值费</t>
  </si>
  <si>
    <t>支付宝/公</t>
  </si>
  <si>
    <t>办公众号APP费用及印刷卡片费</t>
  </si>
  <si>
    <t>支付宝/私</t>
  </si>
  <si>
    <t>中秋福利（黄颖＝300；罗敏＝300；罗伟健＝300；唐广阔＝300；吴润斌＝300；罗月梅＝300；曹峰＝200；欧嘉欣＝200；黄嘉惠＝200；梁宝谊＝200）</t>
  </si>
  <si>
    <t>福利费</t>
  </si>
  <si>
    <t>支付：9、10房租＝18840；8、9月份水电费＝2794.50；9、10月份停车费＝1000；9、10月份发票税费＝560及手续费＝15</t>
  </si>
  <si>
    <t>购买男生架床＝-500；支付黄颖办公司移动电话套卡13710449673＝-55；购买打印碳粉＝-22；</t>
  </si>
  <si>
    <t>计提9月份工资</t>
  </si>
  <si>
    <t>灭火器/一次性塑料袋</t>
  </si>
  <si>
    <t>快递费/办公用品</t>
  </si>
  <si>
    <t>招待费</t>
  </si>
  <si>
    <t>折旧费</t>
  </si>
  <si>
    <t>合计</t>
  </si>
  <si>
    <t>招商银行存入微信验证款</t>
  </si>
  <si>
    <t>公众号转手续费</t>
  </si>
  <si>
    <t>支付宝转手续费</t>
  </si>
  <si>
    <t>微信转手续费</t>
  </si>
  <si>
    <t>转帐同行手续费</t>
  </si>
  <si>
    <t>银行收到利息</t>
  </si>
  <si>
    <t>手续费</t>
  </si>
  <si>
    <t>对公收费手续费</t>
  </si>
  <si>
    <t>转帐手续费</t>
  </si>
  <si>
    <t>9月17日支付：信使费</t>
  </si>
  <si>
    <t>9月21日收到：利息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</si>
</sst>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8" formatCode="&quot;￥&quot;#,##0.00;[Red]&quot;￥&quot;\-#,##0.00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&quot;￥&quot;#,##0.00_);[Red]\(&quot;￥&quot;#,##0.00\)"/>
  </numFmts>
  <fonts count="36">
    <font>
      <sz val="11"/>
      <color theme="1"/>
      <name val="宋体"/>
      <charset val="134"/>
      <scheme val="minor"/>
    </font>
    <font>
      <sz val="10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1"/>
      <name val="Microsoft JhengHei"/>
      <charset val="134"/>
    </font>
    <font>
      <b/>
      <sz val="10"/>
      <color theme="1"/>
      <name val="Microsoft JhengHei"/>
      <charset val="134"/>
    </font>
    <font>
      <b/>
      <sz val="11"/>
      <color theme="1"/>
      <name val="Microsoft JhengHei"/>
      <charset val="134"/>
    </font>
    <font>
      <b/>
      <sz val="10"/>
      <color theme="0"/>
      <name val="Microsoft JhengHei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9"/>
      <color theme="1"/>
      <name val="宋体"/>
      <charset val="134"/>
      <scheme val="minor"/>
    </font>
    <font>
      <sz val="9"/>
      <color theme="1"/>
      <name val="Tahoma"/>
      <charset val="134"/>
    </font>
    <font>
      <sz val="9"/>
      <name val="宋体"/>
      <charset val="134"/>
    </font>
    <font>
      <sz val="10"/>
      <color theme="1"/>
      <name val="Tahoma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</font>
    <font>
      <sz val="10"/>
      <name val="Microsoft JhengHei"/>
      <charset val="134"/>
    </font>
    <font>
      <sz val="10"/>
      <color rgb="FFFF0000"/>
      <name val="Microsoft Jheng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4" fillId="1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21" borderId="12" applyNumberFormat="0" applyFont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4" fillId="16" borderId="11" applyNumberFormat="0" applyAlignment="0" applyProtection="0">
      <alignment vertical="center"/>
    </xf>
    <xf numFmtId="0" fontId="27" fillId="16" borderId="7" applyNumberFormat="0" applyAlignment="0" applyProtection="0">
      <alignment vertical="center"/>
    </xf>
    <xf numFmtId="0" fontId="26" fillId="15" borderId="9" applyNumberFormat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176" fontId="8" fillId="5" borderId="1" xfId="8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9" fillId="5" borderId="2" xfId="0" applyNumberFormat="1" applyFont="1" applyFill="1" applyBorder="1" applyAlignment="1">
      <alignment horizontal="center" vertical="center"/>
    </xf>
    <xf numFmtId="176" fontId="9" fillId="5" borderId="3" xfId="0" applyNumberFormat="1" applyFont="1" applyFill="1" applyBorder="1" applyAlignment="1">
      <alignment horizontal="center" vertical="center"/>
    </xf>
    <xf numFmtId="176" fontId="9" fillId="5" borderId="4" xfId="0" applyNumberFormat="1" applyFont="1" applyFill="1" applyBorder="1" applyAlignment="1">
      <alignment horizontal="center" vertical="center"/>
    </xf>
    <xf numFmtId="176" fontId="10" fillId="5" borderId="1" xfId="0" applyNumberFormat="1" applyFont="1" applyFill="1" applyBorder="1" applyAlignment="1">
      <alignment horizontal="center" vertical="center"/>
    </xf>
    <xf numFmtId="176" fontId="9" fillId="5" borderId="1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8" fontId="8" fillId="5" borderId="1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176" fontId="12" fillId="5" borderId="1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8" fontId="10" fillId="5" borderId="1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vertical="center"/>
    </xf>
    <xf numFmtId="176" fontId="13" fillId="5" borderId="1" xfId="0" applyNumberFormat="1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176" fontId="11" fillId="5" borderId="1" xfId="8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6" fontId="4" fillId="6" borderId="1" xfId="0" applyNumberFormat="1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14" fontId="1" fillId="5" borderId="5" xfId="0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176" fontId="15" fillId="5" borderId="2" xfId="0" applyNumberFormat="1" applyFont="1" applyFill="1" applyBorder="1" applyAlignment="1">
      <alignment horizontal="center" vertical="center"/>
    </xf>
    <xf numFmtId="176" fontId="15" fillId="5" borderId="4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176" fontId="1" fillId="5" borderId="2" xfId="0" applyNumberFormat="1" applyFont="1" applyFill="1" applyBorder="1" applyAlignment="1">
      <alignment horizontal="center" vertical="center"/>
    </xf>
    <xf numFmtId="176" fontId="1" fillId="5" borderId="4" xfId="0" applyNumberFormat="1" applyFont="1" applyFill="1" applyBorder="1" applyAlignment="1">
      <alignment horizontal="center" vertical="center"/>
    </xf>
    <xf numFmtId="176" fontId="15" fillId="5" borderId="1" xfId="8" applyNumberFormat="1" applyFont="1" applyFill="1" applyBorder="1" applyAlignment="1">
      <alignment horizontal="center" vertical="center"/>
    </xf>
    <xf numFmtId="0" fontId="15" fillId="5" borderId="2" xfId="0" applyFont="1" applyFill="1" applyBorder="1" applyAlignment="1" applyProtection="1">
      <alignment horizontal="center" vertical="center" wrapText="1"/>
      <protection hidden="1"/>
    </xf>
    <xf numFmtId="0" fontId="15" fillId="5" borderId="3" xfId="0" applyFont="1" applyFill="1" applyBorder="1" applyAlignment="1" applyProtection="1">
      <alignment horizontal="center" vertical="center" wrapText="1"/>
      <protection hidden="1"/>
    </xf>
    <xf numFmtId="0" fontId="15" fillId="5" borderId="4" xfId="0" applyFont="1" applyFill="1" applyBorder="1" applyAlignment="1" applyProtection="1">
      <alignment horizontal="center" vertical="center" wrapText="1"/>
      <protection hidden="1"/>
    </xf>
    <xf numFmtId="176" fontId="1" fillId="5" borderId="2" xfId="0" applyNumberFormat="1" applyFont="1" applyFill="1" applyBorder="1" applyAlignment="1">
      <alignment horizontal="center" vertical="center" wrapText="1"/>
    </xf>
    <xf numFmtId="176" fontId="1" fillId="5" borderId="4" xfId="0" applyNumberFormat="1" applyFont="1" applyFill="1" applyBorder="1" applyAlignment="1">
      <alignment horizontal="center" vertical="center" wrapText="1"/>
    </xf>
    <xf numFmtId="0" fontId="16" fillId="5" borderId="2" xfId="0" applyFont="1" applyFill="1" applyBorder="1" applyAlignment="1" applyProtection="1">
      <alignment horizontal="center" vertical="center" wrapText="1"/>
      <protection hidden="1"/>
    </xf>
    <xf numFmtId="0" fontId="16" fillId="5" borderId="3" xfId="0" applyFont="1" applyFill="1" applyBorder="1" applyAlignment="1" applyProtection="1">
      <alignment horizontal="center" vertical="center" wrapText="1"/>
      <protection hidden="1"/>
    </xf>
    <xf numFmtId="0" fontId="16" fillId="5" borderId="4" xfId="0" applyFont="1" applyFill="1" applyBorder="1" applyAlignment="1" applyProtection="1">
      <alignment horizontal="center" vertical="center" wrapText="1"/>
      <protection hidden="1"/>
    </xf>
    <xf numFmtId="0" fontId="15" fillId="5" borderId="2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tabSelected="1" topLeftCell="A4" workbookViewId="0">
      <selection activeCell="H22" sqref="H22"/>
    </sheetView>
  </sheetViews>
  <sheetFormatPr defaultColWidth="9" defaultRowHeight="15"/>
  <cols>
    <col min="1" max="9" width="10.625" style="2" customWidth="1"/>
    <col min="10" max="10" width="10.625" style="1" customWidth="1"/>
    <col min="11" max="13" width="10.625" style="2" customWidth="1"/>
    <col min="14" max="14" width="9.625" style="2" customWidth="1"/>
    <col min="15" max="16354" width="9" style="2"/>
    <col min="16355" max="16384" width="9" style="3"/>
  </cols>
  <sheetData>
    <row r="1" ht="25" customHeight="1"/>
    <row r="2" ht="25" customHeight="1" spans="1:10">
      <c r="A2" s="4" t="s">
        <v>0</v>
      </c>
      <c r="B2" s="5" t="s">
        <v>1</v>
      </c>
      <c r="C2" s="5" t="s">
        <v>2</v>
      </c>
      <c r="D2" s="6" t="s">
        <v>3</v>
      </c>
      <c r="F2" s="7"/>
      <c r="G2" s="7"/>
      <c r="H2" s="7"/>
      <c r="I2" s="7"/>
      <c r="J2" s="7"/>
    </row>
    <row r="3" ht="25" customHeight="1" spans="1:10">
      <c r="A3" s="8" t="s">
        <v>4</v>
      </c>
      <c r="B3" s="9" t="s">
        <v>5</v>
      </c>
      <c r="C3" s="9" t="s">
        <v>6</v>
      </c>
      <c r="D3" s="9" t="s">
        <v>7</v>
      </c>
      <c r="F3" s="10"/>
      <c r="G3" s="10"/>
      <c r="H3" s="10"/>
      <c r="I3" s="10"/>
      <c r="J3" s="7"/>
    </row>
    <row r="4" ht="25" customHeight="1" spans="1:10">
      <c r="A4" s="11" t="s">
        <v>8</v>
      </c>
      <c r="B4" s="12" t="s">
        <v>9</v>
      </c>
      <c r="C4" s="11"/>
      <c r="D4" s="11"/>
      <c r="E4" s="10"/>
      <c r="F4" s="10"/>
      <c r="G4" s="10"/>
      <c r="H4" s="10"/>
      <c r="I4" s="10"/>
      <c r="J4" s="10"/>
    </row>
    <row r="5" ht="25" customHeight="1" spans="8:10">
      <c r="H5" s="1"/>
      <c r="I5" s="1"/>
      <c r="J5" s="2"/>
    </row>
    <row r="6" ht="25" customHeight="1" spans="1:12">
      <c r="A6" s="13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17</v>
      </c>
      <c r="I6" s="14" t="s">
        <v>18</v>
      </c>
      <c r="J6" s="14" t="s">
        <v>19</v>
      </c>
      <c r="K6" s="14" t="s">
        <v>20</v>
      </c>
      <c r="L6" s="14" t="s">
        <v>21</v>
      </c>
    </row>
    <row r="7" s="1" customFormat="1" ht="25" customHeight="1" spans="1:12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</row>
    <row r="8" ht="25" customHeight="1"/>
    <row r="9" ht="25" customHeight="1" spans="1:10">
      <c r="A9" s="12" t="s">
        <v>34</v>
      </c>
      <c r="B9" s="11" t="s">
        <v>35</v>
      </c>
      <c r="C9" s="15"/>
      <c r="D9" s="15"/>
      <c r="E9" s="15"/>
      <c r="F9" s="15"/>
      <c r="G9" s="15"/>
      <c r="H9" s="15"/>
      <c r="I9" s="15"/>
      <c r="J9" s="15" t="s">
        <v>36</v>
      </c>
    </row>
    <row r="10" ht="25" customHeight="1" spans="1:13">
      <c r="A10" s="16" t="s">
        <v>37</v>
      </c>
      <c r="B10" s="17" t="s">
        <v>38</v>
      </c>
      <c r="C10" s="18"/>
      <c r="D10" s="18"/>
      <c r="E10" s="19"/>
      <c r="F10" s="16" t="s">
        <v>39</v>
      </c>
      <c r="G10" s="16"/>
      <c r="H10" s="16" t="s">
        <v>40</v>
      </c>
      <c r="I10" s="16" t="s">
        <v>41</v>
      </c>
      <c r="J10" s="16"/>
      <c r="K10" s="16" t="s">
        <v>42</v>
      </c>
      <c r="L10" s="16"/>
      <c r="M10" s="16" t="s">
        <v>43</v>
      </c>
    </row>
    <row r="11" ht="25" customHeight="1" spans="1:13">
      <c r="A11" s="20">
        <v>1</v>
      </c>
      <c r="B11" s="68" t="s">
        <v>44</v>
      </c>
      <c r="C11" s="69"/>
      <c r="D11" s="69"/>
      <c r="E11" s="70"/>
      <c r="F11" s="71">
        <v>200</v>
      </c>
      <c r="G11" s="72"/>
      <c r="H11" s="25" t="s">
        <v>45</v>
      </c>
      <c r="I11" s="64">
        <v>43831</v>
      </c>
      <c r="J11" s="20"/>
      <c r="K11" s="20"/>
      <c r="L11" s="20"/>
      <c r="M11" s="25" t="s">
        <v>42</v>
      </c>
    </row>
    <row r="12" ht="25" customHeight="1" spans="1:13">
      <c r="A12" s="20">
        <v>2</v>
      </c>
      <c r="B12" s="73" t="s">
        <v>46</v>
      </c>
      <c r="C12" s="74"/>
      <c r="D12" s="74"/>
      <c r="E12" s="75"/>
      <c r="F12" s="76">
        <v>6658.05</v>
      </c>
      <c r="G12" s="77"/>
      <c r="H12" s="25" t="s">
        <v>47</v>
      </c>
      <c r="I12" s="64">
        <v>43832</v>
      </c>
      <c r="J12" s="20"/>
      <c r="K12" s="20"/>
      <c r="L12" s="20"/>
      <c r="M12" s="25" t="s">
        <v>42</v>
      </c>
    </row>
    <row r="13" ht="25" customHeight="1" spans="1:13">
      <c r="A13" s="20">
        <v>3</v>
      </c>
      <c r="B13" s="68" t="s">
        <v>48</v>
      </c>
      <c r="C13" s="69"/>
      <c r="D13" s="69"/>
      <c r="E13" s="70"/>
      <c r="F13" s="71">
        <v>5400</v>
      </c>
      <c r="G13" s="72"/>
      <c r="H13" s="25" t="s">
        <v>49</v>
      </c>
      <c r="I13" s="64">
        <v>43833</v>
      </c>
      <c r="J13" s="20"/>
      <c r="K13" s="20"/>
      <c r="L13" s="20"/>
      <c r="M13" s="25" t="s">
        <v>42</v>
      </c>
    </row>
    <row r="14" ht="25" customHeight="1" spans="1:13">
      <c r="A14" s="20">
        <v>4</v>
      </c>
      <c r="B14" s="68" t="s">
        <v>50</v>
      </c>
      <c r="C14" s="69"/>
      <c r="D14" s="69"/>
      <c r="E14" s="70"/>
      <c r="F14" s="78">
        <v>1386</v>
      </c>
      <c r="G14" s="78"/>
      <c r="H14" s="25" t="s">
        <v>51</v>
      </c>
      <c r="I14" s="64">
        <v>43834</v>
      </c>
      <c r="J14" s="20"/>
      <c r="K14" s="20"/>
      <c r="L14" s="20"/>
      <c r="M14" s="25" t="s">
        <v>42</v>
      </c>
    </row>
    <row r="15" ht="25" customHeight="1" spans="1:13">
      <c r="A15" s="20">
        <v>5</v>
      </c>
      <c r="B15" s="79" t="s">
        <v>52</v>
      </c>
      <c r="C15" s="80"/>
      <c r="D15" s="80"/>
      <c r="E15" s="81"/>
      <c r="F15" s="82">
        <v>3760</v>
      </c>
      <c r="G15" s="83"/>
      <c r="H15" s="25" t="s">
        <v>53</v>
      </c>
      <c r="I15" s="64">
        <v>43835</v>
      </c>
      <c r="J15" s="20"/>
      <c r="K15" s="20"/>
      <c r="L15" s="20"/>
      <c r="M15" s="25" t="s">
        <v>42</v>
      </c>
    </row>
    <row r="16" ht="25" customHeight="1" spans="1:13">
      <c r="A16" s="20">
        <v>6</v>
      </c>
      <c r="B16" s="68" t="s">
        <v>54</v>
      </c>
      <c r="C16" s="69"/>
      <c r="D16" s="69"/>
      <c r="E16" s="70"/>
      <c r="F16" s="76">
        <v>2899.9</v>
      </c>
      <c r="G16" s="77"/>
      <c r="H16" s="25" t="s">
        <v>55</v>
      </c>
      <c r="I16" s="64">
        <v>43836</v>
      </c>
      <c r="J16" s="20"/>
      <c r="K16" s="20"/>
      <c r="L16" s="20"/>
      <c r="M16" s="25" t="s">
        <v>42</v>
      </c>
    </row>
    <row r="17" ht="25" customHeight="1" spans="1:13">
      <c r="A17" s="20">
        <v>7</v>
      </c>
      <c r="B17" s="73" t="s">
        <v>56</v>
      </c>
      <c r="C17" s="74"/>
      <c r="D17" s="74"/>
      <c r="E17" s="75"/>
      <c r="F17" s="76">
        <v>1526</v>
      </c>
      <c r="G17" s="77"/>
      <c r="H17" s="25" t="s">
        <v>57</v>
      </c>
      <c r="I17" s="64">
        <v>43837</v>
      </c>
      <c r="J17" s="20"/>
      <c r="K17" s="20"/>
      <c r="L17" s="20"/>
      <c r="M17" s="25" t="s">
        <v>42</v>
      </c>
    </row>
    <row r="18" ht="25" customHeight="1" spans="1:13">
      <c r="A18" s="20">
        <v>8</v>
      </c>
      <c r="B18" s="84" t="s">
        <v>58</v>
      </c>
      <c r="C18" s="85"/>
      <c r="D18" s="85"/>
      <c r="E18" s="86"/>
      <c r="F18" s="78">
        <v>2600</v>
      </c>
      <c r="G18" s="78"/>
      <c r="H18" s="25" t="s">
        <v>45</v>
      </c>
      <c r="I18" s="64">
        <v>43838</v>
      </c>
      <c r="J18" s="20"/>
      <c r="K18" s="20"/>
      <c r="L18" s="20"/>
      <c r="M18" s="25" t="s">
        <v>42</v>
      </c>
    </row>
    <row r="19" ht="25" customHeight="1" spans="1:13">
      <c r="A19" s="20">
        <v>9</v>
      </c>
      <c r="B19" s="87" t="s">
        <v>59</v>
      </c>
      <c r="C19" s="88"/>
      <c r="D19" s="88"/>
      <c r="E19" s="89"/>
      <c r="F19" s="76">
        <v>509.3</v>
      </c>
      <c r="G19" s="77"/>
      <c r="H19" s="25" t="s">
        <v>47</v>
      </c>
      <c r="I19" s="64">
        <v>43839</v>
      </c>
      <c r="J19" s="20"/>
      <c r="K19" s="20"/>
      <c r="L19" s="20"/>
      <c r="M19" s="25" t="s">
        <v>42</v>
      </c>
    </row>
    <row r="20" ht="25" customHeight="1" spans="1:13">
      <c r="A20" s="20">
        <v>10</v>
      </c>
      <c r="B20" s="73" t="s">
        <v>60</v>
      </c>
      <c r="C20" s="74"/>
      <c r="D20" s="74"/>
      <c r="E20" s="75"/>
      <c r="F20" s="76">
        <v>23194.5</v>
      </c>
      <c r="G20" s="77"/>
      <c r="H20" s="25" t="s">
        <v>49</v>
      </c>
      <c r="I20" s="64">
        <v>43840</v>
      </c>
      <c r="J20" s="20"/>
      <c r="K20" s="20"/>
      <c r="L20" s="20"/>
      <c r="M20" s="25" t="s">
        <v>42</v>
      </c>
    </row>
    <row r="21" ht="25" customHeight="1" spans="1:13">
      <c r="A21" s="20">
        <v>11</v>
      </c>
      <c r="B21" s="73" t="s">
        <v>61</v>
      </c>
      <c r="C21" s="74"/>
      <c r="D21" s="74"/>
      <c r="E21" s="75"/>
      <c r="F21" s="76">
        <v>577</v>
      </c>
      <c r="G21" s="77"/>
      <c r="H21" s="25" t="s">
        <v>51</v>
      </c>
      <c r="I21" s="64">
        <v>43841</v>
      </c>
      <c r="J21" s="20"/>
      <c r="K21" s="20"/>
      <c r="L21" s="20"/>
      <c r="M21" s="25" t="s">
        <v>42</v>
      </c>
    </row>
    <row r="22" ht="25" customHeight="1" spans="1:13">
      <c r="A22" s="20">
        <v>12</v>
      </c>
      <c r="B22" s="87" t="s">
        <v>62</v>
      </c>
      <c r="C22" s="88"/>
      <c r="D22" s="88"/>
      <c r="E22" s="89"/>
      <c r="F22" s="71">
        <v>47358.27</v>
      </c>
      <c r="G22" s="72"/>
      <c r="H22" s="25" t="s">
        <v>53</v>
      </c>
      <c r="I22" s="64">
        <v>43842</v>
      </c>
      <c r="J22" s="20"/>
      <c r="K22" s="20"/>
      <c r="L22" s="20"/>
      <c r="M22" s="25" t="s">
        <v>42</v>
      </c>
    </row>
    <row r="23" ht="25" customHeight="1" spans="1:13">
      <c r="A23" s="20">
        <v>13</v>
      </c>
      <c r="B23" s="73" t="s">
        <v>63</v>
      </c>
      <c r="C23" s="74"/>
      <c r="D23" s="74"/>
      <c r="E23" s="75"/>
      <c r="F23" s="76">
        <v>291.6</v>
      </c>
      <c r="G23" s="77"/>
      <c r="H23" s="25" t="s">
        <v>55</v>
      </c>
      <c r="I23" s="64">
        <v>43843</v>
      </c>
      <c r="J23" s="20"/>
      <c r="K23" s="20"/>
      <c r="L23" s="20"/>
      <c r="M23" s="25" t="s">
        <v>42</v>
      </c>
    </row>
    <row r="24" ht="25" customHeight="1" spans="1:13">
      <c r="A24" s="20">
        <v>14</v>
      </c>
      <c r="B24" s="73" t="s">
        <v>64</v>
      </c>
      <c r="C24" s="74"/>
      <c r="D24" s="74"/>
      <c r="E24" s="75"/>
      <c r="F24" s="76">
        <v>28</v>
      </c>
      <c r="G24" s="77"/>
      <c r="H24" s="25" t="s">
        <v>57</v>
      </c>
      <c r="I24" s="64">
        <v>43844</v>
      </c>
      <c r="J24" s="20"/>
      <c r="K24" s="20"/>
      <c r="L24" s="20"/>
      <c r="M24" s="25" t="s">
        <v>42</v>
      </c>
    </row>
    <row r="25" ht="25" customHeight="1" spans="1:13">
      <c r="A25" s="20">
        <v>15</v>
      </c>
      <c r="B25" s="87" t="s">
        <v>65</v>
      </c>
      <c r="C25" s="88"/>
      <c r="D25" s="88"/>
      <c r="E25" s="89"/>
      <c r="F25" s="71">
        <v>847</v>
      </c>
      <c r="G25" s="72"/>
      <c r="H25" s="25" t="s">
        <v>45</v>
      </c>
      <c r="I25" s="64">
        <v>43845</v>
      </c>
      <c r="J25" s="20"/>
      <c r="K25" s="20"/>
      <c r="L25" s="20"/>
      <c r="M25" s="25" t="s">
        <v>42</v>
      </c>
    </row>
    <row r="26" ht="25" customHeight="1" spans="1:13">
      <c r="A26" s="20">
        <v>16</v>
      </c>
      <c r="B26" s="87" t="s">
        <v>66</v>
      </c>
      <c r="C26" s="88"/>
      <c r="D26" s="88"/>
      <c r="E26" s="89"/>
      <c r="F26" s="71">
        <v>527.38</v>
      </c>
      <c r="G26" s="72"/>
      <c r="H26" s="25" t="s">
        <v>47</v>
      </c>
      <c r="I26" s="65">
        <v>43846</v>
      </c>
      <c r="J26" s="66"/>
      <c r="K26" s="66"/>
      <c r="L26" s="66"/>
      <c r="M26" s="67" t="s">
        <v>42</v>
      </c>
    </row>
    <row r="27" ht="25" customHeight="1" spans="1:13">
      <c r="A27" s="60" t="s">
        <v>67</v>
      </c>
      <c r="B27" s="61"/>
      <c r="C27" s="61"/>
      <c r="D27" s="61"/>
      <c r="E27" s="62"/>
      <c r="F27" s="63">
        <f>SUM(F11:F26)</f>
        <v>97763</v>
      </c>
      <c r="G27" s="63"/>
      <c r="H27" s="60"/>
      <c r="I27" s="60"/>
      <c r="J27" s="61"/>
      <c r="K27" s="61"/>
      <c r="L27" s="61"/>
      <c r="M27" s="62"/>
    </row>
  </sheetData>
  <mergeCells count="70">
    <mergeCell ref="B10:E10"/>
    <mergeCell ref="F10:G10"/>
    <mergeCell ref="I10:J10"/>
    <mergeCell ref="K10:L10"/>
    <mergeCell ref="B11:E11"/>
    <mergeCell ref="F11:G11"/>
    <mergeCell ref="I11:J11"/>
    <mergeCell ref="K11:L11"/>
    <mergeCell ref="B12:E12"/>
    <mergeCell ref="F12:G12"/>
    <mergeCell ref="I12:J12"/>
    <mergeCell ref="K12:L12"/>
    <mergeCell ref="B13:E13"/>
    <mergeCell ref="F13:G13"/>
    <mergeCell ref="I13:J13"/>
    <mergeCell ref="K13:L13"/>
    <mergeCell ref="B14:E14"/>
    <mergeCell ref="F14:G14"/>
    <mergeCell ref="I14:J14"/>
    <mergeCell ref="K14:L14"/>
    <mergeCell ref="B15:E15"/>
    <mergeCell ref="F15:G15"/>
    <mergeCell ref="I15:J15"/>
    <mergeCell ref="K15:L15"/>
    <mergeCell ref="B16:E16"/>
    <mergeCell ref="F16:G16"/>
    <mergeCell ref="I16:J16"/>
    <mergeCell ref="K16:L16"/>
    <mergeCell ref="B17:E17"/>
    <mergeCell ref="F17:G17"/>
    <mergeCell ref="I17:J17"/>
    <mergeCell ref="K17:L17"/>
    <mergeCell ref="B18:E18"/>
    <mergeCell ref="F18:G18"/>
    <mergeCell ref="I18:J18"/>
    <mergeCell ref="K18:L18"/>
    <mergeCell ref="B19:E19"/>
    <mergeCell ref="F19:G19"/>
    <mergeCell ref="I19:J19"/>
    <mergeCell ref="K19:L19"/>
    <mergeCell ref="B20:E20"/>
    <mergeCell ref="F20:G20"/>
    <mergeCell ref="I20:J20"/>
    <mergeCell ref="K20:L20"/>
    <mergeCell ref="B21:E21"/>
    <mergeCell ref="F21:G21"/>
    <mergeCell ref="I21:J21"/>
    <mergeCell ref="K21:L21"/>
    <mergeCell ref="B22:E22"/>
    <mergeCell ref="F22:G22"/>
    <mergeCell ref="I22:J22"/>
    <mergeCell ref="K22:L22"/>
    <mergeCell ref="B23:E23"/>
    <mergeCell ref="F23:G23"/>
    <mergeCell ref="I23:J23"/>
    <mergeCell ref="K23:L23"/>
    <mergeCell ref="B24:E24"/>
    <mergeCell ref="F24:G24"/>
    <mergeCell ref="I24:J24"/>
    <mergeCell ref="K24:L24"/>
    <mergeCell ref="B25:E25"/>
    <mergeCell ref="F25:G25"/>
    <mergeCell ref="I25:J25"/>
    <mergeCell ref="K25:L25"/>
    <mergeCell ref="B26:E26"/>
    <mergeCell ref="F26:G26"/>
    <mergeCell ref="I26:J26"/>
    <mergeCell ref="K26:L26"/>
    <mergeCell ref="A27:E27"/>
    <mergeCell ref="F27:G2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topLeftCell="A4" workbookViewId="0">
      <selection activeCell="O15" sqref="O15"/>
    </sheetView>
  </sheetViews>
  <sheetFormatPr defaultColWidth="9" defaultRowHeight="15"/>
  <cols>
    <col min="1" max="9" width="10.625" style="2" customWidth="1"/>
    <col min="10" max="10" width="10.625" style="1" customWidth="1"/>
    <col min="11" max="13" width="10.625" style="2" customWidth="1"/>
    <col min="14" max="14" width="9.625" style="2" customWidth="1"/>
    <col min="15" max="16354" width="9" style="2"/>
    <col min="16355" max="16384" width="9" style="3"/>
  </cols>
  <sheetData>
    <row r="1" ht="25" customHeight="1"/>
    <row r="2" ht="25" customHeight="1" spans="1:10">
      <c r="A2" s="4" t="s">
        <v>0</v>
      </c>
      <c r="B2" s="5" t="s">
        <v>1</v>
      </c>
      <c r="C2" s="5" t="s">
        <v>2</v>
      </c>
      <c r="D2" s="6" t="s">
        <v>3</v>
      </c>
      <c r="F2" s="7"/>
      <c r="G2" s="7"/>
      <c r="H2" s="7"/>
      <c r="I2" s="7"/>
      <c r="J2" s="7"/>
    </row>
    <row r="3" ht="25" customHeight="1" spans="1:10">
      <c r="A3" s="8" t="s">
        <v>4</v>
      </c>
      <c r="B3" s="9" t="s">
        <v>5</v>
      </c>
      <c r="C3" s="9" t="s">
        <v>6</v>
      </c>
      <c r="D3" s="9" t="s">
        <v>7</v>
      </c>
      <c r="F3" s="10"/>
      <c r="G3" s="10"/>
      <c r="H3" s="10"/>
      <c r="I3" s="10"/>
      <c r="J3" s="7"/>
    </row>
    <row r="4" ht="25" customHeight="1" spans="1:10">
      <c r="A4" s="11" t="s">
        <v>8</v>
      </c>
      <c r="B4" s="12" t="s">
        <v>9</v>
      </c>
      <c r="C4" s="11"/>
      <c r="D4" s="11"/>
      <c r="E4" s="10"/>
      <c r="F4" s="10"/>
      <c r="G4" s="10"/>
      <c r="H4" s="10"/>
      <c r="I4" s="10"/>
      <c r="J4" s="10"/>
    </row>
    <row r="5" ht="25" customHeight="1" spans="8:10">
      <c r="H5" s="1"/>
      <c r="I5" s="1"/>
      <c r="J5" s="2"/>
    </row>
    <row r="6" ht="25" customHeight="1" spans="1:12">
      <c r="A6" s="13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17</v>
      </c>
      <c r="I6" s="14" t="s">
        <v>18</v>
      </c>
      <c r="J6" s="14" t="s">
        <v>19</v>
      </c>
      <c r="K6" s="14" t="s">
        <v>20</v>
      </c>
      <c r="L6" s="14" t="s">
        <v>21</v>
      </c>
    </row>
    <row r="7" s="1" customFormat="1" ht="25" customHeight="1" spans="1:12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</row>
    <row r="8" ht="25" customHeight="1"/>
    <row r="9" ht="25" customHeight="1" spans="1:10">
      <c r="A9" s="11" t="s">
        <v>34</v>
      </c>
      <c r="B9" s="12" t="s">
        <v>35</v>
      </c>
      <c r="C9" s="15"/>
      <c r="D9" s="15"/>
      <c r="E9" s="15"/>
      <c r="F9" s="15"/>
      <c r="G9" s="15"/>
      <c r="H9" s="15"/>
      <c r="I9" s="15"/>
      <c r="J9" s="15" t="s">
        <v>36</v>
      </c>
    </row>
    <row r="10" ht="25" customHeight="1" spans="1:13">
      <c r="A10" s="16" t="s">
        <v>37</v>
      </c>
      <c r="B10" s="17" t="s">
        <v>38</v>
      </c>
      <c r="C10" s="18"/>
      <c r="D10" s="18"/>
      <c r="E10" s="19"/>
      <c r="F10" s="16" t="s">
        <v>39</v>
      </c>
      <c r="G10" s="16"/>
      <c r="H10" s="16" t="s">
        <v>40</v>
      </c>
      <c r="I10" s="16" t="s">
        <v>41</v>
      </c>
      <c r="J10" s="16"/>
      <c r="K10" s="16" t="s">
        <v>42</v>
      </c>
      <c r="L10" s="16"/>
      <c r="M10" s="16" t="s">
        <v>43</v>
      </c>
    </row>
    <row r="11" ht="25" customHeight="1" spans="1:13">
      <c r="A11" s="20">
        <v>1</v>
      </c>
      <c r="B11" s="21" t="s">
        <v>68</v>
      </c>
      <c r="C11" s="22"/>
      <c r="D11" s="22"/>
      <c r="E11" s="23"/>
      <c r="F11" s="24">
        <v>-0.06</v>
      </c>
      <c r="G11" s="24"/>
      <c r="H11" s="25" t="s">
        <v>45</v>
      </c>
      <c r="I11" s="64">
        <v>43831</v>
      </c>
      <c r="J11" s="20"/>
      <c r="K11" s="20"/>
      <c r="L11" s="20"/>
      <c r="M11" s="25" t="s">
        <v>42</v>
      </c>
    </row>
    <row r="12" ht="25" customHeight="1" spans="1:13">
      <c r="A12" s="20">
        <v>2</v>
      </c>
      <c r="B12" s="26" t="s">
        <v>69</v>
      </c>
      <c r="C12" s="27"/>
      <c r="D12" s="27"/>
      <c r="E12" s="28"/>
      <c r="F12" s="29">
        <v>102.89</v>
      </c>
      <c r="G12" s="29"/>
      <c r="H12" s="25" t="s">
        <v>47</v>
      </c>
      <c r="I12" s="64">
        <v>43832</v>
      </c>
      <c r="J12" s="20"/>
      <c r="K12" s="20"/>
      <c r="L12" s="20"/>
      <c r="M12" s="25" t="s">
        <v>42</v>
      </c>
    </row>
    <row r="13" ht="25" customHeight="1" spans="1:13">
      <c r="A13" s="20">
        <v>3</v>
      </c>
      <c r="B13" s="26" t="s">
        <v>69</v>
      </c>
      <c r="C13" s="27"/>
      <c r="D13" s="27"/>
      <c r="E13" s="28"/>
      <c r="F13" s="30">
        <v>73.3</v>
      </c>
      <c r="G13" s="30"/>
      <c r="H13" s="25" t="s">
        <v>49</v>
      </c>
      <c r="I13" s="64">
        <v>43833</v>
      </c>
      <c r="J13" s="20"/>
      <c r="K13" s="20"/>
      <c r="L13" s="20"/>
      <c r="M13" s="25" t="s">
        <v>42</v>
      </c>
    </row>
    <row r="14" ht="25" customHeight="1" spans="1:13">
      <c r="A14" s="20">
        <v>4</v>
      </c>
      <c r="B14" s="31" t="s">
        <v>70</v>
      </c>
      <c r="C14" s="32"/>
      <c r="D14" s="32"/>
      <c r="E14" s="33"/>
      <c r="F14" s="29">
        <v>28</v>
      </c>
      <c r="G14" s="29"/>
      <c r="H14" s="25" t="s">
        <v>51</v>
      </c>
      <c r="I14" s="64">
        <v>43834</v>
      </c>
      <c r="J14" s="20"/>
      <c r="K14" s="20"/>
      <c r="L14" s="20"/>
      <c r="M14" s="25" t="s">
        <v>42</v>
      </c>
    </row>
    <row r="15" ht="25" customHeight="1" spans="1:13">
      <c r="A15" s="20">
        <v>5</v>
      </c>
      <c r="B15" s="26" t="s">
        <v>71</v>
      </c>
      <c r="C15" s="27"/>
      <c r="D15" s="27"/>
      <c r="E15" s="28"/>
      <c r="F15" s="34">
        <v>50</v>
      </c>
      <c r="G15" s="34"/>
      <c r="H15" s="25" t="s">
        <v>53</v>
      </c>
      <c r="I15" s="64">
        <v>43835</v>
      </c>
      <c r="J15" s="20"/>
      <c r="K15" s="20"/>
      <c r="L15" s="20"/>
      <c r="M15" s="25" t="s">
        <v>42</v>
      </c>
    </row>
    <row r="16" ht="25" customHeight="1" spans="1:13">
      <c r="A16" s="20">
        <v>6</v>
      </c>
      <c r="B16" s="35" t="s">
        <v>72</v>
      </c>
      <c r="C16" s="36"/>
      <c r="D16" s="36"/>
      <c r="E16" s="37"/>
      <c r="F16" s="38">
        <v>5</v>
      </c>
      <c r="G16" s="38"/>
      <c r="H16" s="25" t="s">
        <v>55</v>
      </c>
      <c r="I16" s="64">
        <v>43836</v>
      </c>
      <c r="J16" s="20"/>
      <c r="K16" s="20"/>
      <c r="L16" s="20"/>
      <c r="M16" s="25" t="s">
        <v>42</v>
      </c>
    </row>
    <row r="17" ht="25" customHeight="1" spans="1:13">
      <c r="A17" s="20">
        <v>7</v>
      </c>
      <c r="B17" s="39" t="s">
        <v>71</v>
      </c>
      <c r="C17" s="40"/>
      <c r="D17" s="40"/>
      <c r="E17" s="41"/>
      <c r="F17" s="29">
        <v>29</v>
      </c>
      <c r="G17" s="29"/>
      <c r="H17" s="25" t="s">
        <v>57</v>
      </c>
      <c r="I17" s="64">
        <v>43837</v>
      </c>
      <c r="J17" s="20"/>
      <c r="K17" s="20"/>
      <c r="L17" s="20"/>
      <c r="M17" s="25" t="s">
        <v>42</v>
      </c>
    </row>
    <row r="18" ht="25" customHeight="1" spans="1:13">
      <c r="A18" s="20">
        <v>8</v>
      </c>
      <c r="B18" s="21" t="s">
        <v>73</v>
      </c>
      <c r="C18" s="22"/>
      <c r="D18" s="22"/>
      <c r="E18" s="23"/>
      <c r="F18" s="24">
        <v>-86.62</v>
      </c>
      <c r="G18" s="24"/>
      <c r="H18" s="25" t="s">
        <v>45</v>
      </c>
      <c r="I18" s="64">
        <v>43838</v>
      </c>
      <c r="J18" s="20"/>
      <c r="K18" s="20"/>
      <c r="L18" s="20"/>
      <c r="M18" s="25" t="s">
        <v>42</v>
      </c>
    </row>
    <row r="19" ht="25" customHeight="1" spans="1:13">
      <c r="A19" s="20">
        <v>9</v>
      </c>
      <c r="B19" s="26" t="s">
        <v>69</v>
      </c>
      <c r="C19" s="27"/>
      <c r="D19" s="27"/>
      <c r="E19" s="28"/>
      <c r="F19" s="42">
        <v>119.469999999998</v>
      </c>
      <c r="G19" s="42"/>
      <c r="H19" s="25" t="s">
        <v>47</v>
      </c>
      <c r="I19" s="64">
        <v>43839</v>
      </c>
      <c r="J19" s="20"/>
      <c r="K19" s="20"/>
      <c r="L19" s="20"/>
      <c r="M19" s="25" t="s">
        <v>42</v>
      </c>
    </row>
    <row r="20" ht="25" customHeight="1" spans="1:13">
      <c r="A20" s="20">
        <v>10</v>
      </c>
      <c r="B20" s="43" t="s">
        <v>74</v>
      </c>
      <c r="C20" s="44"/>
      <c r="D20" s="44"/>
      <c r="E20" s="45"/>
      <c r="F20" s="46">
        <v>30</v>
      </c>
      <c r="G20" s="46"/>
      <c r="H20" s="25" t="s">
        <v>49</v>
      </c>
      <c r="I20" s="64">
        <v>43840</v>
      </c>
      <c r="J20" s="20"/>
      <c r="K20" s="20"/>
      <c r="L20" s="20"/>
      <c r="M20" s="25" t="s">
        <v>42</v>
      </c>
    </row>
    <row r="21" ht="25" customHeight="1" spans="1:13">
      <c r="A21" s="20">
        <v>11</v>
      </c>
      <c r="B21" s="47" t="s">
        <v>75</v>
      </c>
      <c r="C21" s="48"/>
      <c r="D21" s="48"/>
      <c r="E21" s="49"/>
      <c r="F21" s="30">
        <v>5</v>
      </c>
      <c r="G21" s="30"/>
      <c r="H21" s="25" t="s">
        <v>51</v>
      </c>
      <c r="I21" s="64">
        <v>43841</v>
      </c>
      <c r="J21" s="20"/>
      <c r="K21" s="20"/>
      <c r="L21" s="20"/>
      <c r="M21" s="25" t="s">
        <v>42</v>
      </c>
    </row>
    <row r="22" ht="25" customHeight="1" spans="1:13">
      <c r="A22" s="20">
        <v>12</v>
      </c>
      <c r="B22" s="26" t="s">
        <v>69</v>
      </c>
      <c r="C22" s="27"/>
      <c r="D22" s="27"/>
      <c r="E22" s="28"/>
      <c r="F22" s="50">
        <v>59.66</v>
      </c>
      <c r="G22" s="50"/>
      <c r="H22" s="25" t="s">
        <v>53</v>
      </c>
      <c r="I22" s="64">
        <v>43842</v>
      </c>
      <c r="J22" s="20"/>
      <c r="K22" s="20"/>
      <c r="L22" s="20"/>
      <c r="M22" s="25" t="s">
        <v>42</v>
      </c>
    </row>
    <row r="23" ht="25" customHeight="1" spans="1:13">
      <c r="A23" s="20">
        <v>13</v>
      </c>
      <c r="B23" s="43" t="s">
        <v>76</v>
      </c>
      <c r="C23" s="44"/>
      <c r="D23" s="44"/>
      <c r="E23" s="51"/>
      <c r="F23" s="52">
        <v>8.87</v>
      </c>
      <c r="G23" s="52"/>
      <c r="H23" s="25" t="s">
        <v>55</v>
      </c>
      <c r="I23" s="64">
        <v>43843</v>
      </c>
      <c r="J23" s="20"/>
      <c r="K23" s="20"/>
      <c r="L23" s="20"/>
      <c r="M23" s="25" t="s">
        <v>42</v>
      </c>
    </row>
    <row r="24" ht="25" customHeight="1" spans="1:13">
      <c r="A24" s="20">
        <v>14</v>
      </c>
      <c r="B24" s="53" t="s">
        <v>76</v>
      </c>
      <c r="C24" s="54"/>
      <c r="D24" s="54"/>
      <c r="E24" s="55"/>
      <c r="F24" s="30">
        <v>13.62</v>
      </c>
      <c r="G24" s="30"/>
      <c r="H24" s="25" t="s">
        <v>57</v>
      </c>
      <c r="I24" s="64">
        <v>43844</v>
      </c>
      <c r="J24" s="20"/>
      <c r="K24" s="20"/>
      <c r="L24" s="20"/>
      <c r="M24" s="25" t="s">
        <v>42</v>
      </c>
    </row>
    <row r="25" ht="25" customHeight="1" spans="1:13">
      <c r="A25" s="20">
        <v>15</v>
      </c>
      <c r="B25" s="53" t="s">
        <v>76</v>
      </c>
      <c r="C25" s="54"/>
      <c r="D25" s="54"/>
      <c r="E25" s="55"/>
      <c r="F25" s="30">
        <v>7.5</v>
      </c>
      <c r="G25" s="30"/>
      <c r="H25" s="25" t="s">
        <v>45</v>
      </c>
      <c r="I25" s="64">
        <v>43845</v>
      </c>
      <c r="J25" s="20"/>
      <c r="K25" s="20"/>
      <c r="L25" s="20"/>
      <c r="M25" s="25" t="s">
        <v>42</v>
      </c>
    </row>
    <row r="26" ht="25" customHeight="1" spans="1:13">
      <c r="A26" s="20">
        <v>16</v>
      </c>
      <c r="B26" s="56" t="s">
        <v>77</v>
      </c>
      <c r="C26" s="57"/>
      <c r="D26" s="57"/>
      <c r="E26" s="58"/>
      <c r="F26" s="59">
        <v>2</v>
      </c>
      <c r="G26" s="59"/>
      <c r="H26" s="25" t="s">
        <v>47</v>
      </c>
      <c r="I26" s="65">
        <v>43846</v>
      </c>
      <c r="J26" s="66"/>
      <c r="K26" s="66"/>
      <c r="L26" s="66"/>
      <c r="M26" s="67" t="s">
        <v>42</v>
      </c>
    </row>
    <row r="27" ht="25" customHeight="1" spans="1:13">
      <c r="A27" s="20">
        <v>17</v>
      </c>
      <c r="B27" s="57" t="s">
        <v>78</v>
      </c>
      <c r="C27" s="57"/>
      <c r="D27" s="57"/>
      <c r="E27" s="58"/>
      <c r="F27" s="59">
        <v>-58.08</v>
      </c>
      <c r="G27" s="59"/>
      <c r="H27" s="25" t="s">
        <v>57</v>
      </c>
      <c r="I27" s="65">
        <v>43847</v>
      </c>
      <c r="J27" s="66"/>
      <c r="K27" s="66"/>
      <c r="L27" s="66"/>
      <c r="M27" s="67" t="s">
        <v>42</v>
      </c>
    </row>
    <row r="28" ht="25" customHeight="1" spans="1:13">
      <c r="A28" s="20">
        <v>18</v>
      </c>
      <c r="B28" s="54" t="s">
        <v>76</v>
      </c>
      <c r="C28" s="54"/>
      <c r="D28" s="54"/>
      <c r="E28" s="55"/>
      <c r="F28" s="46">
        <v>12.5</v>
      </c>
      <c r="G28" s="46"/>
      <c r="H28" s="25" t="s">
        <v>45</v>
      </c>
      <c r="I28" s="65">
        <v>43848</v>
      </c>
      <c r="J28" s="66"/>
      <c r="K28" s="66"/>
      <c r="L28" s="66"/>
      <c r="M28" s="67" t="s">
        <v>42</v>
      </c>
    </row>
    <row r="29" ht="25" customHeight="1" spans="1:13">
      <c r="A29" s="20">
        <v>19</v>
      </c>
      <c r="B29" s="54" t="s">
        <v>76</v>
      </c>
      <c r="C29" s="54"/>
      <c r="D29" s="54"/>
      <c r="E29" s="55"/>
      <c r="F29" s="59">
        <v>15</v>
      </c>
      <c r="G29" s="59"/>
      <c r="H29" s="25" t="s">
        <v>47</v>
      </c>
      <c r="I29" s="65">
        <v>43849</v>
      </c>
      <c r="J29" s="66"/>
      <c r="K29" s="66"/>
      <c r="L29" s="66"/>
      <c r="M29" s="67" t="s">
        <v>42</v>
      </c>
    </row>
    <row r="30" ht="25" customHeight="1" spans="1:13">
      <c r="A30" s="20">
        <v>20</v>
      </c>
      <c r="B30" s="54" t="s">
        <v>76</v>
      </c>
      <c r="C30" s="54"/>
      <c r="D30" s="54"/>
      <c r="E30" s="55"/>
      <c r="F30" s="59">
        <v>5</v>
      </c>
      <c r="G30" s="59"/>
      <c r="H30" s="25" t="s">
        <v>57</v>
      </c>
      <c r="I30" s="65">
        <v>43850</v>
      </c>
      <c r="J30" s="66"/>
      <c r="K30" s="66"/>
      <c r="L30" s="66"/>
      <c r="M30" s="67" t="s">
        <v>42</v>
      </c>
    </row>
    <row r="31" ht="25" customHeight="1" spans="1:13">
      <c r="A31" s="60" t="s">
        <v>67</v>
      </c>
      <c r="B31" s="61"/>
      <c r="C31" s="61"/>
      <c r="D31" s="61"/>
      <c r="E31" s="62"/>
      <c r="F31" s="63">
        <f>SUM(F11:F26)</f>
        <v>447.629999999998</v>
      </c>
      <c r="G31" s="63"/>
      <c r="H31" s="60"/>
      <c r="I31" s="60"/>
      <c r="J31" s="61"/>
      <c r="K31" s="61"/>
      <c r="L31" s="61"/>
      <c r="M31" s="62"/>
    </row>
  </sheetData>
  <mergeCells count="86">
    <mergeCell ref="B10:E10"/>
    <mergeCell ref="F10:G10"/>
    <mergeCell ref="I10:J10"/>
    <mergeCell ref="K10:L10"/>
    <mergeCell ref="B11:E11"/>
    <mergeCell ref="F11:G11"/>
    <mergeCell ref="I11:J11"/>
    <mergeCell ref="K11:L11"/>
    <mergeCell ref="B12:E12"/>
    <mergeCell ref="F12:G12"/>
    <mergeCell ref="I12:J12"/>
    <mergeCell ref="K12:L12"/>
    <mergeCell ref="B13:E13"/>
    <mergeCell ref="F13:G13"/>
    <mergeCell ref="I13:J13"/>
    <mergeCell ref="K13:L13"/>
    <mergeCell ref="B14:E14"/>
    <mergeCell ref="F14:G14"/>
    <mergeCell ref="I14:J14"/>
    <mergeCell ref="K14:L14"/>
    <mergeCell ref="B15:E15"/>
    <mergeCell ref="F15:G15"/>
    <mergeCell ref="I15:J15"/>
    <mergeCell ref="K15:L15"/>
    <mergeCell ref="B16:E16"/>
    <mergeCell ref="F16:G16"/>
    <mergeCell ref="I16:J16"/>
    <mergeCell ref="K16:L16"/>
    <mergeCell ref="B17:E17"/>
    <mergeCell ref="F17:G17"/>
    <mergeCell ref="I17:J17"/>
    <mergeCell ref="K17:L17"/>
    <mergeCell ref="B18:E18"/>
    <mergeCell ref="F18:G18"/>
    <mergeCell ref="I18:J18"/>
    <mergeCell ref="K18:L18"/>
    <mergeCell ref="B19:E19"/>
    <mergeCell ref="F19:G19"/>
    <mergeCell ref="I19:J19"/>
    <mergeCell ref="K19:L19"/>
    <mergeCell ref="B20:E20"/>
    <mergeCell ref="F20:G20"/>
    <mergeCell ref="I20:J20"/>
    <mergeCell ref="K20:L20"/>
    <mergeCell ref="B21:E21"/>
    <mergeCell ref="F21:G21"/>
    <mergeCell ref="I21:J21"/>
    <mergeCell ref="K21:L21"/>
    <mergeCell ref="B22:E22"/>
    <mergeCell ref="F22:G22"/>
    <mergeCell ref="I22:J22"/>
    <mergeCell ref="K22:L22"/>
    <mergeCell ref="B23:E23"/>
    <mergeCell ref="F23:G23"/>
    <mergeCell ref="I23:J23"/>
    <mergeCell ref="K23:L23"/>
    <mergeCell ref="B24:E24"/>
    <mergeCell ref="F24:G24"/>
    <mergeCell ref="I24:J24"/>
    <mergeCell ref="K24:L24"/>
    <mergeCell ref="B25:E25"/>
    <mergeCell ref="F25:G25"/>
    <mergeCell ref="I25:J25"/>
    <mergeCell ref="K25:L25"/>
    <mergeCell ref="B26:E26"/>
    <mergeCell ref="F26:G26"/>
    <mergeCell ref="I26:J26"/>
    <mergeCell ref="K26:L26"/>
    <mergeCell ref="B27:E27"/>
    <mergeCell ref="F27:G27"/>
    <mergeCell ref="I27:J27"/>
    <mergeCell ref="K27:L27"/>
    <mergeCell ref="B28:E28"/>
    <mergeCell ref="F28:G28"/>
    <mergeCell ref="I28:J28"/>
    <mergeCell ref="K28:L28"/>
    <mergeCell ref="B29:E29"/>
    <mergeCell ref="F29:G29"/>
    <mergeCell ref="I29:J29"/>
    <mergeCell ref="K29:L29"/>
    <mergeCell ref="B30:E30"/>
    <mergeCell ref="F30:G30"/>
    <mergeCell ref="I30:J30"/>
    <mergeCell ref="K30:L30"/>
    <mergeCell ref="A31:E31"/>
    <mergeCell ref="F31:G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营业费用</vt:lpstr>
      <vt:lpstr>财务费用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2020-01-18T14:01:00Z</dcterms:created>
  <dcterms:modified xsi:type="dcterms:W3CDTF">2021-03-10T10:33:30Z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