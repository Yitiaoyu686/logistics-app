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库存商品" sheetId="1" r:id="rId1"/>
    <sheet name="固定资产" sheetId="2" r:id="rId2"/>
    <sheet name="累计折旧" sheetId="3" r:id="rId3"/>
  </sheets>
  <externalReferences>
    <externalReference r:id="rId4"/>
  </externalReferences>
  <calcPr calcId="144525"/>
</workbook>
</file>

<file path=xl/sharedStrings.xml><?xml version="1.0" encoding="utf-8"?>
<sst xmlns="http://schemas.openxmlformats.org/spreadsheetml/2006/main" count="156" uniqueCount="52">
  <si>
    <t>尼日利亚</t>
  </si>
  <si>
    <t>加纳</t>
  </si>
  <si>
    <t>几内亚</t>
  </si>
  <si>
    <t>中国</t>
  </si>
  <si>
    <t>广州</t>
  </si>
  <si>
    <t>深圳</t>
  </si>
  <si>
    <t>香港</t>
  </si>
  <si>
    <t>上海</t>
  </si>
  <si>
    <t>全部</t>
  </si>
  <si>
    <t>白云区站点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</si>
  <si>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</si>
  <si>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</si>
  <si>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</si>
  <si>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</si>
  <si>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</si>
  <si>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</si>
  <si>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</si>
  <si>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</si>
  <si>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</si>
  <si>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</si>
  <si>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</si>
  <si>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</si>
  <si>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</si>
  <si>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</si>
  <si>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</si>
  <si>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</si>
  <si>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</si>
  <si>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</si>
  <si>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</si>
  <si>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</si>
  <si>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</si>
  <si>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</si>
  <si>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</si>
  <si>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</si>
  <si>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库存商品</t>
  </si>
  <si>
    <t>固定资产</t>
  </si>
  <si>
    <t>累计折旧</t>
  </si>
  <si>
    <t>序号</t>
  </si>
  <si>
    <t>摘要</t>
  </si>
  <si>
    <t>金额CNY</t>
  </si>
  <si>
    <t>途径</t>
  </si>
  <si>
    <t>日期</t>
  </si>
  <si>
    <t>备注</t>
  </si>
  <si>
    <t>操作</t>
  </si>
  <si>
    <t>上月余数</t>
  </si>
  <si>
    <t>私账</t>
  </si>
  <si>
    <t>9月27日购入150个纸箱</t>
  </si>
  <si>
    <t>9月1日至30日纸箱领用量</t>
  </si>
  <si>
    <t>微信/私</t>
  </si>
  <si>
    <t>合计</t>
  </si>
  <si>
    <t>支付余款：LOS购买汽车＝18000</t>
  </si>
  <si>
    <t>折旧费</t>
  </si>
</sst>
</file>

<file path=xl/styles.xml><?xml version="1.0" encoding="utf-8"?>
<styleSheet xmlns="http://schemas.openxmlformats.org/spreadsheetml/2006/main">
  <numFmts count="7">
    <numFmt numFmtId="8" formatCode="&quot;￥&quot;#,##0.00;[Red]&quot;￥&quot;\-#,##0.00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&quot;￥&quot;#,##0.00_);[Red]\(&quot;￥&quot;#,##0.00\)"/>
    <numFmt numFmtId="177" formatCode="0.00_ "/>
  </numFmts>
  <fonts count="30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1"/>
      <name val="Microsoft JhengHei"/>
      <charset val="134"/>
    </font>
    <font>
      <b/>
      <sz val="10"/>
      <color theme="1"/>
      <name val="Microsoft JhengHei"/>
      <charset val="134"/>
    </font>
    <font>
      <b/>
      <sz val="11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theme="1"/>
      <name val="宋体"/>
      <charset val="134"/>
    </font>
    <font>
      <sz val="9"/>
      <color theme="1"/>
      <name val="Tahoma"/>
      <charset val="134"/>
    </font>
    <font>
      <sz val="9"/>
      <name val="宋体"/>
      <charset val="134"/>
    </font>
    <font>
      <sz val="8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2" fillId="20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7" fillId="16" borderId="9" applyNumberFormat="0" applyAlignment="0" applyProtection="0">
      <alignment vertical="center"/>
    </xf>
    <xf numFmtId="0" fontId="24" fillId="16" borderId="12" applyNumberFormat="0" applyAlignment="0" applyProtection="0">
      <alignment vertical="center"/>
    </xf>
    <xf numFmtId="0" fontId="27" fillId="27" borderId="14" applyNumberForma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176" fontId="8" fillId="5" borderId="3" xfId="0" applyNumberFormat="1" applyFont="1" applyFill="1" applyBorder="1" applyAlignment="1">
      <alignment horizontal="center" vertical="center"/>
    </xf>
    <xf numFmtId="176" fontId="8" fillId="5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176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4" fontId="1" fillId="5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76" fontId="9" fillId="5" borderId="3" xfId="0" applyNumberFormat="1" applyFont="1" applyFill="1" applyBorder="1" applyAlignment="1">
      <alignment horizontal="center" vertical="center"/>
    </xf>
    <xf numFmtId="176" fontId="9" fillId="5" borderId="5" xfId="0" applyNumberFormat="1" applyFont="1" applyFill="1" applyBorder="1" applyAlignment="1">
      <alignment horizontal="center" vertical="center"/>
    </xf>
    <xf numFmtId="8" fontId="4" fillId="6" borderId="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8" fontId="9" fillId="5" borderId="2" xfId="0" applyNumberFormat="1" applyFont="1" applyFill="1" applyBorder="1" applyAlignment="1">
      <alignment horizontal="center" vertical="center"/>
    </xf>
    <xf numFmtId="177" fontId="10" fillId="5" borderId="2" xfId="0" applyNumberFormat="1" applyFont="1" applyFill="1" applyBorder="1" applyAlignment="1">
      <alignment horizontal="left" vertical="center" wrapText="1"/>
    </xf>
    <xf numFmtId="8" fontId="8" fillId="5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echat\WeChat%20Files\Sampao\FileStorage\File\2020-01\2018&#24180;1-12&#26376;&#20221;&#36130;&#21153;&#25253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1月份明细 "/>
      <sheetName val="11月份分录"/>
      <sheetName val="11月份汇总"/>
      <sheetName val="11月份利润表"/>
      <sheetName val="11月份资产负债表"/>
      <sheetName val="12月份明细 "/>
      <sheetName val="12月份分录"/>
      <sheetName val="12月份汇总"/>
      <sheetName val="12月份利润表"/>
      <sheetName val="12月份资产负债表"/>
      <sheetName val="18年1月份明细"/>
      <sheetName val="1月份分录"/>
      <sheetName val="1月份汇总"/>
      <sheetName val="1月份利润表"/>
      <sheetName val="1月份资产负债表"/>
      <sheetName val="2月份明细"/>
      <sheetName val="2月份科目分录"/>
      <sheetName val="2月份汇总"/>
      <sheetName val="2月份利润表"/>
      <sheetName val="2月份资产负债表"/>
      <sheetName val="3月份明细"/>
      <sheetName val="3月份科目分录"/>
      <sheetName val="3月份汇总"/>
      <sheetName val="3月份利润表"/>
      <sheetName val="3月份资产负债表"/>
      <sheetName val="4月份明细"/>
      <sheetName val="4月份科目分录"/>
      <sheetName val="4月份汇总"/>
      <sheetName val="4月份利润表"/>
      <sheetName val="4月份资产负债表"/>
      <sheetName val="5月份明细"/>
      <sheetName val="5月份科目分录"/>
      <sheetName val="5月份汇总"/>
      <sheetName val="5月份利润表"/>
      <sheetName val="5月份资产负债表"/>
      <sheetName val="6月份明细"/>
      <sheetName val="6月份科目分录"/>
      <sheetName val="6月份汇总"/>
      <sheetName val="6月份利润表"/>
      <sheetName val="6月份资产负债表"/>
      <sheetName val="7月份明细"/>
      <sheetName val="7月份科目分录"/>
      <sheetName val="7月份汇总"/>
      <sheetName val="7月份利润表"/>
      <sheetName val="7月份资产负债表"/>
      <sheetName val="8月份明细"/>
      <sheetName val="8月份科目分录"/>
      <sheetName val="8月份汇总"/>
      <sheetName val="8月份利润表"/>
      <sheetName val="8月份资产负债表"/>
      <sheetName val="9月份明细"/>
      <sheetName val="9月份分录"/>
      <sheetName val="9月份汇总"/>
      <sheetName val="9月份利润表"/>
      <sheetName val="9月份资产负债表"/>
      <sheetName val="10月份明细"/>
      <sheetName val="10月份分录"/>
      <sheetName val="10月份汇总"/>
      <sheetName val="10月份利润表"/>
      <sheetName val="10月份资产负债表"/>
      <sheetName val="11月份明细"/>
      <sheetName val="11月份分录."/>
      <sheetName val="11月份汇总."/>
      <sheetName val="11月份利润表."/>
      <sheetName val="11月份资产负债表."/>
      <sheetName val="18年12月份明细"/>
      <sheetName val="18年12月份分录"/>
      <sheetName val="18年12月份汇总"/>
      <sheetName val="18年12月份利润表"/>
      <sheetName val="18年12月份资产负债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47">
          <cell r="F47">
            <v>5572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4"/>
  <sheetViews>
    <sheetView tabSelected="1" workbookViewId="0">
      <selection activeCell="P19" sqref="P19"/>
    </sheetView>
  </sheetViews>
  <sheetFormatPr defaultColWidth="9" defaultRowHeight="15"/>
  <cols>
    <col min="1" max="8" width="10.625" style="2" customWidth="1"/>
    <col min="9" max="9" width="10.625" style="1" customWidth="1"/>
    <col min="10" max="12" width="10.625" style="2" customWidth="1"/>
    <col min="13" max="13" width="9.625" style="2" customWidth="1"/>
    <col min="14" max="16353" width="9" style="2"/>
    <col min="16354" max="16384" width="9" style="3"/>
  </cols>
  <sheetData>
    <row r="2" ht="20" customHeight="1" spans="1:9">
      <c r="A2" s="4" t="s">
        <v>0</v>
      </c>
      <c r="B2" s="5" t="s">
        <v>1</v>
      </c>
      <c r="C2" s="5" t="s">
        <v>2</v>
      </c>
      <c r="D2" s="6" t="s">
        <v>3</v>
      </c>
      <c r="F2" s="7"/>
      <c r="G2" s="7"/>
      <c r="H2" s="7"/>
      <c r="I2" s="7"/>
    </row>
    <row r="3" ht="20" customHeight="1" spans="1:9">
      <c r="A3" s="8" t="s">
        <v>4</v>
      </c>
      <c r="B3" s="9" t="s">
        <v>5</v>
      </c>
      <c r="C3" s="9" t="s">
        <v>6</v>
      </c>
      <c r="D3" s="9" t="s">
        <v>7</v>
      </c>
      <c r="F3" s="10"/>
      <c r="G3" s="10"/>
      <c r="H3" s="10"/>
      <c r="I3" s="7"/>
    </row>
    <row r="4" ht="20" customHeight="1" spans="1:9">
      <c r="A4" s="11" t="s">
        <v>8</v>
      </c>
      <c r="B4" s="12" t="s">
        <v>9</v>
      </c>
      <c r="C4" s="11"/>
      <c r="D4" s="11"/>
      <c r="E4" s="10"/>
      <c r="F4" s="10"/>
      <c r="G4" s="10"/>
      <c r="H4" s="10"/>
      <c r="I4" s="10"/>
    </row>
    <row r="5" ht="20" customHeight="1" spans="8:9">
      <c r="H5" s="1"/>
      <c r="I5" s="2"/>
    </row>
    <row r="6" ht="20" customHeight="1" spans="1:12">
      <c r="A6" s="1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  <c r="L6" s="14" t="s">
        <v>21</v>
      </c>
    </row>
    <row r="7" s="1" customFormat="1" ht="20" customHeight="1" spans="1:12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</row>
    <row r="8" ht="20" customHeight="1"/>
    <row r="9" ht="20" customHeight="1" spans="1:9">
      <c r="A9" s="36" t="s">
        <v>34</v>
      </c>
      <c r="B9" s="12"/>
      <c r="C9" s="11" t="s">
        <v>35</v>
      </c>
      <c r="D9" s="11"/>
      <c r="E9" s="11" t="s">
        <v>36</v>
      </c>
      <c r="F9" s="11"/>
      <c r="G9" s="16"/>
      <c r="H9" s="16"/>
      <c r="I9" s="16"/>
    </row>
    <row r="10" ht="20" customHeight="1" spans="1:13">
      <c r="A10" s="17" t="s">
        <v>37</v>
      </c>
      <c r="B10" s="17" t="s">
        <v>38</v>
      </c>
      <c r="C10" s="17"/>
      <c r="D10" s="17"/>
      <c r="E10" s="17"/>
      <c r="F10" s="17" t="s">
        <v>39</v>
      </c>
      <c r="G10" s="17"/>
      <c r="H10" s="17" t="s">
        <v>40</v>
      </c>
      <c r="I10" s="17" t="s">
        <v>41</v>
      </c>
      <c r="J10" s="17"/>
      <c r="K10" s="17" t="s">
        <v>42</v>
      </c>
      <c r="L10" s="17"/>
      <c r="M10" s="17" t="s">
        <v>43</v>
      </c>
    </row>
    <row r="11" ht="20" customHeight="1" spans="1:13">
      <c r="A11" s="18">
        <v>1</v>
      </c>
      <c r="B11" s="37" t="s">
        <v>44</v>
      </c>
      <c r="C11" s="37"/>
      <c r="D11" s="37"/>
      <c r="E11" s="37"/>
      <c r="F11" s="38">
        <f>SUM('[1]8月份明细'!F47)</f>
        <v>5572</v>
      </c>
      <c r="G11" s="38"/>
      <c r="H11" s="24" t="s">
        <v>45</v>
      </c>
      <c r="I11" s="30">
        <v>43831</v>
      </c>
      <c r="J11" s="18"/>
      <c r="K11" s="18"/>
      <c r="L11" s="18"/>
      <c r="M11" s="24" t="s">
        <v>42</v>
      </c>
    </row>
    <row r="12" ht="20" customHeight="1" spans="1:13">
      <c r="A12" s="18">
        <v>2</v>
      </c>
      <c r="B12" s="39" t="s">
        <v>46</v>
      </c>
      <c r="C12" s="39"/>
      <c r="D12" s="39"/>
      <c r="E12" s="39"/>
      <c r="F12" s="40">
        <v>1018</v>
      </c>
      <c r="G12" s="40"/>
      <c r="H12" s="24" t="s">
        <v>45</v>
      </c>
      <c r="I12" s="30">
        <v>43832</v>
      </c>
      <c r="J12" s="18"/>
      <c r="K12" s="18"/>
      <c r="L12" s="18"/>
      <c r="M12" s="24" t="s">
        <v>42</v>
      </c>
    </row>
    <row r="13" ht="20" customHeight="1" spans="1:13">
      <c r="A13" s="18">
        <v>3</v>
      </c>
      <c r="B13" s="39" t="s">
        <v>47</v>
      </c>
      <c r="C13" s="39"/>
      <c r="D13" s="39"/>
      <c r="E13" s="39"/>
      <c r="F13" s="40">
        <v>-705.25</v>
      </c>
      <c r="G13" s="40"/>
      <c r="H13" s="24" t="s">
        <v>48</v>
      </c>
      <c r="I13" s="30">
        <v>43833</v>
      </c>
      <c r="J13" s="18"/>
      <c r="K13" s="18"/>
      <c r="L13" s="18"/>
      <c r="M13" s="24" t="s">
        <v>42</v>
      </c>
    </row>
    <row r="14" spans="1:13">
      <c r="A14" s="25" t="s">
        <v>49</v>
      </c>
      <c r="B14" s="26"/>
      <c r="C14" s="26"/>
      <c r="D14" s="26"/>
      <c r="E14" s="27"/>
      <c r="F14" s="29">
        <f>SUM(F11:F13)</f>
        <v>5884.75</v>
      </c>
      <c r="G14" s="29"/>
      <c r="H14" s="29"/>
      <c r="I14" s="29"/>
      <c r="J14" s="29"/>
      <c r="K14" s="29"/>
      <c r="L14" s="29"/>
      <c r="M14" s="29"/>
    </row>
  </sheetData>
  <mergeCells count="22">
    <mergeCell ref="A9:B9"/>
    <mergeCell ref="C9:D9"/>
    <mergeCell ref="E9:F9"/>
    <mergeCell ref="B10:E10"/>
    <mergeCell ref="F10:G10"/>
    <mergeCell ref="I10:J10"/>
    <mergeCell ref="K10:L10"/>
    <mergeCell ref="B11:E11"/>
    <mergeCell ref="F11:G11"/>
    <mergeCell ref="I11:J11"/>
    <mergeCell ref="K11:L11"/>
    <mergeCell ref="B12:E12"/>
    <mergeCell ref="F12:G12"/>
    <mergeCell ref="I12:J12"/>
    <mergeCell ref="K12:L12"/>
    <mergeCell ref="B13:E13"/>
    <mergeCell ref="F13:G13"/>
    <mergeCell ref="I13:J13"/>
    <mergeCell ref="K13:L13"/>
    <mergeCell ref="A14:E14"/>
    <mergeCell ref="F14:G14"/>
    <mergeCell ref="I14:M1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3"/>
  <sheetViews>
    <sheetView workbookViewId="0">
      <selection activeCell="J29" sqref="J29"/>
    </sheetView>
  </sheetViews>
  <sheetFormatPr defaultColWidth="9" defaultRowHeight="15"/>
  <cols>
    <col min="1" max="8" width="10.625" style="2" customWidth="1"/>
    <col min="9" max="9" width="10.625" style="1" customWidth="1"/>
    <col min="10" max="12" width="10.625" style="2" customWidth="1"/>
    <col min="13" max="13" width="9.625" style="2" customWidth="1"/>
    <col min="14" max="16353" width="9" style="2"/>
    <col min="16354" max="16384" width="9" style="3"/>
  </cols>
  <sheetData>
    <row r="2" ht="20" customHeight="1" spans="1:9">
      <c r="A2" s="4" t="s">
        <v>0</v>
      </c>
      <c r="B2" s="5" t="s">
        <v>1</v>
      </c>
      <c r="C2" s="5" t="s">
        <v>2</v>
      </c>
      <c r="D2" s="6" t="s">
        <v>3</v>
      </c>
      <c r="F2" s="7"/>
      <c r="G2" s="7"/>
      <c r="H2" s="7"/>
      <c r="I2" s="7"/>
    </row>
    <row r="3" ht="20" customHeight="1" spans="1:9">
      <c r="A3" s="8" t="s">
        <v>4</v>
      </c>
      <c r="B3" s="9" t="s">
        <v>5</v>
      </c>
      <c r="C3" s="9" t="s">
        <v>6</v>
      </c>
      <c r="D3" s="9" t="s">
        <v>7</v>
      </c>
      <c r="F3" s="10"/>
      <c r="G3" s="10"/>
      <c r="H3" s="10"/>
      <c r="I3" s="7"/>
    </row>
    <row r="4" ht="20" customHeight="1" spans="1:9">
      <c r="A4" s="11" t="s">
        <v>8</v>
      </c>
      <c r="B4" s="12" t="s">
        <v>9</v>
      </c>
      <c r="C4" s="11"/>
      <c r="D4" s="11"/>
      <c r="E4" s="10"/>
      <c r="F4" s="10"/>
      <c r="G4" s="10"/>
      <c r="H4" s="10"/>
      <c r="I4" s="10"/>
    </row>
    <row r="5" ht="20" customHeight="1" spans="8:9">
      <c r="H5" s="1"/>
      <c r="I5" s="2"/>
    </row>
    <row r="6" ht="20" customHeight="1" spans="1:12">
      <c r="A6" s="1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  <c r="L6" s="14" t="s">
        <v>21</v>
      </c>
    </row>
    <row r="7" s="1" customFormat="1" ht="20" customHeight="1" spans="1:12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</row>
    <row r="8" ht="20" customHeight="1"/>
    <row r="9" ht="20" customHeight="1" spans="1:9">
      <c r="A9" s="15" t="s">
        <v>34</v>
      </c>
      <c r="B9" s="11"/>
      <c r="C9" s="12" t="s">
        <v>35</v>
      </c>
      <c r="D9" s="12"/>
      <c r="E9" s="11" t="s">
        <v>36</v>
      </c>
      <c r="F9" s="11"/>
      <c r="G9" s="16"/>
      <c r="H9" s="16"/>
      <c r="I9" s="16"/>
    </row>
    <row r="10" ht="20" customHeight="1" spans="1:13">
      <c r="A10" s="31" t="s">
        <v>37</v>
      </c>
      <c r="B10" s="31" t="s">
        <v>38</v>
      </c>
      <c r="C10" s="31"/>
      <c r="D10" s="31"/>
      <c r="E10" s="31"/>
      <c r="F10" s="31" t="s">
        <v>39</v>
      </c>
      <c r="G10" s="31"/>
      <c r="H10" s="31" t="s">
        <v>40</v>
      </c>
      <c r="I10" s="31" t="s">
        <v>41</v>
      </c>
      <c r="J10" s="31"/>
      <c r="K10" s="31" t="s">
        <v>42</v>
      </c>
      <c r="L10" s="31"/>
      <c r="M10" s="31" t="s">
        <v>43</v>
      </c>
    </row>
    <row r="11" ht="20" customHeight="1" spans="1:13">
      <c r="A11" s="18">
        <v>1</v>
      </c>
      <c r="B11" s="19" t="s">
        <v>44</v>
      </c>
      <c r="C11" s="20"/>
      <c r="D11" s="20"/>
      <c r="E11" s="21"/>
      <c r="F11" s="22">
        <v>89411</v>
      </c>
      <c r="G11" s="23"/>
      <c r="H11" s="24" t="s">
        <v>45</v>
      </c>
      <c r="I11" s="30">
        <v>43831</v>
      </c>
      <c r="J11" s="18"/>
      <c r="K11" s="18"/>
      <c r="L11" s="18"/>
      <c r="M11" s="35" t="s">
        <v>42</v>
      </c>
    </row>
    <row r="12" ht="20" customHeight="1" spans="1:13">
      <c r="A12" s="18">
        <v>2</v>
      </c>
      <c r="B12" s="19" t="s">
        <v>50</v>
      </c>
      <c r="C12" s="20"/>
      <c r="D12" s="20"/>
      <c r="E12" s="21"/>
      <c r="F12" s="32">
        <v>18000</v>
      </c>
      <c r="G12" s="33"/>
      <c r="H12" s="24" t="s">
        <v>45</v>
      </c>
      <c r="I12" s="30">
        <v>43832</v>
      </c>
      <c r="J12" s="18"/>
      <c r="K12" s="18"/>
      <c r="L12" s="18"/>
      <c r="M12" s="24" t="s">
        <v>42</v>
      </c>
    </row>
    <row r="13" spans="1:13">
      <c r="A13" s="25" t="s">
        <v>49</v>
      </c>
      <c r="B13" s="26"/>
      <c r="C13" s="26"/>
      <c r="D13" s="26"/>
      <c r="E13" s="27"/>
      <c r="F13" s="34">
        <f>SUM(F11:F12)</f>
        <v>107411</v>
      </c>
      <c r="G13" s="34"/>
      <c r="H13" s="29"/>
      <c r="I13" s="29"/>
      <c r="J13" s="29"/>
      <c r="K13" s="29"/>
      <c r="L13" s="29"/>
      <c r="M13" s="29"/>
    </row>
  </sheetData>
  <mergeCells count="18">
    <mergeCell ref="A9:B9"/>
    <mergeCell ref="C9:D9"/>
    <mergeCell ref="E9:F9"/>
    <mergeCell ref="B10:E10"/>
    <mergeCell ref="F10:G10"/>
    <mergeCell ref="I10:J10"/>
    <mergeCell ref="K10:L10"/>
    <mergeCell ref="B11:E11"/>
    <mergeCell ref="F11:G11"/>
    <mergeCell ref="I11:J11"/>
    <mergeCell ref="K11:L11"/>
    <mergeCell ref="B12:E12"/>
    <mergeCell ref="F12:G12"/>
    <mergeCell ref="I12:J12"/>
    <mergeCell ref="K12:L12"/>
    <mergeCell ref="A13:E13"/>
    <mergeCell ref="F13:G13"/>
    <mergeCell ref="I13:M13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FD13"/>
  <sheetViews>
    <sheetView workbookViewId="0">
      <selection activeCell="O12" sqref="O12"/>
    </sheetView>
  </sheetViews>
  <sheetFormatPr defaultColWidth="9" defaultRowHeight="15"/>
  <cols>
    <col min="1" max="8" width="10.625" style="2" customWidth="1"/>
    <col min="9" max="9" width="10.625" style="1" customWidth="1"/>
    <col min="10" max="12" width="10.625" style="2" customWidth="1"/>
    <col min="13" max="13" width="9.625" style="2" customWidth="1"/>
    <col min="14" max="16353" width="9" style="2"/>
    <col min="16354" max="16384" width="9" style="3"/>
  </cols>
  <sheetData>
    <row r="2" ht="20" customHeight="1" spans="1:9">
      <c r="A2" s="4" t="s">
        <v>0</v>
      </c>
      <c r="B2" s="5" t="s">
        <v>1</v>
      </c>
      <c r="C2" s="5" t="s">
        <v>2</v>
      </c>
      <c r="D2" s="6" t="s">
        <v>3</v>
      </c>
      <c r="F2" s="7"/>
      <c r="G2" s="7"/>
      <c r="H2" s="7"/>
      <c r="I2" s="7"/>
    </row>
    <row r="3" ht="20" customHeight="1" spans="1:9">
      <c r="A3" s="8" t="s">
        <v>4</v>
      </c>
      <c r="B3" s="9" t="s">
        <v>5</v>
      </c>
      <c r="C3" s="9" t="s">
        <v>6</v>
      </c>
      <c r="D3" s="9" t="s">
        <v>7</v>
      </c>
      <c r="F3" s="10"/>
      <c r="G3" s="10"/>
      <c r="H3" s="10"/>
      <c r="I3" s="7"/>
    </row>
    <row r="4" ht="20" customHeight="1" spans="1:9">
      <c r="A4" s="11" t="s">
        <v>8</v>
      </c>
      <c r="B4" s="12" t="s">
        <v>9</v>
      </c>
      <c r="C4" s="11"/>
      <c r="D4" s="11"/>
      <c r="E4" s="10"/>
      <c r="F4" s="10"/>
      <c r="G4" s="10"/>
      <c r="H4" s="10"/>
      <c r="I4" s="10"/>
    </row>
    <row r="5" ht="20" customHeight="1" spans="8:9">
      <c r="H5" s="1"/>
      <c r="I5" s="2"/>
    </row>
    <row r="6" ht="20" customHeight="1" spans="1:12">
      <c r="A6" s="1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  <c r="L6" s="14" t="s">
        <v>21</v>
      </c>
    </row>
    <row r="7" s="1" customFormat="1" ht="20" customHeight="1" spans="1:12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</row>
    <row r="8" ht="20" customHeight="1"/>
    <row r="9" s="2" customFormat="1" ht="20" customHeight="1" spans="1:16384">
      <c r="A9" s="15" t="s">
        <v>34</v>
      </c>
      <c r="B9" s="11"/>
      <c r="C9" s="11" t="s">
        <v>35</v>
      </c>
      <c r="D9" s="11"/>
      <c r="E9" s="12" t="s">
        <v>36</v>
      </c>
      <c r="F9" s="12"/>
      <c r="G9" s="16"/>
      <c r="H9" s="16"/>
      <c r="I9" s="16"/>
      <c r="J9" s="2"/>
      <c r="K9" s="2"/>
      <c r="L9" s="2"/>
      <c r="M9" s="2"/>
      <c r="XDZ9" s="3"/>
      <c r="XEA9" s="3"/>
      <c r="XEB9" s="3"/>
      <c r="XEC9" s="3"/>
      <c r="XED9" s="3"/>
      <c r="XEE9" s="3"/>
      <c r="XEF9" s="3"/>
      <c r="XEG9" s="3"/>
      <c r="XEH9" s="3"/>
      <c r="XEI9" s="3"/>
      <c r="XEJ9" s="3"/>
      <c r="XEK9" s="3"/>
      <c r="XEL9" s="3"/>
      <c r="XEM9" s="3"/>
      <c r="XEN9" s="3"/>
      <c r="XEO9" s="3"/>
      <c r="XEP9" s="3"/>
      <c r="XEQ9" s="3"/>
      <c r="XER9" s="3"/>
      <c r="XES9" s="3"/>
      <c r="XET9" s="3"/>
      <c r="XEU9" s="3"/>
      <c r="XEV9" s="3"/>
      <c r="XEW9" s="3"/>
      <c r="XEX9" s="3"/>
      <c r="XEY9" s="3"/>
      <c r="XEZ9" s="3"/>
      <c r="XFA9" s="3"/>
      <c r="XFB9" s="3"/>
      <c r="XFC9" s="3"/>
      <c r="XFD9" s="3"/>
    </row>
    <row r="10" ht="20" customHeight="1" spans="1:13">
      <c r="A10" s="17" t="s">
        <v>37</v>
      </c>
      <c r="B10" s="17" t="s">
        <v>38</v>
      </c>
      <c r="C10" s="17"/>
      <c r="D10" s="17"/>
      <c r="E10" s="17"/>
      <c r="F10" s="17" t="s">
        <v>39</v>
      </c>
      <c r="G10" s="17"/>
      <c r="H10" s="17" t="s">
        <v>40</v>
      </c>
      <c r="I10" s="17" t="s">
        <v>41</v>
      </c>
      <c r="J10" s="17"/>
      <c r="K10" s="17" t="s">
        <v>42</v>
      </c>
      <c r="L10" s="17"/>
      <c r="M10" s="17" t="s">
        <v>43</v>
      </c>
    </row>
    <row r="11" ht="20" customHeight="1" spans="1:13">
      <c r="A11" s="18">
        <v>1</v>
      </c>
      <c r="B11" s="19" t="s">
        <v>44</v>
      </c>
      <c r="C11" s="20"/>
      <c r="D11" s="20"/>
      <c r="E11" s="21"/>
      <c r="F11" s="22">
        <v>2071.07</v>
      </c>
      <c r="G11" s="23"/>
      <c r="H11" s="24" t="s">
        <v>45</v>
      </c>
      <c r="I11" s="30">
        <v>43831</v>
      </c>
      <c r="J11" s="18"/>
      <c r="K11" s="18"/>
      <c r="L11" s="18"/>
      <c r="M11" s="24" t="s">
        <v>42</v>
      </c>
    </row>
    <row r="12" ht="20" customHeight="1" spans="1:13">
      <c r="A12" s="18">
        <v>2</v>
      </c>
      <c r="B12" s="19" t="s">
        <v>51</v>
      </c>
      <c r="C12" s="20"/>
      <c r="D12" s="20"/>
      <c r="E12" s="21"/>
      <c r="F12" s="22">
        <v>527.38</v>
      </c>
      <c r="G12" s="23"/>
      <c r="H12" s="24" t="s">
        <v>45</v>
      </c>
      <c r="I12" s="30">
        <v>43832</v>
      </c>
      <c r="J12" s="18"/>
      <c r="K12" s="18"/>
      <c r="L12" s="18"/>
      <c r="M12" s="24" t="s">
        <v>42</v>
      </c>
    </row>
    <row r="13" spans="1:13">
      <c r="A13" s="25" t="s">
        <v>49</v>
      </c>
      <c r="B13" s="26"/>
      <c r="C13" s="26"/>
      <c r="D13" s="26"/>
      <c r="E13" s="27"/>
      <c r="F13" s="28">
        <f>SUM(F11:F12)</f>
        <v>2598.45</v>
      </c>
      <c r="G13" s="28"/>
      <c r="H13" s="29"/>
      <c r="I13" s="29"/>
      <c r="J13" s="29"/>
      <c r="K13" s="29"/>
      <c r="L13" s="29"/>
      <c r="M13" s="29"/>
    </row>
  </sheetData>
  <mergeCells count="18">
    <mergeCell ref="A9:B9"/>
    <mergeCell ref="C9:D9"/>
    <mergeCell ref="E9:F9"/>
    <mergeCell ref="B10:E10"/>
    <mergeCell ref="F10:G10"/>
    <mergeCell ref="I10:J10"/>
    <mergeCell ref="K10:L10"/>
    <mergeCell ref="B11:E11"/>
    <mergeCell ref="F11:G11"/>
    <mergeCell ref="I11:J11"/>
    <mergeCell ref="K11:L11"/>
    <mergeCell ref="B12:E12"/>
    <mergeCell ref="F12:G12"/>
    <mergeCell ref="I12:J12"/>
    <mergeCell ref="K12:L12"/>
    <mergeCell ref="A13:E13"/>
    <mergeCell ref="F13:G13"/>
    <mergeCell ref="I13:M1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库存商品</vt:lpstr>
      <vt:lpstr>固定资产</vt:lpstr>
      <vt:lpstr>累计折旧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2020-01-20T04:55:00Z</dcterms:created>
  <dcterms:modified xsi:type="dcterms:W3CDTF">2020-01-20T08:26:49Z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