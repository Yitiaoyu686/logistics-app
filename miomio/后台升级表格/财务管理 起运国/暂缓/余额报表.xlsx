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中国" sheetId="1" r:id="rId1"/>
  </sheets>
  <calcPr calcId="144525"/>
</workbook>
</file>

<file path=xl/sharedStrings.xml><?xml version="1.0" encoding="utf-8"?>
<sst xmlns="http://schemas.openxmlformats.org/spreadsheetml/2006/main" count="127" uniqueCount="67">
  <si>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</si>
  <si>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</si>
  <si>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</si>
  <si>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</si>
  <si>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</si>
  <si>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</si>
  <si>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</si>
  <si>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</si>
  <si>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全部</t>
  </si>
  <si>
    <t>伊科贾站点</t>
  </si>
  <si>
    <t>阿布贾站点</t>
  </si>
  <si>
    <t>卡诺站点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</si>
  <si>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</si>
  <si>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</si>
  <si>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</si>
  <si>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</si>
  <si>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</si>
  <si>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</si>
  <si>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</si>
  <si>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</si>
  <si>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</si>
  <si>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</si>
  <si>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</si>
  <si>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</si>
  <si>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</si>
  <si>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</si>
  <si>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</si>
  <si>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</si>
  <si>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</si>
  <si>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</si>
  <si>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</si>
  <si>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</si>
  <si>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</si>
  <si>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</si>
  <si>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</si>
  <si>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</si>
  <si>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序号</t>
  </si>
  <si>
    <t>站点</t>
  </si>
  <si>
    <t>编号</t>
  </si>
  <si>
    <t>描述</t>
  </si>
  <si>
    <t>收入CNY</t>
  </si>
  <si>
    <t>支出CNY</t>
  </si>
  <si>
    <t>余额CNY</t>
  </si>
  <si>
    <t>收入USD</t>
  </si>
  <si>
    <t>支出USD</t>
  </si>
  <si>
    <t>余额USD</t>
  </si>
  <si>
    <t>支付方式</t>
  </si>
  <si>
    <t>凭证</t>
  </si>
  <si>
    <t>日期</t>
  </si>
  <si>
    <t>上月结余转入Balance</t>
  </si>
  <si>
    <t>JOB123456</t>
  </si>
  <si>
    <t>olatunde</t>
  </si>
  <si>
    <t>微信/公</t>
  </si>
  <si>
    <t>查看</t>
  </si>
  <si>
    <t>微信/私</t>
  </si>
  <si>
    <t>james</t>
  </si>
  <si>
    <t>支付宝/公</t>
  </si>
  <si>
    <t>income</t>
  </si>
  <si>
    <t>支付宝/私</t>
  </si>
  <si>
    <t>sola(transfers)</t>
  </si>
  <si>
    <t>私账</t>
  </si>
  <si>
    <t>income(including hong led and transfers from abuja)</t>
  </si>
  <si>
    <t>TTC</t>
  </si>
  <si>
    <t>purchase of chair</t>
  </si>
  <si>
    <t>mco</t>
  </si>
  <si>
    <t>refund to zhao feng</t>
  </si>
  <si>
    <t>合计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</si>
</sst>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/m/d\ h:mm;@"/>
    <numFmt numFmtId="177" formatCode="#,##0.00_ "/>
    <numFmt numFmtId="178" formatCode="[$-409]dd\-mmm\-yy;@"/>
  </numFmts>
  <fonts count="27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10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9" fillId="8" borderId="10" applyNumberFormat="0" applyAlignment="0" applyProtection="0">
      <alignment vertical="center"/>
    </xf>
    <xf numFmtId="0" fontId="11" fillId="9" borderId="11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8" fontId="6" fillId="2" borderId="2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NumberFormat="1" applyFont="1" applyFill="1" applyBorder="1" applyAlignment="1">
      <alignment horizontal="center" vertical="center"/>
    </xf>
    <xf numFmtId="178" fontId="7" fillId="5" borderId="0" xfId="0" applyNumberFormat="1" applyFont="1" applyFill="1" applyBorder="1" applyAlignment="1">
      <alignment horizontal="left" vertical="center"/>
    </xf>
    <xf numFmtId="0" fontId="1" fillId="6" borderId="3" xfId="0" applyFont="1" applyFill="1" applyBorder="1" applyAlignment="1">
      <alignment vertical="center"/>
    </xf>
    <xf numFmtId="0" fontId="1" fillId="6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77" fontId="7" fillId="5" borderId="0" xfId="8" applyNumberFormat="1" applyFont="1" applyFill="1" applyBorder="1" applyAlignment="1">
      <alignment horizontal="center" vertical="center"/>
    </xf>
    <xf numFmtId="177" fontId="7" fillId="5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177" fontId="7" fillId="6" borderId="0" xfId="8" applyNumberFormat="1" applyFont="1" applyFill="1" applyBorder="1" applyAlignment="1">
      <alignment horizontal="center" vertical="center"/>
    </xf>
    <xf numFmtId="177" fontId="7" fillId="6" borderId="0" xfId="8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78" fontId="6" fillId="2" borderId="6" xfId="0" applyNumberFormat="1" applyFont="1" applyFill="1" applyBorder="1" applyAlignment="1">
      <alignment horizontal="center" vertical="center" wrapText="1"/>
    </xf>
    <xf numFmtId="176" fontId="7" fillId="5" borderId="7" xfId="0" applyNumberFormat="1" applyFont="1" applyFill="1" applyBorder="1" applyAlignment="1">
      <alignment horizontal="center" vertical="center"/>
    </xf>
    <xf numFmtId="177" fontId="7" fillId="6" borderId="7" xfId="8" applyNumberFormat="1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tabSelected="1" workbookViewId="0">
      <selection activeCell="A4" sqref="A$1:A$1048576"/>
    </sheetView>
  </sheetViews>
  <sheetFormatPr defaultColWidth="9" defaultRowHeight="13.5"/>
  <cols>
    <col min="1" max="8" width="10.625" style="2" customWidth="1"/>
    <col min="9" max="9" width="10.625" style="1" customWidth="1"/>
    <col min="10" max="15" width="13.625" style="2" customWidth="1"/>
    <col min="16" max="17" width="10.625" style="2" customWidth="1"/>
    <col min="18" max="18" width="15.375" style="2" customWidth="1"/>
    <col min="19" max="20" width="15.625" style="2" customWidth="1"/>
    <col min="21" max="21" width="13.125" style="2" customWidth="1"/>
    <col min="22" max="23" width="9" style="2"/>
    <col min="24" max="24" width="10.5" style="2" customWidth="1"/>
    <col min="25" max="16382" width="9" style="2"/>
  </cols>
  <sheetData>
    <row r="1" ht="25" customHeight="1"/>
    <row r="2" ht="25" customHeight="1" spans="1:9">
      <c r="A2" s="3" t="s">
        <v>0</v>
      </c>
      <c r="B2" s="4" t="s">
        <v>1</v>
      </c>
      <c r="C2" s="4" t="s">
        <v>2</v>
      </c>
      <c r="D2" s="4" t="s">
        <v>3</v>
      </c>
      <c r="F2" s="5"/>
      <c r="G2" s="5"/>
      <c r="H2" s="5"/>
      <c r="I2" s="5"/>
    </row>
    <row r="3" ht="25" customHeight="1" spans="1:9">
      <c r="A3" s="3" t="s">
        <v>4</v>
      </c>
      <c r="B3" s="6" t="s">
        <v>5</v>
      </c>
      <c r="C3" s="6" t="s">
        <v>6</v>
      </c>
      <c r="D3" s="6" t="s">
        <v>7</v>
      </c>
      <c r="F3" s="7"/>
      <c r="G3" s="7"/>
      <c r="H3" s="7"/>
      <c r="I3" s="5"/>
    </row>
    <row r="4" ht="25" customHeight="1" spans="1:9">
      <c r="A4" s="8" t="s">
        <v>8</v>
      </c>
      <c r="B4" s="9" t="s">
        <v>9</v>
      </c>
      <c r="C4" s="8" t="s">
        <v>10</v>
      </c>
      <c r="D4" s="8" t="s">
        <v>11</v>
      </c>
      <c r="E4" s="7"/>
      <c r="F4" s="10"/>
      <c r="G4" s="10"/>
      <c r="H4" s="10"/>
      <c r="I4" s="10"/>
    </row>
    <row r="5" ht="25" customHeight="1" spans="8:9">
      <c r="H5" s="1"/>
      <c r="I5" s="2"/>
    </row>
    <row r="6" ht="25" customHeight="1" spans="1:12">
      <c r="A6" s="11" t="s">
        <v>12</v>
      </c>
      <c r="B6" s="12" t="s">
        <v>13</v>
      </c>
      <c r="C6" s="12" t="s">
        <v>14</v>
      </c>
      <c r="D6" s="12" t="s">
        <v>15</v>
      </c>
      <c r="E6" s="12" t="s">
        <v>16</v>
      </c>
      <c r="F6" s="12" t="s">
        <v>17</v>
      </c>
      <c r="G6" s="12" t="s">
        <v>18</v>
      </c>
      <c r="H6" s="12" t="s">
        <v>19</v>
      </c>
      <c r="I6" s="12" t="s">
        <v>20</v>
      </c>
      <c r="J6" s="12" t="s">
        <v>21</v>
      </c>
      <c r="K6" s="12" t="s">
        <v>22</v>
      </c>
      <c r="L6" s="12" t="s">
        <v>23</v>
      </c>
    </row>
    <row r="7" s="1" customFormat="1" ht="25" customHeight="1" spans="1:15">
      <c r="A7" s="11" t="s">
        <v>24</v>
      </c>
      <c r="B7" s="12" t="s">
        <v>25</v>
      </c>
      <c r="C7" s="12" t="s">
        <v>26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12" t="s">
        <v>35</v>
      </c>
      <c r="M7" s="2"/>
      <c r="N7" s="2"/>
      <c r="O7" s="2"/>
    </row>
    <row r="8" ht="25" customHeight="1"/>
    <row r="9" ht="25" customHeight="1" spans="1:18">
      <c r="A9" s="13" t="s">
        <v>36</v>
      </c>
      <c r="B9" s="14" t="s">
        <v>37</v>
      </c>
      <c r="C9" s="14"/>
      <c r="D9" s="14" t="s">
        <v>38</v>
      </c>
      <c r="E9" s="14"/>
      <c r="F9" s="15" t="s">
        <v>39</v>
      </c>
      <c r="G9" s="15"/>
      <c r="H9" s="15"/>
      <c r="I9" s="15"/>
      <c r="J9" s="15" t="s">
        <v>40</v>
      </c>
      <c r="K9" s="15" t="s">
        <v>41</v>
      </c>
      <c r="L9" s="15" t="s">
        <v>42</v>
      </c>
      <c r="M9" s="15" t="s">
        <v>43</v>
      </c>
      <c r="N9" s="15" t="s">
        <v>44</v>
      </c>
      <c r="O9" s="15" t="s">
        <v>45</v>
      </c>
      <c r="P9" s="15" t="s">
        <v>46</v>
      </c>
      <c r="Q9" s="15" t="s">
        <v>47</v>
      </c>
      <c r="R9" s="30" t="s">
        <v>48</v>
      </c>
    </row>
    <row r="10" ht="25" customHeight="1" spans="1:18">
      <c r="A10" s="16">
        <v>1</v>
      </c>
      <c r="B10" s="17" t="s">
        <v>9</v>
      </c>
      <c r="C10" s="17"/>
      <c r="D10" s="18"/>
      <c r="E10" s="18"/>
      <c r="F10" s="19" t="s">
        <v>49</v>
      </c>
      <c r="G10" s="19"/>
      <c r="H10" s="19"/>
      <c r="I10" s="19"/>
      <c r="J10" s="24">
        <f>2800000-156554</f>
        <v>2643446</v>
      </c>
      <c r="K10" s="25"/>
      <c r="L10" s="24">
        <f>J10-K10</f>
        <v>2643446</v>
      </c>
      <c r="M10" s="24">
        <f>2800000-156554</f>
        <v>2643446</v>
      </c>
      <c r="N10" s="25"/>
      <c r="O10" s="24">
        <f>M10-N10</f>
        <v>2643446</v>
      </c>
      <c r="P10" s="24"/>
      <c r="Q10" s="24"/>
      <c r="R10" s="31">
        <v>43763.9939467593</v>
      </c>
    </row>
    <row r="11" ht="25" customHeight="1" spans="1:18">
      <c r="A11" s="16">
        <v>2</v>
      </c>
      <c r="B11" s="17" t="s">
        <v>10</v>
      </c>
      <c r="C11" s="17"/>
      <c r="D11" s="18"/>
      <c r="E11" s="18"/>
      <c r="F11" s="19" t="s">
        <v>49</v>
      </c>
      <c r="G11" s="19"/>
      <c r="H11" s="19"/>
      <c r="I11" s="19"/>
      <c r="J11" s="25">
        <v>138250</v>
      </c>
      <c r="K11" s="24"/>
      <c r="L11" s="24">
        <f t="shared" ref="L11:L29" si="0">L10+J11-K11</f>
        <v>2781696</v>
      </c>
      <c r="M11" s="25">
        <v>138250</v>
      </c>
      <c r="N11" s="24"/>
      <c r="O11" s="24">
        <f t="shared" ref="O11:O29" si="1">O10+M11-N11</f>
        <v>2781696</v>
      </c>
      <c r="P11" s="24"/>
      <c r="Q11" s="24"/>
      <c r="R11" s="31">
        <v>43764.9939467593</v>
      </c>
    </row>
    <row r="12" ht="25" customHeight="1" spans="1:18">
      <c r="A12" s="16">
        <v>3</v>
      </c>
      <c r="B12" s="17" t="s">
        <v>9</v>
      </c>
      <c r="C12" s="17"/>
      <c r="D12" s="18" t="s">
        <v>50</v>
      </c>
      <c r="E12" s="18"/>
      <c r="F12" s="19" t="s">
        <v>51</v>
      </c>
      <c r="G12" s="19"/>
      <c r="H12" s="19"/>
      <c r="I12" s="19"/>
      <c r="J12" s="25"/>
      <c r="K12" s="24">
        <v>1100000</v>
      </c>
      <c r="L12" s="24">
        <f t="shared" si="0"/>
        <v>1681696</v>
      </c>
      <c r="M12" s="25"/>
      <c r="N12" s="24">
        <v>1100000</v>
      </c>
      <c r="O12" s="24">
        <f t="shared" si="1"/>
        <v>1681696</v>
      </c>
      <c r="P12" s="24" t="s">
        <v>52</v>
      </c>
      <c r="Q12" s="24" t="s">
        <v>53</v>
      </c>
      <c r="R12" s="31">
        <v>43765.9939467593</v>
      </c>
    </row>
    <row r="13" ht="25" customHeight="1" spans="1:18">
      <c r="A13" s="16">
        <v>4</v>
      </c>
      <c r="B13" s="17" t="s">
        <v>9</v>
      </c>
      <c r="C13" s="17"/>
      <c r="D13" s="18"/>
      <c r="E13" s="18"/>
      <c r="F13" s="19" t="s">
        <v>51</v>
      </c>
      <c r="G13" s="19"/>
      <c r="H13" s="19"/>
      <c r="I13" s="19"/>
      <c r="J13" s="25"/>
      <c r="K13" s="24">
        <v>900000</v>
      </c>
      <c r="L13" s="24">
        <f t="shared" si="0"/>
        <v>781696</v>
      </c>
      <c r="M13" s="25"/>
      <c r="N13" s="24">
        <v>900000</v>
      </c>
      <c r="O13" s="24">
        <f t="shared" si="1"/>
        <v>781696</v>
      </c>
      <c r="P13" s="24" t="s">
        <v>54</v>
      </c>
      <c r="Q13" s="24" t="s">
        <v>53</v>
      </c>
      <c r="R13" s="31">
        <v>43766.9939467593</v>
      </c>
    </row>
    <row r="14" ht="25" customHeight="1" spans="1:18">
      <c r="A14" s="16">
        <v>5</v>
      </c>
      <c r="B14" s="17" t="s">
        <v>9</v>
      </c>
      <c r="C14" s="17"/>
      <c r="D14" s="18"/>
      <c r="E14" s="18"/>
      <c r="F14" s="19" t="s">
        <v>55</v>
      </c>
      <c r="G14" s="19"/>
      <c r="H14" s="19"/>
      <c r="I14" s="19"/>
      <c r="J14" s="25">
        <v>1050000</v>
      </c>
      <c r="K14" s="24"/>
      <c r="L14" s="24">
        <f t="shared" si="0"/>
        <v>1831696</v>
      </c>
      <c r="M14" s="25">
        <v>1050000</v>
      </c>
      <c r="N14" s="24"/>
      <c r="O14" s="24">
        <f t="shared" si="1"/>
        <v>1831696</v>
      </c>
      <c r="P14" s="24" t="s">
        <v>56</v>
      </c>
      <c r="Q14" s="24" t="s">
        <v>53</v>
      </c>
      <c r="R14" s="31">
        <v>43767.9939467593</v>
      </c>
    </row>
    <row r="15" ht="25" customHeight="1" spans="1:18">
      <c r="A15" s="16">
        <v>6</v>
      </c>
      <c r="B15" s="17" t="s">
        <v>9</v>
      </c>
      <c r="C15" s="17"/>
      <c r="D15" s="18"/>
      <c r="E15" s="18"/>
      <c r="F15" s="19" t="s">
        <v>57</v>
      </c>
      <c r="G15" s="19"/>
      <c r="H15" s="19"/>
      <c r="I15" s="19"/>
      <c r="J15" s="24">
        <v>338525</v>
      </c>
      <c r="K15" s="25"/>
      <c r="L15" s="24">
        <f t="shared" si="0"/>
        <v>2170221</v>
      </c>
      <c r="M15" s="24">
        <v>338525</v>
      </c>
      <c r="N15" s="25"/>
      <c r="O15" s="24">
        <f t="shared" si="1"/>
        <v>2170221</v>
      </c>
      <c r="P15" s="24" t="s">
        <v>58</v>
      </c>
      <c r="Q15" s="24" t="s">
        <v>53</v>
      </c>
      <c r="R15" s="31">
        <v>43768.9939467593</v>
      </c>
    </row>
    <row r="16" ht="25" customHeight="1" spans="1:18">
      <c r="A16" s="16">
        <v>7</v>
      </c>
      <c r="B16" s="17" t="s">
        <v>9</v>
      </c>
      <c r="C16" s="17"/>
      <c r="D16" s="18"/>
      <c r="E16" s="18"/>
      <c r="F16" s="19" t="s">
        <v>59</v>
      </c>
      <c r="G16" s="19"/>
      <c r="H16" s="19"/>
      <c r="I16" s="19"/>
      <c r="J16" s="24"/>
      <c r="K16" s="25">
        <v>190446</v>
      </c>
      <c r="L16" s="24">
        <f t="shared" si="0"/>
        <v>1979775</v>
      </c>
      <c r="M16" s="24"/>
      <c r="N16" s="25">
        <v>190446</v>
      </c>
      <c r="O16" s="24">
        <f t="shared" si="1"/>
        <v>1979775</v>
      </c>
      <c r="P16" s="24" t="s">
        <v>60</v>
      </c>
      <c r="Q16" s="24" t="s">
        <v>53</v>
      </c>
      <c r="R16" s="31">
        <v>43769.9939467593</v>
      </c>
    </row>
    <row r="17" ht="25" customHeight="1" spans="1:18">
      <c r="A17" s="16">
        <v>8</v>
      </c>
      <c r="B17" s="17" t="s">
        <v>9</v>
      </c>
      <c r="C17" s="17"/>
      <c r="D17" s="18"/>
      <c r="E17" s="18"/>
      <c r="F17" s="19" t="s">
        <v>61</v>
      </c>
      <c r="G17" s="19"/>
      <c r="H17" s="19"/>
      <c r="I17" s="19"/>
      <c r="J17" s="24">
        <v>4522596</v>
      </c>
      <c r="K17" s="25"/>
      <c r="L17" s="24">
        <f t="shared" si="0"/>
        <v>6502371</v>
      </c>
      <c r="M17" s="24">
        <v>4522596</v>
      </c>
      <c r="N17" s="25"/>
      <c r="O17" s="24">
        <f t="shared" si="1"/>
        <v>6502371</v>
      </c>
      <c r="P17" s="24" t="s">
        <v>60</v>
      </c>
      <c r="Q17" s="24" t="s">
        <v>53</v>
      </c>
      <c r="R17" s="31">
        <v>43770.9939467593</v>
      </c>
    </row>
    <row r="18" ht="25" customHeight="1" spans="1:18">
      <c r="A18" s="16">
        <v>9</v>
      </c>
      <c r="B18" s="17" t="s">
        <v>9</v>
      </c>
      <c r="C18" s="17"/>
      <c r="D18" s="18"/>
      <c r="E18" s="18"/>
      <c r="F18" s="19" t="s">
        <v>51</v>
      </c>
      <c r="G18" s="19"/>
      <c r="H18" s="19"/>
      <c r="I18" s="19"/>
      <c r="J18" s="24"/>
      <c r="K18" s="25">
        <v>929700</v>
      </c>
      <c r="L18" s="24">
        <f t="shared" si="0"/>
        <v>5572671</v>
      </c>
      <c r="M18" s="24"/>
      <c r="N18" s="25">
        <v>929700</v>
      </c>
      <c r="O18" s="24">
        <f t="shared" si="1"/>
        <v>5572671</v>
      </c>
      <c r="P18" s="24" t="s">
        <v>60</v>
      </c>
      <c r="Q18" s="24" t="s">
        <v>53</v>
      </c>
      <c r="R18" s="31">
        <v>43771.9939467593</v>
      </c>
    </row>
    <row r="19" ht="25" customHeight="1" spans="1:18">
      <c r="A19" s="16">
        <v>10</v>
      </c>
      <c r="B19" s="17" t="s">
        <v>9</v>
      </c>
      <c r="C19" s="17"/>
      <c r="D19" s="18"/>
      <c r="E19" s="18"/>
      <c r="F19" s="19" t="s">
        <v>62</v>
      </c>
      <c r="G19" s="19"/>
      <c r="H19" s="19"/>
      <c r="I19" s="19"/>
      <c r="J19" s="24"/>
      <c r="K19" s="25">
        <v>4426548</v>
      </c>
      <c r="L19" s="24">
        <f t="shared" si="0"/>
        <v>1146123</v>
      </c>
      <c r="M19" s="24"/>
      <c r="N19" s="25">
        <v>4426548</v>
      </c>
      <c r="O19" s="24">
        <f t="shared" si="1"/>
        <v>1146123</v>
      </c>
      <c r="P19" s="24" t="s">
        <v>60</v>
      </c>
      <c r="Q19" s="24" t="s">
        <v>53</v>
      </c>
      <c r="R19" s="31">
        <v>43772.9939467593</v>
      </c>
    </row>
    <row r="20" ht="25" customHeight="1" spans="1:18">
      <c r="A20" s="16">
        <v>11</v>
      </c>
      <c r="B20" s="17" t="s">
        <v>9</v>
      </c>
      <c r="C20" s="17"/>
      <c r="D20" s="18"/>
      <c r="E20" s="18"/>
      <c r="F20" s="19" t="s">
        <v>63</v>
      </c>
      <c r="G20" s="19"/>
      <c r="H20" s="19"/>
      <c r="I20" s="19"/>
      <c r="J20" s="24"/>
      <c r="K20" s="25">
        <v>15000</v>
      </c>
      <c r="L20" s="24">
        <f t="shared" si="0"/>
        <v>1131123</v>
      </c>
      <c r="M20" s="24"/>
      <c r="N20" s="25">
        <v>15000</v>
      </c>
      <c r="O20" s="24">
        <f t="shared" si="1"/>
        <v>1131123</v>
      </c>
      <c r="P20" s="24" t="s">
        <v>60</v>
      </c>
      <c r="Q20" s="24" t="s">
        <v>53</v>
      </c>
      <c r="R20" s="31">
        <v>43773.9939467593</v>
      </c>
    </row>
    <row r="21" ht="25" customHeight="1" spans="1:18">
      <c r="A21" s="16">
        <v>12</v>
      </c>
      <c r="B21" s="17" t="s">
        <v>9</v>
      </c>
      <c r="C21" s="17"/>
      <c r="D21" s="18"/>
      <c r="E21" s="18"/>
      <c r="F21" s="19" t="s">
        <v>57</v>
      </c>
      <c r="G21" s="19"/>
      <c r="H21" s="19"/>
      <c r="I21" s="19"/>
      <c r="J21" s="24">
        <v>356512</v>
      </c>
      <c r="K21" s="25"/>
      <c r="L21" s="24">
        <f t="shared" si="0"/>
        <v>1487635</v>
      </c>
      <c r="M21" s="24">
        <v>356512</v>
      </c>
      <c r="N21" s="25"/>
      <c r="O21" s="24">
        <f t="shared" si="1"/>
        <v>1487635</v>
      </c>
      <c r="P21" s="24" t="s">
        <v>60</v>
      </c>
      <c r="Q21" s="24" t="s">
        <v>53</v>
      </c>
      <c r="R21" s="31">
        <v>43774.9939467593</v>
      </c>
    </row>
    <row r="22" ht="25" customHeight="1" spans="1:18">
      <c r="A22" s="16">
        <v>13</v>
      </c>
      <c r="B22" s="17" t="s">
        <v>9</v>
      </c>
      <c r="C22" s="17"/>
      <c r="D22" s="18"/>
      <c r="E22" s="18"/>
      <c r="F22" s="19" t="s">
        <v>64</v>
      </c>
      <c r="G22" s="19"/>
      <c r="H22" s="19"/>
      <c r="I22" s="19"/>
      <c r="J22" s="24"/>
      <c r="K22" s="25">
        <v>57000</v>
      </c>
      <c r="L22" s="24">
        <f t="shared" si="0"/>
        <v>1430635</v>
      </c>
      <c r="M22" s="24"/>
      <c r="N22" s="25">
        <v>57000</v>
      </c>
      <c r="O22" s="24">
        <f t="shared" si="1"/>
        <v>1430635</v>
      </c>
      <c r="P22" s="24" t="s">
        <v>60</v>
      </c>
      <c r="Q22" s="24" t="s">
        <v>53</v>
      </c>
      <c r="R22" s="31">
        <v>43775.9939467593</v>
      </c>
    </row>
    <row r="23" ht="25" customHeight="1" spans="1:18">
      <c r="A23" s="16">
        <v>14</v>
      </c>
      <c r="B23" s="17" t="s">
        <v>9</v>
      </c>
      <c r="C23" s="17"/>
      <c r="D23" s="18"/>
      <c r="E23" s="18"/>
      <c r="F23" s="19" t="s">
        <v>55</v>
      </c>
      <c r="G23" s="19"/>
      <c r="H23" s="19"/>
      <c r="I23" s="19"/>
      <c r="J23" s="24">
        <v>1000000</v>
      </c>
      <c r="K23" s="25"/>
      <c r="L23" s="24">
        <f t="shared" si="0"/>
        <v>2430635</v>
      </c>
      <c r="M23" s="24">
        <v>1000000</v>
      </c>
      <c r="N23" s="25"/>
      <c r="O23" s="24">
        <f t="shared" si="1"/>
        <v>2430635</v>
      </c>
      <c r="P23" s="24" t="s">
        <v>60</v>
      </c>
      <c r="Q23" s="24" t="s">
        <v>53</v>
      </c>
      <c r="R23" s="31">
        <v>43776.9939467593</v>
      </c>
    </row>
    <row r="24" ht="25" customHeight="1" spans="1:18">
      <c r="A24" s="16">
        <v>15</v>
      </c>
      <c r="B24" s="17" t="s">
        <v>9</v>
      </c>
      <c r="C24" s="17"/>
      <c r="D24" s="18"/>
      <c r="E24" s="18"/>
      <c r="F24" s="19" t="s">
        <v>57</v>
      </c>
      <c r="G24" s="19"/>
      <c r="H24" s="19"/>
      <c r="I24" s="19"/>
      <c r="J24" s="24">
        <v>1120884</v>
      </c>
      <c r="K24" s="25">
        <v>1</v>
      </c>
      <c r="L24" s="24">
        <f t="shared" si="0"/>
        <v>3551518</v>
      </c>
      <c r="M24" s="24">
        <v>1120884</v>
      </c>
      <c r="N24" s="25">
        <v>1</v>
      </c>
      <c r="O24" s="24">
        <f t="shared" si="1"/>
        <v>3551518</v>
      </c>
      <c r="P24" s="24" t="s">
        <v>60</v>
      </c>
      <c r="Q24" s="24" t="s">
        <v>53</v>
      </c>
      <c r="R24" s="31">
        <v>43777.9939467593</v>
      </c>
    </row>
    <row r="25" ht="25" customHeight="1" spans="1:18">
      <c r="A25" s="16">
        <v>16</v>
      </c>
      <c r="B25" s="17" t="s">
        <v>9</v>
      </c>
      <c r="C25" s="17"/>
      <c r="D25" s="18"/>
      <c r="E25" s="18"/>
      <c r="F25" s="19" t="s">
        <v>65</v>
      </c>
      <c r="G25" s="19"/>
      <c r="H25" s="19"/>
      <c r="I25" s="19"/>
      <c r="J25" s="24"/>
      <c r="K25" s="24">
        <v>1020341</v>
      </c>
      <c r="L25" s="24">
        <f t="shared" si="0"/>
        <v>2531177</v>
      </c>
      <c r="M25" s="24"/>
      <c r="N25" s="24">
        <v>1020341</v>
      </c>
      <c r="O25" s="24">
        <f t="shared" si="1"/>
        <v>2531177</v>
      </c>
      <c r="P25" s="24" t="s">
        <v>60</v>
      </c>
      <c r="Q25" s="24" t="s">
        <v>53</v>
      </c>
      <c r="R25" s="31">
        <v>43778.9939467593</v>
      </c>
    </row>
    <row r="26" ht="25" customHeight="1" spans="1:18">
      <c r="A26" s="16">
        <v>17</v>
      </c>
      <c r="B26" s="17" t="s">
        <v>9</v>
      </c>
      <c r="C26" s="17"/>
      <c r="D26" s="18"/>
      <c r="E26" s="18"/>
      <c r="F26" s="19" t="s">
        <v>65</v>
      </c>
      <c r="G26" s="19"/>
      <c r="H26" s="19"/>
      <c r="I26" s="19"/>
      <c r="J26" s="24"/>
      <c r="K26" s="24">
        <v>1020342</v>
      </c>
      <c r="L26" s="24">
        <f t="shared" si="0"/>
        <v>1510835</v>
      </c>
      <c r="M26" s="24"/>
      <c r="N26" s="24">
        <v>1020342</v>
      </c>
      <c r="O26" s="24">
        <f t="shared" si="1"/>
        <v>1510835</v>
      </c>
      <c r="P26" s="24" t="s">
        <v>60</v>
      </c>
      <c r="Q26" s="24" t="s">
        <v>53</v>
      </c>
      <c r="R26" s="31">
        <v>43779.9939467593</v>
      </c>
    </row>
    <row r="27" ht="25" customHeight="1" spans="1:18">
      <c r="A27" s="16">
        <v>18</v>
      </c>
      <c r="B27" s="17" t="s">
        <v>9</v>
      </c>
      <c r="C27" s="17"/>
      <c r="D27" s="18"/>
      <c r="E27" s="18"/>
      <c r="F27" s="19" t="s">
        <v>65</v>
      </c>
      <c r="G27" s="19"/>
      <c r="H27" s="19"/>
      <c r="I27" s="19"/>
      <c r="J27" s="24"/>
      <c r="K27" s="24">
        <v>1020343</v>
      </c>
      <c r="L27" s="24">
        <f t="shared" si="0"/>
        <v>490492</v>
      </c>
      <c r="M27" s="24"/>
      <c r="N27" s="24">
        <v>1020343</v>
      </c>
      <c r="O27" s="24">
        <f t="shared" si="1"/>
        <v>490492</v>
      </c>
      <c r="P27" s="24" t="s">
        <v>60</v>
      </c>
      <c r="Q27" s="24" t="s">
        <v>53</v>
      </c>
      <c r="R27" s="31">
        <v>43780.9939467593</v>
      </c>
    </row>
    <row r="28" ht="25" customHeight="1" spans="1:18">
      <c r="A28" s="16">
        <v>19</v>
      </c>
      <c r="B28" s="17" t="s">
        <v>9</v>
      </c>
      <c r="C28" s="17"/>
      <c r="D28" s="18"/>
      <c r="E28" s="18"/>
      <c r="F28" s="19" t="s">
        <v>65</v>
      </c>
      <c r="G28" s="19"/>
      <c r="H28" s="19"/>
      <c r="I28" s="19"/>
      <c r="J28" s="24"/>
      <c r="K28" s="24">
        <v>1020344</v>
      </c>
      <c r="L28" s="24">
        <f t="shared" si="0"/>
        <v>-529852</v>
      </c>
      <c r="M28" s="24"/>
      <c r="N28" s="24">
        <v>1020344</v>
      </c>
      <c r="O28" s="24">
        <f t="shared" si="1"/>
        <v>-529852</v>
      </c>
      <c r="P28" s="24" t="s">
        <v>60</v>
      </c>
      <c r="Q28" s="24" t="s">
        <v>53</v>
      </c>
      <c r="R28" s="31">
        <v>43781.9939467593</v>
      </c>
    </row>
    <row r="29" ht="25" customHeight="1" spans="1:18">
      <c r="A29" s="16">
        <v>20</v>
      </c>
      <c r="B29" s="17" t="s">
        <v>9</v>
      </c>
      <c r="C29" s="17"/>
      <c r="D29" s="18"/>
      <c r="E29" s="18"/>
      <c r="F29" s="19" t="s">
        <v>65</v>
      </c>
      <c r="G29" s="19"/>
      <c r="H29" s="19"/>
      <c r="I29" s="19"/>
      <c r="J29" s="24"/>
      <c r="K29" s="24">
        <v>1020345</v>
      </c>
      <c r="L29" s="24">
        <f t="shared" si="0"/>
        <v>-1550197</v>
      </c>
      <c r="M29" s="24"/>
      <c r="N29" s="24">
        <v>1020345</v>
      </c>
      <c r="O29" s="24">
        <f t="shared" si="1"/>
        <v>-1550197</v>
      </c>
      <c r="P29" s="24" t="s">
        <v>60</v>
      </c>
      <c r="Q29" s="24" t="s">
        <v>53</v>
      </c>
      <c r="R29" s="31">
        <v>43782.9939467593</v>
      </c>
    </row>
    <row r="30" ht="25" customHeight="1" spans="1:18">
      <c r="A30" s="20"/>
      <c r="B30" s="21"/>
      <c r="C30" s="21"/>
      <c r="D30" s="21"/>
      <c r="E30" s="21"/>
      <c r="F30" s="21"/>
      <c r="G30" s="21"/>
      <c r="H30" s="21"/>
      <c r="I30" s="26" t="s">
        <v>66</v>
      </c>
      <c r="J30" s="27">
        <f>SUM(J10:J25)</f>
        <v>11170213</v>
      </c>
      <c r="K30" s="27">
        <f t="shared" ref="K30:O30" si="2">SUM(K10:K29)</f>
        <v>12720410</v>
      </c>
      <c r="L30" s="27">
        <f t="shared" si="2"/>
        <v>39575392</v>
      </c>
      <c r="M30" s="27">
        <f t="shared" si="2"/>
        <v>11170213</v>
      </c>
      <c r="N30" s="27">
        <f t="shared" si="2"/>
        <v>12720410</v>
      </c>
      <c r="O30" s="27">
        <f t="shared" si="2"/>
        <v>39575392</v>
      </c>
      <c r="P30" s="28"/>
      <c r="Q30" s="28"/>
      <c r="R30" s="32"/>
    </row>
    <row r="31" ht="25" customHeight="1" spans="1:18">
      <c r="A31" s="22"/>
      <c r="B31" s="23"/>
      <c r="C31" s="23"/>
      <c r="D31" s="23"/>
      <c r="E31" s="23"/>
      <c r="F31" s="23"/>
      <c r="G31" s="23"/>
      <c r="H31" s="23"/>
      <c r="I31" s="29"/>
      <c r="J31" s="23"/>
      <c r="K31" s="23"/>
      <c r="L31" s="23"/>
      <c r="M31" s="23"/>
      <c r="N31" s="23"/>
      <c r="O31" s="23"/>
      <c r="P31" s="23"/>
      <c r="Q31" s="23"/>
      <c r="R31" s="33"/>
    </row>
  </sheetData>
  <mergeCells count="62">
    <mergeCell ref="B9:C9"/>
    <mergeCell ref="D9:E9"/>
    <mergeCell ref="F9:I9"/>
    <mergeCell ref="B10:C10"/>
    <mergeCell ref="D10:E10"/>
    <mergeCell ref="F10:I10"/>
    <mergeCell ref="B11:C11"/>
    <mergeCell ref="D11:E11"/>
    <mergeCell ref="F11:I11"/>
    <mergeCell ref="B12:C12"/>
    <mergeCell ref="D12:E12"/>
    <mergeCell ref="F12:I12"/>
    <mergeCell ref="B13:C13"/>
    <mergeCell ref="D13:E13"/>
    <mergeCell ref="F13:I13"/>
    <mergeCell ref="B14:C14"/>
    <mergeCell ref="D14:E14"/>
    <mergeCell ref="F14:I14"/>
    <mergeCell ref="B15:C15"/>
    <mergeCell ref="D15:E15"/>
    <mergeCell ref="F15:I15"/>
    <mergeCell ref="B16:C16"/>
    <mergeCell ref="D16:E16"/>
    <mergeCell ref="F16:I16"/>
    <mergeCell ref="B17:C17"/>
    <mergeCell ref="D17:E17"/>
    <mergeCell ref="B18:C18"/>
    <mergeCell ref="D18:E18"/>
    <mergeCell ref="F18:I18"/>
    <mergeCell ref="B19:C19"/>
    <mergeCell ref="D19:E19"/>
    <mergeCell ref="F19:I19"/>
    <mergeCell ref="B20:C20"/>
    <mergeCell ref="D20:E20"/>
    <mergeCell ref="F20:I20"/>
    <mergeCell ref="B21:C21"/>
    <mergeCell ref="D21:E21"/>
    <mergeCell ref="F21:I21"/>
    <mergeCell ref="B22:C22"/>
    <mergeCell ref="D22:E22"/>
    <mergeCell ref="F22:I22"/>
    <mergeCell ref="B23:C23"/>
    <mergeCell ref="D23:E23"/>
    <mergeCell ref="F23:I23"/>
    <mergeCell ref="B24:C24"/>
    <mergeCell ref="D24:E24"/>
    <mergeCell ref="F24:I24"/>
    <mergeCell ref="B25:C25"/>
    <mergeCell ref="D25:E25"/>
    <mergeCell ref="F25:I25"/>
    <mergeCell ref="B26:C26"/>
    <mergeCell ref="D26:E26"/>
    <mergeCell ref="F26:I26"/>
    <mergeCell ref="B27:C27"/>
    <mergeCell ref="D27:E27"/>
    <mergeCell ref="F27:I27"/>
    <mergeCell ref="B28:C28"/>
    <mergeCell ref="D28:E28"/>
    <mergeCell ref="F28:I28"/>
    <mergeCell ref="B29:C29"/>
    <mergeCell ref="D29:E29"/>
    <mergeCell ref="F29:I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2020-01-14T05:52:00Z</dcterms:created>
  <dcterms:modified xsi:type="dcterms:W3CDTF">2021-03-12T10:58:21Z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