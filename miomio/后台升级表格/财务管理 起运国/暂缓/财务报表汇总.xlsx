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公账7288" sheetId="1" r:id="rId1"/>
    <sheet name="私账2388" sheetId="2" r:id="rId2"/>
    <sheet name="微信公" sheetId="7" r:id="rId3"/>
    <sheet name="微信私" sheetId="6" r:id="rId4"/>
    <sheet name="支付宝公" sheetId="5" r:id="rId5"/>
    <sheet name="支付宝私" sheetId="4" r:id="rId6"/>
    <sheet name="现金" sheetId="3" r:id="rId7"/>
    <sheet name="应收账款" sheetId="8" r:id="rId8"/>
    <sheet name="应付账款" sheetId="20" r:id="rId9"/>
    <sheet name="职工工资" sheetId="9" r:id="rId10"/>
    <sheet name="库存商品" sheetId="11" r:id="rId11"/>
    <sheet name="固定资产" sheetId="13" r:id="rId12"/>
    <sheet name="累计折旧" sheetId="12" r:id="rId13"/>
    <sheet name="其他应付款" sheetId="14" r:id="rId14"/>
    <sheet name="其他应收款" sheetId="21" r:id="rId15"/>
    <sheet name="预付账款" sheetId="15" r:id="rId16"/>
    <sheet name="长期应付" sheetId="10" r:id="rId17"/>
    <sheet name="主营业务收入" sheetId="16" r:id="rId18"/>
    <sheet name="主营业务成本" sheetId="18" r:id="rId19"/>
    <sheet name="营业费用" sheetId="17" r:id="rId20"/>
    <sheet name="营业外收入" sheetId="24" r:id="rId21"/>
    <sheet name="营业外支出" sheetId="23" r:id="rId22"/>
    <sheet name="财务费用 " sheetId="22" r:id="rId23"/>
  </sheets>
  <calcPr calcId="144525"/>
</workbook>
</file>

<file path=xl/sharedStrings.xml><?xml version="1.0" encoding="utf-8"?>
<sst xmlns="http://schemas.openxmlformats.org/spreadsheetml/2006/main" count="1984" uniqueCount="111">
  <si>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</si>
  <si>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</si>
  <si>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</si>
  <si>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</si>
  <si>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</si>
  <si>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</si>
  <si>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</si>
  <si>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</si>
  <si>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</si>
  <si>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</si>
  <si>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</si>
  <si>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</si>
  <si>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r>
      <rPr>
        <b/>
        <sz val="10"/>
        <color theme="1"/>
        <rFont val="Arial"/>
        <charset val="134"/>
      </rPr>
      <t>2018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</si>
  <si>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2019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</si>
  <si>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0"/>
        <rFont val="Arial"/>
        <charset val="134"/>
      </rPr>
      <t>2020</t>
    </r>
    <r>
      <rPr>
        <b/>
        <sz val="10"/>
        <color theme="0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</si>
  <si>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2021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</si>
  <si>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2022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</si>
  <si>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2023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</si>
  <si>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2024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</si>
  <si>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2025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</si>
  <si>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2026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</si>
  <si>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2027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</si>
  <si>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2028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</si>
  <si>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2029</t>
    </r>
    <r>
      <rPr>
        <b/>
        <sz val="10"/>
        <color theme="1"/>
        <rFont val="宋体"/>
        <charset val="134"/>
      </rPr>
      <t>年</t>
    </r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</si>
  <si>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</si>
  <si>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0"/>
        <rFont val="Arial"/>
        <charset val="134"/>
      </rPr>
      <t>2</t>
    </r>
    <r>
      <rPr>
        <b/>
        <sz val="10"/>
        <color theme="0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</si>
  <si>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</si>
  <si>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</si>
  <si>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</si>
  <si>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</si>
  <si>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</si>
  <si>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8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</si>
  <si>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9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</si>
  <si>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10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</si>
  <si>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11</t>
    </r>
    <r>
      <rPr>
        <b/>
        <sz val="10"/>
        <color theme="1"/>
        <rFont val="宋体"/>
        <charset val="134"/>
      </rPr>
      <t>月</t>
    </r>
  </si>
  <si>
    <r>
      <rPr>
        <b/>
        <sz val="10"/>
        <color theme="1"/>
        <rFont val="Arial"/>
        <charset val="134"/>
      </rPr>
      <t>12</t>
    </r>
    <r>
      <rPr>
        <b/>
        <sz val="10"/>
        <color theme="1"/>
        <rFont val="宋体"/>
        <charset val="134"/>
      </rPr>
      <t>月</t>
    </r>
  </si>
  <si>
    <t>公账7288</t>
  </si>
  <si>
    <t>私账2388</t>
  </si>
  <si>
    <t>微信公</t>
  </si>
  <si>
    <t>微信私</t>
  </si>
  <si>
    <t>支付宝公</t>
  </si>
  <si>
    <t>支付宝私</t>
  </si>
  <si>
    <t>现金</t>
  </si>
  <si>
    <t>应收帐款</t>
  </si>
  <si>
    <t>职工薪酬</t>
  </si>
  <si>
    <t>库存商品</t>
  </si>
  <si>
    <t>固定资产</t>
  </si>
  <si>
    <t>累计折旧</t>
  </si>
  <si>
    <t>其他应付款</t>
  </si>
  <si>
    <t>预付账款</t>
  </si>
  <si>
    <t>长期应付款</t>
  </si>
  <si>
    <t>主营业务收入</t>
  </si>
  <si>
    <t>主营业务成本</t>
  </si>
  <si>
    <t>营业费用</t>
  </si>
  <si>
    <t>营业外收入</t>
  </si>
  <si>
    <t>营业外支出</t>
  </si>
  <si>
    <t>财务费用</t>
  </si>
  <si>
    <t>其他应收款</t>
  </si>
  <si>
    <t>应付帐款</t>
  </si>
  <si>
    <t>序号</t>
  </si>
  <si>
    <t>审核日期</t>
  </si>
  <si>
    <t>审核账号</t>
  </si>
  <si>
    <t>摘要</t>
  </si>
  <si>
    <t>收支明细</t>
  </si>
  <si>
    <t>CANSAMPAO</t>
  </si>
  <si>
    <t>上月余数</t>
  </si>
  <si>
    <t>公众号转入7月份运费</t>
  </si>
  <si>
    <t>公帐7月收到运输款</t>
  </si>
  <si>
    <t>失业保险补贴</t>
  </si>
  <si>
    <t>7月份公司社保费</t>
  </si>
  <si>
    <t>7月份个人社保费</t>
  </si>
  <si>
    <t>7月份社保-罗泳华</t>
  </si>
  <si>
    <t>对公跨行/公账证书/信使费</t>
  </si>
  <si>
    <t>转私账备用金</t>
  </si>
  <si>
    <t>6月份员工工资</t>
  </si>
  <si>
    <t>合计CNY</t>
  </si>
  <si>
    <t>收到公账转入备用金</t>
  </si>
  <si>
    <t>微信7月份提现</t>
  </si>
  <si>
    <r>
      <t>支付宝</t>
    </r>
    <r>
      <rPr>
        <sz val="9"/>
        <color theme="1"/>
        <rFont val="Tahoma"/>
        <charset val="134"/>
      </rPr>
      <t>7</t>
    </r>
    <r>
      <rPr>
        <sz val="9"/>
        <color theme="1"/>
        <rFont val="宋体"/>
        <charset val="134"/>
      </rPr>
      <t>月份提现</t>
    </r>
  </si>
  <si>
    <r>
      <t>私账</t>
    </r>
    <r>
      <rPr>
        <sz val="9"/>
        <color theme="1"/>
        <rFont val="Tahoma"/>
        <charset val="134"/>
      </rPr>
      <t>7</t>
    </r>
    <r>
      <rPr>
        <sz val="9"/>
        <color theme="1"/>
        <rFont val="宋体"/>
        <charset val="134"/>
      </rPr>
      <t>月份运输收入</t>
    </r>
  </si>
  <si>
    <r>
      <t>LLW</t>
    </r>
    <r>
      <rPr>
        <sz val="9"/>
        <color theme="1"/>
        <rFont val="宋体"/>
        <charset val="134"/>
      </rPr>
      <t>运输费</t>
    </r>
  </si>
  <si>
    <t>威都运输费</t>
  </si>
  <si>
    <t>朗信运输费</t>
  </si>
  <si>
    <t>驿马运输费</t>
  </si>
  <si>
    <t>易站运输费</t>
  </si>
  <si>
    <t>天迅运输费</t>
  </si>
  <si>
    <t>万达运输费</t>
  </si>
  <si>
    <t>方显运输费</t>
  </si>
  <si>
    <t>怡飞运输费</t>
  </si>
  <si>
    <t>通达运输费</t>
  </si>
  <si>
    <t>支付：途莱运费</t>
  </si>
  <si>
    <t>租赁费-管理、水电费</t>
  </si>
  <si>
    <t>办公费-停车月保费/
苹果年费续费/
微信公众号年审认证</t>
  </si>
  <si>
    <t>办公用品</t>
  </si>
  <si>
    <t>福利费-7月份零食</t>
  </si>
  <si>
    <t>信使费</t>
  </si>
  <si>
    <t>浦生借支</t>
  </si>
  <si>
    <t>仓库货拉拉充值费</t>
  </si>
  <si>
    <t>公司车货款</t>
  </si>
  <si>
    <t>货物丢失赔偿款/介绍人佣金</t>
  </si>
  <si>
    <t>采购仓库用品</t>
  </si>
  <si>
    <r>
      <t>合计</t>
    </r>
    <r>
      <rPr>
        <sz val="9"/>
        <color theme="1"/>
        <rFont val="Arial"/>
        <charset val="134"/>
      </rPr>
      <t>CNY</t>
    </r>
  </si>
  <si>
    <t>威都国际</t>
  </si>
  <si>
    <t>易站跨境</t>
  </si>
  <si>
    <t>中航通运</t>
  </si>
  <si>
    <t>途莱国际</t>
  </si>
  <si>
    <t>青都国际</t>
  </si>
  <si>
    <t>金铭中港</t>
  </si>
  <si>
    <t>驿马中港</t>
  </si>
  <si>
    <t>上月欠款</t>
  </si>
  <si>
    <t>应付威都7月份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</si>
</sst>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8" formatCode="&quot;￥&quot;#,##0.00;[Red]&quot;￥&quot;\-#,##0.00"/>
  </numFmts>
  <fonts count="36">
    <font>
      <sz val="11"/>
      <color theme="1"/>
      <name val="宋体"/>
      <charset val="134"/>
      <scheme val="minor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sz val="9"/>
      <color theme="1"/>
      <name val="Arial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name val="Tahoma"/>
      <charset val="134"/>
    </font>
    <font>
      <sz val="10"/>
      <color rgb="FF7030A0"/>
      <name val="Tahoma"/>
      <charset val="134"/>
    </font>
    <font>
      <sz val="10"/>
      <color rgb="FF7030A0"/>
      <name val="宋体"/>
      <charset val="134"/>
    </font>
    <font>
      <sz val="9"/>
      <color theme="1"/>
      <name val="Tahoma"/>
      <charset val="134"/>
    </font>
    <font>
      <sz val="10"/>
      <color theme="1"/>
      <name val="Tahoma"/>
      <charset val="134"/>
    </font>
    <font>
      <sz val="10"/>
      <name val="Courier New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2" borderId="14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4" fillId="33" borderId="15" applyNumberForma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2" fontId="8" fillId="6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22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5" borderId="4" xfId="0" applyFont="1" applyFill="1" applyBorder="1">
      <alignment vertical="center"/>
    </xf>
    <xf numFmtId="0" fontId="8" fillId="5" borderId="5" xfId="0" applyFont="1" applyFill="1" applyBorder="1">
      <alignment vertical="center"/>
    </xf>
    <xf numFmtId="22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7" borderId="0" xfId="0" applyNumberFormat="1" applyFont="1" applyFill="1" applyBorder="1" applyAlignment="1">
      <alignment horizontal="center" vertical="center"/>
    </xf>
    <xf numFmtId="176" fontId="8" fillId="7" borderId="0" xfId="0" applyNumberFormat="1" applyFont="1" applyFill="1" applyBorder="1" applyAlignment="1">
      <alignment horizontal="center" vertical="center"/>
    </xf>
    <xf numFmtId="176" fontId="8" fillId="7" borderId="0" xfId="0" applyNumberFormat="1" applyFont="1" applyFill="1" applyBorder="1" applyAlignment="1">
      <alignment horizontal="center" vertical="center" wrapText="1"/>
    </xf>
    <xf numFmtId="176" fontId="8" fillId="7" borderId="0" xfId="0" applyNumberFormat="1" applyFont="1" applyFill="1" applyBorder="1" applyAlignment="1">
      <alignment horizontal="center" vertical="center" wrapText="1"/>
    </xf>
    <xf numFmtId="176" fontId="8" fillId="5" borderId="5" xfId="0" applyNumberFormat="1" applyFont="1" applyFill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6" fontId="8" fillId="5" borderId="7" xfId="0" applyNumberFormat="1" applyFont="1" applyFill="1" applyBorder="1" applyAlignment="1">
      <alignment horizontal="center" vertical="center"/>
    </xf>
    <xf numFmtId="176" fontId="8" fillId="7" borderId="7" xfId="0" applyNumberFormat="1" applyFont="1" applyFill="1" applyBorder="1" applyAlignment="1">
      <alignment horizontal="center" vertical="center"/>
    </xf>
    <xf numFmtId="176" fontId="8" fillId="7" borderId="7" xfId="0" applyNumberFormat="1" applyFont="1" applyFill="1" applyBorder="1" applyAlignment="1">
      <alignment horizontal="center" vertical="center" wrapText="1"/>
    </xf>
    <xf numFmtId="176" fontId="8" fillId="5" borderId="8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22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22" fontId="8" fillId="7" borderId="0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2" fontId="8" fillId="5" borderId="0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4" xfId="0" applyFont="1" applyFill="1" applyBorder="1">
      <alignment vertical="center"/>
    </xf>
    <xf numFmtId="0" fontId="8" fillId="5" borderId="5" xfId="0" applyFont="1" applyFill="1" applyBorder="1">
      <alignment vertical="center"/>
    </xf>
    <xf numFmtId="22" fontId="8" fillId="5" borderId="5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8" fontId="10" fillId="5" borderId="2" xfId="0" applyNumberFormat="1" applyFont="1" applyFill="1" applyBorder="1" applyAlignment="1">
      <alignment horizontal="center" vertical="center"/>
    </xf>
    <xf numFmtId="8" fontId="10" fillId="5" borderId="2" xfId="0" applyNumberFormat="1" applyFont="1" applyFill="1" applyBorder="1" applyAlignment="1">
      <alignment horizontal="center" vertical="center"/>
    </xf>
    <xf numFmtId="58" fontId="11" fillId="7" borderId="0" xfId="0" applyNumberFormat="1" applyFont="1" applyFill="1" applyBorder="1" applyAlignment="1">
      <alignment horizontal="center" vertical="center"/>
    </xf>
    <xf numFmtId="58" fontId="11" fillId="7" borderId="0" xfId="0" applyNumberFormat="1" applyFont="1" applyFill="1" applyBorder="1" applyAlignment="1">
      <alignment horizontal="center" vertical="center"/>
    </xf>
    <xf numFmtId="58" fontId="12" fillId="5" borderId="0" xfId="0" applyNumberFormat="1" applyFont="1" applyFill="1" applyBorder="1" applyAlignment="1">
      <alignment horizontal="center" vertical="center"/>
    </xf>
    <xf numFmtId="58" fontId="12" fillId="5" borderId="0" xfId="0" applyNumberFormat="1" applyFont="1" applyFill="1" applyBorder="1" applyAlignment="1">
      <alignment horizontal="center" vertical="center"/>
    </xf>
    <xf numFmtId="58" fontId="13" fillId="7" borderId="0" xfId="0" applyNumberFormat="1" applyFont="1" applyFill="1" applyBorder="1" applyAlignment="1">
      <alignment horizontal="center" vertical="center"/>
    </xf>
    <xf numFmtId="58" fontId="13" fillId="7" borderId="0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right" vertical="center"/>
    </xf>
    <xf numFmtId="8" fontId="10" fillId="5" borderId="2" xfId="0" applyNumberFormat="1" applyFont="1" applyFill="1" applyBorder="1" applyAlignment="1">
      <alignment horizontal="center" vertical="center"/>
    </xf>
    <xf numFmtId="8" fontId="14" fillId="5" borderId="2" xfId="0" applyNumberFormat="1" applyFont="1" applyFill="1" applyBorder="1" applyAlignment="1">
      <alignment horizontal="center" vertical="center"/>
    </xf>
    <xf numFmtId="8" fontId="14" fillId="5" borderId="2" xfId="0" applyNumberFormat="1" applyFont="1" applyFill="1" applyBorder="1" applyAlignment="1">
      <alignment horizontal="center" vertical="center"/>
    </xf>
    <xf numFmtId="58" fontId="11" fillId="7" borderId="0" xfId="0" applyNumberFormat="1" applyFont="1" applyFill="1" applyBorder="1" applyAlignment="1">
      <alignment horizontal="center" vertical="center"/>
    </xf>
    <xf numFmtId="176" fontId="15" fillId="7" borderId="0" xfId="0" applyNumberFormat="1" applyFont="1" applyFill="1" applyBorder="1" applyAlignment="1">
      <alignment horizontal="center" vertical="center"/>
    </xf>
    <xf numFmtId="176" fontId="15" fillId="7" borderId="0" xfId="0" applyNumberFormat="1" applyFont="1" applyFill="1" applyBorder="1" applyAlignment="1">
      <alignment horizontal="center" vertical="center"/>
    </xf>
    <xf numFmtId="58" fontId="12" fillId="5" borderId="0" xfId="0" applyNumberFormat="1" applyFont="1" applyFill="1" applyBorder="1" applyAlignment="1">
      <alignment horizontal="center" vertical="center"/>
    </xf>
    <xf numFmtId="176" fontId="15" fillId="5" borderId="0" xfId="0" applyNumberFormat="1" applyFont="1" applyFill="1" applyBorder="1" applyAlignment="1">
      <alignment horizontal="center" vertical="center"/>
    </xf>
    <xf numFmtId="176" fontId="15" fillId="5" borderId="0" xfId="0" applyNumberFormat="1" applyFont="1" applyFill="1" applyBorder="1" applyAlignment="1">
      <alignment horizontal="center" vertical="center"/>
    </xf>
    <xf numFmtId="58" fontId="13" fillId="7" borderId="0" xfId="0" applyNumberFormat="1" applyFont="1" applyFill="1" applyBorder="1" applyAlignment="1">
      <alignment horizontal="center" vertical="center"/>
    </xf>
    <xf numFmtId="176" fontId="16" fillId="7" borderId="0" xfId="0" applyNumberFormat="1" applyFont="1" applyFill="1" applyBorder="1" applyAlignment="1">
      <alignment horizontal="center" vertical="center" wrapText="1"/>
    </xf>
    <xf numFmtId="176" fontId="16" fillId="7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8" fontId="14" fillId="5" borderId="6" xfId="0" applyNumberFormat="1" applyFont="1" applyFill="1" applyBorder="1" applyAlignment="1">
      <alignment horizontal="center" vertical="center"/>
    </xf>
    <xf numFmtId="176" fontId="15" fillId="7" borderId="7" xfId="0" applyNumberFormat="1" applyFont="1" applyFill="1" applyBorder="1" applyAlignment="1">
      <alignment horizontal="center" vertical="center"/>
    </xf>
    <xf numFmtId="176" fontId="15" fillId="5" borderId="7" xfId="0" applyNumberFormat="1" applyFont="1" applyFill="1" applyBorder="1" applyAlignment="1">
      <alignment horizontal="center" vertical="center"/>
    </xf>
    <xf numFmtId="176" fontId="16" fillId="7" borderId="7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2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22" fontId="8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2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22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right" vertical="center"/>
    </xf>
    <xf numFmtId="0" fontId="10" fillId="5" borderId="0" xfId="0" applyFont="1" applyFill="1" applyBorder="1" applyAlignment="1">
      <alignment horizontal="center" vertical="center"/>
    </xf>
    <xf numFmtId="8" fontId="14" fillId="5" borderId="0" xfId="0" applyNumberFormat="1" applyFont="1" applyFill="1" applyBorder="1" applyAlignment="1">
      <alignment horizontal="center" vertical="center"/>
    </xf>
    <xf numFmtId="8" fontId="14" fillId="5" borderId="0" xfId="0" applyNumberFormat="1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 wrapText="1"/>
    </xf>
    <xf numFmtId="8" fontId="14" fillId="7" borderId="0" xfId="0" applyNumberFormat="1" applyFont="1" applyFill="1" applyBorder="1" applyAlignment="1">
      <alignment horizontal="center" vertical="center" wrapText="1"/>
    </xf>
    <xf numFmtId="8" fontId="14" fillId="7" borderId="0" xfId="0" applyNumberFormat="1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8" fontId="14" fillId="5" borderId="0" xfId="0" applyNumberFormat="1" applyFont="1" applyFill="1" applyBorder="1" applyAlignment="1">
      <alignment horizontal="center" vertical="center" wrapText="1"/>
    </xf>
    <xf numFmtId="8" fontId="14" fillId="5" borderId="0" xfId="0" applyNumberFormat="1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176" fontId="14" fillId="5" borderId="0" xfId="0" applyNumberFormat="1" applyFont="1" applyFill="1" applyBorder="1" applyAlignment="1">
      <alignment horizontal="center" vertical="center"/>
    </xf>
    <xf numFmtId="176" fontId="14" fillId="5" borderId="0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176" fontId="14" fillId="7" borderId="0" xfId="0" applyNumberFormat="1" applyFont="1" applyFill="1" applyBorder="1" applyAlignment="1">
      <alignment horizontal="center" vertical="center"/>
    </xf>
    <xf numFmtId="176" fontId="14" fillId="7" borderId="0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  <xf numFmtId="176" fontId="8" fillId="5" borderId="0" xfId="0" applyNumberFormat="1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8" fontId="14" fillId="5" borderId="7" xfId="0" applyNumberFormat="1" applyFont="1" applyFill="1" applyBorder="1" applyAlignment="1">
      <alignment horizontal="center" vertical="center"/>
    </xf>
    <xf numFmtId="8" fontId="14" fillId="7" borderId="7" xfId="0" applyNumberFormat="1" applyFont="1" applyFill="1" applyBorder="1" applyAlignment="1">
      <alignment horizontal="center" vertical="center" wrapText="1"/>
    </xf>
    <xf numFmtId="8" fontId="14" fillId="5" borderId="7" xfId="0" applyNumberFormat="1" applyFont="1" applyFill="1" applyBorder="1" applyAlignment="1">
      <alignment horizontal="center" vertical="center" wrapText="1"/>
    </xf>
    <xf numFmtId="176" fontId="14" fillId="5" borderId="7" xfId="0" applyNumberFormat="1" applyFont="1" applyFill="1" applyBorder="1" applyAlignment="1">
      <alignment horizontal="center" vertical="center"/>
    </xf>
    <xf numFmtId="176" fontId="14" fillId="7" borderId="7" xfId="0" applyNumberFormat="1" applyFont="1" applyFill="1" applyBorder="1" applyAlignment="1">
      <alignment horizontal="center" vertical="center"/>
    </xf>
    <xf numFmtId="176" fontId="8" fillId="5" borderId="7" xfId="0" applyNumberFormat="1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22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22" fontId="8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5" borderId="3" xfId="0" applyFont="1" applyFill="1" applyBorder="1">
      <alignment vertical="center"/>
    </xf>
    <xf numFmtId="0" fontId="8" fillId="5" borderId="0" xfId="0" applyFont="1" applyFill="1" applyBorder="1">
      <alignment vertical="center"/>
    </xf>
    <xf numFmtId="22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tabSelected="1" workbookViewId="0">
      <selection activeCell="BE14" sqref="BE14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92" t="s">
        <v>59</v>
      </c>
      <c r="B9" s="93"/>
      <c r="C9" s="94" t="s">
        <v>60</v>
      </c>
      <c r="D9" s="95"/>
      <c r="E9" s="95"/>
      <c r="F9" s="95"/>
      <c r="G9" s="94" t="s">
        <v>61</v>
      </c>
      <c r="H9" s="95"/>
      <c r="I9" s="95"/>
      <c r="J9" s="95"/>
      <c r="K9" s="119" t="s">
        <v>62</v>
      </c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31" t="s">
        <v>63</v>
      </c>
      <c r="W9" s="32"/>
      <c r="X9" s="32"/>
      <c r="Y9" s="41"/>
    </row>
    <row r="10" ht="25" customHeight="1" spans="1:25">
      <c r="A10" s="58">
        <v>1</v>
      </c>
      <c r="B10" s="59"/>
      <c r="C10" s="158">
        <v>43705.6259490741</v>
      </c>
      <c r="D10" s="159"/>
      <c r="E10" s="159"/>
      <c r="F10" s="159"/>
      <c r="G10" s="160" t="s">
        <v>64</v>
      </c>
      <c r="H10" s="159"/>
      <c r="I10" s="159"/>
      <c r="J10" s="159"/>
      <c r="K10" s="168" t="s">
        <v>65</v>
      </c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33">
        <v>556977.76</v>
      </c>
      <c r="W10" s="34"/>
      <c r="X10" s="34"/>
      <c r="Y10" s="42"/>
    </row>
    <row r="11" ht="25" customHeight="1" spans="1:25">
      <c r="A11" s="54">
        <v>2</v>
      </c>
      <c r="B11" s="55"/>
      <c r="C11" s="161">
        <v>43706.6259490741</v>
      </c>
      <c r="D11" s="162"/>
      <c r="E11" s="162"/>
      <c r="F11" s="162"/>
      <c r="G11" s="163" t="s">
        <v>64</v>
      </c>
      <c r="H11" s="162"/>
      <c r="I11" s="162"/>
      <c r="J11" s="162"/>
      <c r="K11" s="169" t="s">
        <v>66</v>
      </c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35">
        <v>173179.93</v>
      </c>
      <c r="W11" s="36"/>
      <c r="X11" s="36"/>
      <c r="Y11" s="43"/>
    </row>
    <row r="12" ht="25" customHeight="1" spans="1:25">
      <c r="A12" s="58">
        <v>3</v>
      </c>
      <c r="B12" s="59"/>
      <c r="C12" s="158">
        <v>43707.6259490741</v>
      </c>
      <c r="D12" s="159"/>
      <c r="E12" s="159"/>
      <c r="F12" s="159"/>
      <c r="G12" s="160" t="s">
        <v>64</v>
      </c>
      <c r="H12" s="159"/>
      <c r="I12" s="159"/>
      <c r="J12" s="159"/>
      <c r="K12" s="168" t="s">
        <v>67</v>
      </c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33">
        <v>515674</v>
      </c>
      <c r="W12" s="34"/>
      <c r="X12" s="34"/>
      <c r="Y12" s="42"/>
    </row>
    <row r="13" ht="25" customHeight="1" spans="1:25">
      <c r="A13" s="54">
        <v>4</v>
      </c>
      <c r="B13" s="55"/>
      <c r="C13" s="161">
        <v>43708.6259490741</v>
      </c>
      <c r="D13" s="162"/>
      <c r="E13" s="162"/>
      <c r="F13" s="162"/>
      <c r="G13" s="163" t="s">
        <v>64</v>
      </c>
      <c r="H13" s="162"/>
      <c r="I13" s="162"/>
      <c r="J13" s="162"/>
      <c r="K13" s="170" t="s">
        <v>68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35">
        <v>1416.24</v>
      </c>
      <c r="W13" s="36"/>
      <c r="X13" s="36"/>
      <c r="Y13" s="43"/>
    </row>
    <row r="14" ht="25" customHeight="1" spans="1:25">
      <c r="A14" s="58">
        <v>5</v>
      </c>
      <c r="B14" s="59"/>
      <c r="C14" s="158">
        <v>43709.6259490741</v>
      </c>
      <c r="D14" s="159"/>
      <c r="E14" s="159"/>
      <c r="F14" s="159"/>
      <c r="G14" s="160" t="s">
        <v>64</v>
      </c>
      <c r="H14" s="159"/>
      <c r="I14" s="159"/>
      <c r="J14" s="159"/>
      <c r="K14" s="168" t="s">
        <v>69</v>
      </c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33">
        <v>-4188.8</v>
      </c>
      <c r="W14" s="34"/>
      <c r="X14" s="34"/>
      <c r="Y14" s="42"/>
    </row>
    <row r="15" ht="25" customHeight="1" spans="1:25">
      <c r="A15" s="54">
        <v>6</v>
      </c>
      <c r="B15" s="55"/>
      <c r="C15" s="161">
        <v>43710.6259490741</v>
      </c>
      <c r="D15" s="162"/>
      <c r="E15" s="162"/>
      <c r="F15" s="162"/>
      <c r="G15" s="163" t="s">
        <v>64</v>
      </c>
      <c r="H15" s="162"/>
      <c r="I15" s="162"/>
      <c r="J15" s="162"/>
      <c r="K15" s="169" t="s">
        <v>70</v>
      </c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35">
        <v>-4682.76</v>
      </c>
      <c r="W15" s="36"/>
      <c r="X15" s="36"/>
      <c r="Y15" s="43"/>
    </row>
    <row r="16" ht="25" customHeight="1" spans="1:25">
      <c r="A16" s="58">
        <v>7</v>
      </c>
      <c r="B16" s="59"/>
      <c r="C16" s="158">
        <v>43711.6259490741</v>
      </c>
      <c r="D16" s="159"/>
      <c r="E16" s="159"/>
      <c r="F16" s="159"/>
      <c r="G16" s="160" t="s">
        <v>64</v>
      </c>
      <c r="H16" s="159"/>
      <c r="I16" s="159"/>
      <c r="J16" s="159"/>
      <c r="K16" s="168" t="s">
        <v>71</v>
      </c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33">
        <v>-850.82</v>
      </c>
      <c r="W16" s="34"/>
      <c r="X16" s="34"/>
      <c r="Y16" s="42"/>
    </row>
    <row r="17" ht="25" customHeight="1" spans="1:25">
      <c r="A17" s="54">
        <v>8</v>
      </c>
      <c r="B17" s="55"/>
      <c r="C17" s="161">
        <v>43712.6259490741</v>
      </c>
      <c r="D17" s="162"/>
      <c r="E17" s="162"/>
      <c r="F17" s="162"/>
      <c r="G17" s="163" t="s">
        <v>64</v>
      </c>
      <c r="H17" s="162"/>
      <c r="I17" s="162"/>
      <c r="J17" s="162"/>
      <c r="K17" s="170" t="s">
        <v>72</v>
      </c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37">
        <v>-236</v>
      </c>
      <c r="W17" s="38"/>
      <c r="X17" s="38"/>
      <c r="Y17" s="44"/>
    </row>
    <row r="18" ht="25" customHeight="1" spans="1:25">
      <c r="A18" s="58">
        <v>9</v>
      </c>
      <c r="B18" s="59"/>
      <c r="C18" s="158">
        <v>43713.6259490741</v>
      </c>
      <c r="D18" s="159"/>
      <c r="E18" s="159"/>
      <c r="F18" s="159"/>
      <c r="G18" s="160" t="s">
        <v>64</v>
      </c>
      <c r="H18" s="159"/>
      <c r="I18" s="159"/>
      <c r="J18" s="159"/>
      <c r="K18" s="168" t="s">
        <v>73</v>
      </c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33">
        <v>-500000</v>
      </c>
      <c r="W18" s="34"/>
      <c r="X18" s="34"/>
      <c r="Y18" s="42"/>
    </row>
    <row r="19" ht="25" customHeight="1" spans="1:25">
      <c r="A19" s="54">
        <v>10</v>
      </c>
      <c r="B19" s="55"/>
      <c r="C19" s="161">
        <v>43714.6259490741</v>
      </c>
      <c r="D19" s="162"/>
      <c r="E19" s="162"/>
      <c r="F19" s="162"/>
      <c r="G19" s="163" t="s">
        <v>64</v>
      </c>
      <c r="H19" s="162"/>
      <c r="I19" s="162"/>
      <c r="J19" s="162"/>
      <c r="K19" s="169" t="s">
        <v>74</v>
      </c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35">
        <v>-23800</v>
      </c>
      <c r="W19" s="36"/>
      <c r="X19" s="36"/>
      <c r="Y19" s="43"/>
    </row>
    <row r="20" ht="25" customHeight="1" spans="1:25">
      <c r="A20" s="164"/>
      <c r="B20" s="165"/>
      <c r="C20" s="166"/>
      <c r="D20" s="167"/>
      <c r="E20" s="167"/>
      <c r="F20" s="167"/>
      <c r="G20" s="167"/>
      <c r="H20" s="167"/>
      <c r="I20" s="167"/>
      <c r="J20" s="167"/>
      <c r="K20" s="132" t="s">
        <v>75</v>
      </c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49">
        <f>SUM(V10:V19)</f>
        <v>713489.55</v>
      </c>
      <c r="W20" s="150"/>
      <c r="X20" s="150"/>
      <c r="Y20" s="156"/>
    </row>
    <row r="21" ht="25" customHeight="1" spans="1:25">
      <c r="A21" s="117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57"/>
    </row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9"/>
  <sheetViews>
    <sheetView workbookViewId="0">
      <selection activeCell="V12" sqref="V12:Y12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7" t="s">
        <v>36</v>
      </c>
      <c r="B8" s="7"/>
      <c r="C8" s="7"/>
      <c r="D8" s="6" t="s">
        <v>37</v>
      </c>
      <c r="E8" s="6"/>
      <c r="F8" s="6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92" t="s">
        <v>59</v>
      </c>
      <c r="B9" s="93"/>
      <c r="C9" s="94" t="s">
        <v>60</v>
      </c>
      <c r="D9" s="95"/>
      <c r="E9" s="95"/>
      <c r="F9" s="95"/>
      <c r="G9" s="94" t="s">
        <v>61</v>
      </c>
      <c r="H9" s="95"/>
      <c r="I9" s="95"/>
      <c r="J9" s="95"/>
      <c r="K9" s="119" t="s">
        <v>62</v>
      </c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31" t="s">
        <v>63</v>
      </c>
      <c r="W9" s="32"/>
      <c r="X9" s="32"/>
      <c r="Y9" s="41"/>
    </row>
    <row r="10" ht="25" customHeight="1" spans="1:25">
      <c r="A10" s="96">
        <v>1</v>
      </c>
      <c r="B10" s="97"/>
      <c r="C10" s="98">
        <v>43705.6259490741</v>
      </c>
      <c r="D10" s="99"/>
      <c r="E10" s="99"/>
      <c r="F10" s="99"/>
      <c r="G10" s="100" t="s">
        <v>64</v>
      </c>
      <c r="H10" s="99"/>
      <c r="I10" s="99"/>
      <c r="J10" s="99"/>
      <c r="K10" s="120" t="s">
        <v>65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33"/>
      <c r="V10" s="134">
        <v>343903.8</v>
      </c>
      <c r="W10" s="135"/>
      <c r="X10" s="135"/>
      <c r="Y10" s="151"/>
    </row>
    <row r="11" ht="25" customHeight="1" spans="1:25">
      <c r="A11" s="101">
        <v>2</v>
      </c>
      <c r="B11" s="102"/>
      <c r="C11" s="103">
        <v>43706.6259490741</v>
      </c>
      <c r="D11" s="104"/>
      <c r="E11" s="104"/>
      <c r="F11" s="104"/>
      <c r="G11" s="105" t="s">
        <v>64</v>
      </c>
      <c r="H11" s="102"/>
      <c r="I11" s="102"/>
      <c r="J11" s="102"/>
      <c r="K11" s="122" t="s">
        <v>76</v>
      </c>
      <c r="L11" s="123"/>
      <c r="M11" s="123"/>
      <c r="N11" s="123"/>
      <c r="O11" s="123"/>
      <c r="P11" s="123"/>
      <c r="Q11" s="123"/>
      <c r="R11" s="123"/>
      <c r="S11" s="123"/>
      <c r="T11" s="123"/>
      <c r="U11" s="136"/>
      <c r="V11" s="137">
        <v>500000</v>
      </c>
      <c r="W11" s="138"/>
      <c r="X11" s="138"/>
      <c r="Y11" s="152"/>
    </row>
    <row r="12" ht="25" customHeight="1" spans="1:25">
      <c r="A12" s="106">
        <v>3</v>
      </c>
      <c r="B12" s="107"/>
      <c r="C12" s="108">
        <v>43707.6259490741</v>
      </c>
      <c r="D12" s="109"/>
      <c r="E12" s="109"/>
      <c r="F12" s="109"/>
      <c r="G12" s="110" t="s">
        <v>64</v>
      </c>
      <c r="H12" s="109"/>
      <c r="I12" s="109"/>
      <c r="J12" s="109"/>
      <c r="K12" s="124" t="s">
        <v>77</v>
      </c>
      <c r="L12" s="125"/>
      <c r="M12" s="125"/>
      <c r="N12" s="125"/>
      <c r="O12" s="125"/>
      <c r="P12" s="125"/>
      <c r="Q12" s="125"/>
      <c r="R12" s="125"/>
      <c r="S12" s="125"/>
      <c r="T12" s="125"/>
      <c r="U12" s="139"/>
      <c r="V12" s="140">
        <v>450000</v>
      </c>
      <c r="W12" s="141"/>
      <c r="X12" s="141"/>
      <c r="Y12" s="153"/>
    </row>
    <row r="13" ht="25" customHeight="1" spans="1:25">
      <c r="A13" s="101">
        <v>4</v>
      </c>
      <c r="B13" s="102"/>
      <c r="C13" s="103">
        <v>43708.6259490741</v>
      </c>
      <c r="D13" s="104"/>
      <c r="E13" s="104"/>
      <c r="F13" s="104"/>
      <c r="G13" s="111" t="s">
        <v>64</v>
      </c>
      <c r="H13" s="104"/>
      <c r="I13" s="104"/>
      <c r="J13" s="104"/>
      <c r="K13" s="122" t="s">
        <v>78</v>
      </c>
      <c r="L13" s="123"/>
      <c r="M13" s="123"/>
      <c r="N13" s="123"/>
      <c r="O13" s="123"/>
      <c r="P13" s="123"/>
      <c r="Q13" s="123"/>
      <c r="R13" s="123"/>
      <c r="S13" s="123"/>
      <c r="T13" s="123"/>
      <c r="U13" s="136"/>
      <c r="V13" s="137">
        <v>97000</v>
      </c>
      <c r="W13" s="138"/>
      <c r="X13" s="138"/>
      <c r="Y13" s="152"/>
    </row>
    <row r="14" ht="25" customHeight="1" spans="1:25">
      <c r="A14" s="106">
        <v>5</v>
      </c>
      <c r="B14" s="107"/>
      <c r="C14" s="108">
        <v>43709.6259490741</v>
      </c>
      <c r="D14" s="109"/>
      <c r="E14" s="109"/>
      <c r="F14" s="109"/>
      <c r="G14" s="110" t="s">
        <v>64</v>
      </c>
      <c r="H14" s="109"/>
      <c r="I14" s="109"/>
      <c r="J14" s="109"/>
      <c r="K14" s="124" t="s">
        <v>79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42"/>
      <c r="V14" s="140">
        <v>933713.25</v>
      </c>
      <c r="W14" s="141"/>
      <c r="X14" s="141"/>
      <c r="Y14" s="153"/>
    </row>
    <row r="15" ht="25" customHeight="1" spans="1:25">
      <c r="A15" s="101">
        <v>6</v>
      </c>
      <c r="B15" s="102"/>
      <c r="C15" s="103">
        <v>43710.6259490741</v>
      </c>
      <c r="D15" s="104"/>
      <c r="E15" s="104"/>
      <c r="F15" s="104"/>
      <c r="G15" s="111" t="s">
        <v>64</v>
      </c>
      <c r="H15" s="104"/>
      <c r="I15" s="104"/>
      <c r="J15" s="104"/>
      <c r="K15" s="127" t="s">
        <v>80</v>
      </c>
      <c r="L15" s="123"/>
      <c r="M15" s="123"/>
      <c r="N15" s="123"/>
      <c r="O15" s="123"/>
      <c r="P15" s="123"/>
      <c r="Q15" s="123"/>
      <c r="R15" s="123"/>
      <c r="S15" s="123"/>
      <c r="T15" s="123"/>
      <c r="U15" s="136"/>
      <c r="V15" s="137">
        <v>104098</v>
      </c>
      <c r="W15" s="138"/>
      <c r="X15" s="138"/>
      <c r="Y15" s="152"/>
    </row>
    <row r="16" ht="25" customHeight="1" spans="1:25">
      <c r="A16" s="106">
        <v>7</v>
      </c>
      <c r="B16" s="107"/>
      <c r="C16" s="108">
        <v>43711.6259490741</v>
      </c>
      <c r="D16" s="109"/>
      <c r="E16" s="109"/>
      <c r="F16" s="109"/>
      <c r="G16" s="110" t="s">
        <v>64</v>
      </c>
      <c r="H16" s="109"/>
      <c r="I16" s="109"/>
      <c r="J16" s="109"/>
      <c r="K16" s="120" t="s">
        <v>81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33"/>
      <c r="V16" s="143">
        <v>-167997</v>
      </c>
      <c r="W16" s="144"/>
      <c r="X16" s="144"/>
      <c r="Y16" s="154"/>
    </row>
    <row r="17" ht="25" customHeight="1" spans="1:25">
      <c r="A17" s="101">
        <v>8</v>
      </c>
      <c r="B17" s="102"/>
      <c r="C17" s="103">
        <v>43712.6259490741</v>
      </c>
      <c r="D17" s="104"/>
      <c r="E17" s="104"/>
      <c r="F17" s="104"/>
      <c r="G17" s="105" t="s">
        <v>64</v>
      </c>
      <c r="H17" s="102"/>
      <c r="I17" s="102"/>
      <c r="J17" s="102"/>
      <c r="K17" s="128" t="s">
        <v>82</v>
      </c>
      <c r="L17" s="129"/>
      <c r="M17" s="129"/>
      <c r="N17" s="129"/>
      <c r="O17" s="129"/>
      <c r="P17" s="129"/>
      <c r="Q17" s="129"/>
      <c r="R17" s="129"/>
      <c r="S17" s="129"/>
      <c r="T17" s="129"/>
      <c r="U17" s="145"/>
      <c r="V17" s="146">
        <v>-185380</v>
      </c>
      <c r="W17" s="147"/>
      <c r="X17" s="147"/>
      <c r="Y17" s="155"/>
    </row>
    <row r="18" ht="25" customHeight="1" spans="1:25">
      <c r="A18" s="106">
        <v>9</v>
      </c>
      <c r="B18" s="107"/>
      <c r="C18" s="108">
        <v>43713.6259490741</v>
      </c>
      <c r="D18" s="109"/>
      <c r="E18" s="109"/>
      <c r="F18" s="109"/>
      <c r="G18" s="110" t="s">
        <v>64</v>
      </c>
      <c r="H18" s="109"/>
      <c r="I18" s="109"/>
      <c r="J18" s="109"/>
      <c r="K18" s="120" t="s">
        <v>83</v>
      </c>
      <c r="L18" s="121"/>
      <c r="M18" s="121"/>
      <c r="N18" s="121"/>
      <c r="O18" s="121"/>
      <c r="P18" s="121"/>
      <c r="Q18" s="121"/>
      <c r="R18" s="121"/>
      <c r="S18" s="121"/>
      <c r="T18" s="121"/>
      <c r="U18" s="133"/>
      <c r="V18" s="143">
        <v>-32285.01</v>
      </c>
      <c r="W18" s="144"/>
      <c r="X18" s="144"/>
      <c r="Y18" s="154"/>
    </row>
    <row r="19" ht="25" customHeight="1" spans="1:25">
      <c r="A19" s="101">
        <v>10</v>
      </c>
      <c r="B19" s="102"/>
      <c r="C19" s="103">
        <v>43714.6259490741</v>
      </c>
      <c r="D19" s="104"/>
      <c r="E19" s="104"/>
      <c r="F19" s="104"/>
      <c r="G19" s="105" t="s">
        <v>64</v>
      </c>
      <c r="H19" s="102"/>
      <c r="I19" s="102"/>
      <c r="J19" s="102"/>
      <c r="K19" s="122" t="s">
        <v>84</v>
      </c>
      <c r="L19" s="123"/>
      <c r="M19" s="123"/>
      <c r="N19" s="123"/>
      <c r="O19" s="123"/>
      <c r="P19" s="123"/>
      <c r="Q19" s="123"/>
      <c r="R19" s="123"/>
      <c r="S19" s="123"/>
      <c r="T19" s="123"/>
      <c r="U19" s="136"/>
      <c r="V19" s="137">
        <v>-49991</v>
      </c>
      <c r="W19" s="138"/>
      <c r="X19" s="138"/>
      <c r="Y19" s="152"/>
    </row>
    <row r="20" ht="25" customHeight="1" spans="1:25">
      <c r="A20" s="106">
        <v>11</v>
      </c>
      <c r="B20" s="107"/>
      <c r="C20" s="108">
        <v>43715.6259490741</v>
      </c>
      <c r="D20" s="109"/>
      <c r="E20" s="109"/>
      <c r="F20" s="109"/>
      <c r="G20" s="110" t="s">
        <v>64</v>
      </c>
      <c r="H20" s="109"/>
      <c r="I20" s="109"/>
      <c r="J20" s="109"/>
      <c r="K20" s="124" t="s">
        <v>82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42"/>
      <c r="V20" s="140">
        <v>-512295.5</v>
      </c>
      <c r="W20" s="141"/>
      <c r="X20" s="141"/>
      <c r="Y20" s="153"/>
    </row>
    <row r="21" ht="25" customHeight="1" spans="1:25">
      <c r="A21" s="101">
        <v>12</v>
      </c>
      <c r="B21" s="102"/>
      <c r="C21" s="103">
        <v>43716.6259490741</v>
      </c>
      <c r="D21" s="104"/>
      <c r="E21" s="104"/>
      <c r="F21" s="104"/>
      <c r="G21" s="111" t="s">
        <v>64</v>
      </c>
      <c r="H21" s="104"/>
      <c r="I21" s="104"/>
      <c r="J21" s="104"/>
      <c r="K21" s="122" t="s">
        <v>85</v>
      </c>
      <c r="L21" s="123"/>
      <c r="M21" s="123"/>
      <c r="N21" s="123"/>
      <c r="O21" s="123"/>
      <c r="P21" s="123"/>
      <c r="Q21" s="123"/>
      <c r="R21" s="123"/>
      <c r="S21" s="123"/>
      <c r="T21" s="123"/>
      <c r="U21" s="136"/>
      <c r="V21" s="137">
        <v>-308963.8</v>
      </c>
      <c r="W21" s="138"/>
      <c r="X21" s="138"/>
      <c r="Y21" s="152"/>
    </row>
    <row r="22" ht="25" customHeight="1" spans="1:25">
      <c r="A22" s="106">
        <v>13</v>
      </c>
      <c r="B22" s="107"/>
      <c r="C22" s="108">
        <v>43717.6259490741</v>
      </c>
      <c r="D22" s="109"/>
      <c r="E22" s="109"/>
      <c r="F22" s="109"/>
      <c r="G22" s="110" t="s">
        <v>64</v>
      </c>
      <c r="H22" s="109"/>
      <c r="I22" s="109"/>
      <c r="J22" s="109"/>
      <c r="K22" s="124" t="s">
        <v>86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42"/>
      <c r="V22" s="140">
        <v>-324703.45</v>
      </c>
      <c r="W22" s="141"/>
      <c r="X22" s="141"/>
      <c r="Y22" s="153"/>
    </row>
    <row r="23" ht="25" customHeight="1" spans="1:25">
      <c r="A23" s="101">
        <v>14</v>
      </c>
      <c r="B23" s="102"/>
      <c r="C23" s="103">
        <v>43718.6259490741</v>
      </c>
      <c r="D23" s="104"/>
      <c r="E23" s="104"/>
      <c r="F23" s="104"/>
      <c r="G23" s="111" t="s">
        <v>64</v>
      </c>
      <c r="H23" s="104"/>
      <c r="I23" s="104"/>
      <c r="J23" s="104"/>
      <c r="K23" s="122" t="s">
        <v>87</v>
      </c>
      <c r="L23" s="123"/>
      <c r="M23" s="123"/>
      <c r="N23" s="123"/>
      <c r="O23" s="123"/>
      <c r="P23" s="123"/>
      <c r="Q23" s="123"/>
      <c r="R23" s="123"/>
      <c r="S23" s="123"/>
      <c r="T23" s="123"/>
      <c r="U23" s="136"/>
      <c r="V23" s="137">
        <v>-61721.8</v>
      </c>
      <c r="W23" s="138"/>
      <c r="X23" s="138"/>
      <c r="Y23" s="152"/>
    </row>
    <row r="24" ht="25" customHeight="1" spans="1:25">
      <c r="A24" s="106">
        <v>15</v>
      </c>
      <c r="B24" s="107"/>
      <c r="C24" s="108">
        <v>43719.6259490741</v>
      </c>
      <c r="D24" s="109"/>
      <c r="E24" s="109"/>
      <c r="F24" s="109"/>
      <c r="G24" s="110" t="s">
        <v>64</v>
      </c>
      <c r="H24" s="109"/>
      <c r="I24" s="109"/>
      <c r="J24" s="109"/>
      <c r="K24" s="124" t="s">
        <v>88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42"/>
      <c r="V24" s="140">
        <v>-1300</v>
      </c>
      <c r="W24" s="141"/>
      <c r="X24" s="141"/>
      <c r="Y24" s="153"/>
    </row>
    <row r="25" ht="25" customHeight="1" spans="1:25">
      <c r="A25" s="101">
        <v>16</v>
      </c>
      <c r="B25" s="102"/>
      <c r="C25" s="103">
        <v>43720.6259490741</v>
      </c>
      <c r="D25" s="104"/>
      <c r="E25" s="104"/>
      <c r="F25" s="104"/>
      <c r="G25" s="111" t="s">
        <v>64</v>
      </c>
      <c r="H25" s="104"/>
      <c r="I25" s="104"/>
      <c r="J25" s="104"/>
      <c r="K25" s="122" t="s">
        <v>89</v>
      </c>
      <c r="L25" s="123"/>
      <c r="M25" s="123"/>
      <c r="N25" s="123"/>
      <c r="O25" s="123"/>
      <c r="P25" s="123"/>
      <c r="Q25" s="123"/>
      <c r="R25" s="123"/>
      <c r="S25" s="123"/>
      <c r="T25" s="123"/>
      <c r="U25" s="136"/>
      <c r="V25" s="137">
        <v>-7204.5</v>
      </c>
      <c r="W25" s="138"/>
      <c r="X25" s="138"/>
      <c r="Y25" s="152"/>
    </row>
    <row r="26" ht="25" customHeight="1" spans="1:25">
      <c r="A26" s="106">
        <v>17</v>
      </c>
      <c r="B26" s="107"/>
      <c r="C26" s="108">
        <v>43721.6259490741</v>
      </c>
      <c r="D26" s="109"/>
      <c r="E26" s="109"/>
      <c r="F26" s="109"/>
      <c r="G26" s="110" t="s">
        <v>64</v>
      </c>
      <c r="H26" s="109"/>
      <c r="I26" s="109"/>
      <c r="J26" s="109"/>
      <c r="K26" s="124" t="s">
        <v>90</v>
      </c>
      <c r="L26" s="125"/>
      <c r="M26" s="125"/>
      <c r="N26" s="125"/>
      <c r="O26" s="125"/>
      <c r="P26" s="125"/>
      <c r="Q26" s="125"/>
      <c r="R26" s="125"/>
      <c r="S26" s="125"/>
      <c r="T26" s="125"/>
      <c r="U26" s="139"/>
      <c r="V26" s="140">
        <v>-53498.6</v>
      </c>
      <c r="W26" s="141"/>
      <c r="X26" s="141"/>
      <c r="Y26" s="153"/>
    </row>
    <row r="27" ht="25" customHeight="1" spans="1:25">
      <c r="A27" s="101">
        <v>18</v>
      </c>
      <c r="B27" s="102"/>
      <c r="C27" s="103">
        <v>43722.6259490741</v>
      </c>
      <c r="D27" s="104"/>
      <c r="E27" s="104"/>
      <c r="F27" s="104"/>
      <c r="G27" s="105" t="s">
        <v>64</v>
      </c>
      <c r="H27" s="102"/>
      <c r="I27" s="102"/>
      <c r="J27" s="102"/>
      <c r="K27" s="122" t="s">
        <v>91</v>
      </c>
      <c r="L27" s="130"/>
      <c r="M27" s="130"/>
      <c r="N27" s="130"/>
      <c r="O27" s="130"/>
      <c r="P27" s="130"/>
      <c r="Q27" s="130"/>
      <c r="R27" s="130"/>
      <c r="S27" s="130"/>
      <c r="T27" s="130"/>
      <c r="U27" s="148"/>
      <c r="V27" s="137">
        <v>-23736</v>
      </c>
      <c r="W27" s="138"/>
      <c r="X27" s="138"/>
      <c r="Y27" s="152"/>
    </row>
    <row r="28" ht="25" customHeight="1" spans="1:25">
      <c r="A28" s="106">
        <v>19</v>
      </c>
      <c r="B28" s="107"/>
      <c r="C28" s="108">
        <v>43723.6259490741</v>
      </c>
      <c r="D28" s="109"/>
      <c r="E28" s="109"/>
      <c r="F28" s="109"/>
      <c r="G28" s="110" t="s">
        <v>64</v>
      </c>
      <c r="H28" s="109"/>
      <c r="I28" s="109"/>
      <c r="J28" s="109"/>
      <c r="K28" s="124" t="s">
        <v>92</v>
      </c>
      <c r="L28" s="125"/>
      <c r="M28" s="125"/>
      <c r="N28" s="125"/>
      <c r="O28" s="125"/>
      <c r="P28" s="125"/>
      <c r="Q28" s="125"/>
      <c r="R28" s="125"/>
      <c r="S28" s="125"/>
      <c r="T28" s="125"/>
      <c r="U28" s="139"/>
      <c r="V28" s="140">
        <v>-1788</v>
      </c>
      <c r="W28" s="141"/>
      <c r="X28" s="141"/>
      <c r="Y28" s="153"/>
    </row>
    <row r="29" ht="25" customHeight="1" spans="1:25">
      <c r="A29" s="101">
        <v>20</v>
      </c>
      <c r="B29" s="102"/>
      <c r="C29" s="103">
        <v>43724.6259490741</v>
      </c>
      <c r="D29" s="104"/>
      <c r="E29" s="104"/>
      <c r="F29" s="104"/>
      <c r="G29" s="105" t="s">
        <v>64</v>
      </c>
      <c r="H29" s="102"/>
      <c r="I29" s="102"/>
      <c r="J29" s="102"/>
      <c r="K29" s="122" t="s">
        <v>93</v>
      </c>
      <c r="L29" s="130"/>
      <c r="M29" s="130"/>
      <c r="N29" s="130"/>
      <c r="O29" s="130"/>
      <c r="P29" s="130"/>
      <c r="Q29" s="130"/>
      <c r="R29" s="130"/>
      <c r="S29" s="130"/>
      <c r="T29" s="130"/>
      <c r="U29" s="148"/>
      <c r="V29" s="137">
        <v>-1582.3</v>
      </c>
      <c r="W29" s="138"/>
      <c r="X29" s="138"/>
      <c r="Y29" s="152"/>
    </row>
    <row r="30" ht="25" customHeight="1" spans="1:25">
      <c r="A30" s="106">
        <v>21</v>
      </c>
      <c r="B30" s="107"/>
      <c r="C30" s="108">
        <v>43725.6259490741</v>
      </c>
      <c r="D30" s="109"/>
      <c r="E30" s="109"/>
      <c r="F30" s="109"/>
      <c r="G30" s="110" t="s">
        <v>64</v>
      </c>
      <c r="H30" s="109"/>
      <c r="I30" s="109"/>
      <c r="J30" s="109"/>
      <c r="K30" s="124" t="s">
        <v>94</v>
      </c>
      <c r="L30" s="125"/>
      <c r="M30" s="125"/>
      <c r="N30" s="125"/>
      <c r="O30" s="125"/>
      <c r="P30" s="125"/>
      <c r="Q30" s="125"/>
      <c r="R30" s="125"/>
      <c r="S30" s="125"/>
      <c r="T30" s="125"/>
      <c r="U30" s="139"/>
      <c r="V30" s="140">
        <v>-316.9</v>
      </c>
      <c r="W30" s="141"/>
      <c r="X30" s="141"/>
      <c r="Y30" s="153"/>
    </row>
    <row r="31" ht="25" customHeight="1" spans="1:25">
      <c r="A31" s="101">
        <v>22</v>
      </c>
      <c r="B31" s="102"/>
      <c r="C31" s="103">
        <v>43726.6259490741</v>
      </c>
      <c r="D31" s="104"/>
      <c r="E31" s="104"/>
      <c r="F31" s="104"/>
      <c r="G31" s="111" t="s">
        <v>64</v>
      </c>
      <c r="H31" s="104"/>
      <c r="I31" s="104"/>
      <c r="J31" s="104"/>
      <c r="K31" s="122" t="s">
        <v>95</v>
      </c>
      <c r="L31" s="130"/>
      <c r="M31" s="130"/>
      <c r="N31" s="130"/>
      <c r="O31" s="130"/>
      <c r="P31" s="130"/>
      <c r="Q31" s="130"/>
      <c r="R31" s="130"/>
      <c r="S31" s="130"/>
      <c r="T31" s="130"/>
      <c r="U31" s="148"/>
      <c r="V31" s="137">
        <v>-3</v>
      </c>
      <c r="W31" s="138"/>
      <c r="X31" s="138"/>
      <c r="Y31" s="152"/>
    </row>
    <row r="32" ht="25" customHeight="1" spans="1:25">
      <c r="A32" s="112">
        <v>23</v>
      </c>
      <c r="B32" s="113"/>
      <c r="C32" s="114">
        <v>43727.6259490741</v>
      </c>
      <c r="D32" s="115"/>
      <c r="E32" s="115"/>
      <c r="F32" s="115"/>
      <c r="G32" s="116" t="s">
        <v>64</v>
      </c>
      <c r="H32" s="115"/>
      <c r="I32" s="115"/>
      <c r="J32" s="115"/>
      <c r="K32" s="124" t="s">
        <v>96</v>
      </c>
      <c r="L32" s="125"/>
      <c r="M32" s="125"/>
      <c r="N32" s="125"/>
      <c r="O32" s="125"/>
      <c r="P32" s="125"/>
      <c r="Q32" s="125"/>
      <c r="R32" s="125"/>
      <c r="S32" s="125"/>
      <c r="T32" s="125"/>
      <c r="U32" s="139"/>
      <c r="V32" s="140">
        <v>-87000</v>
      </c>
      <c r="W32" s="141"/>
      <c r="X32" s="141"/>
      <c r="Y32" s="153"/>
    </row>
    <row r="33" customFormat="1" ht="25" customHeight="1" spans="1:25">
      <c r="A33" s="101">
        <v>24</v>
      </c>
      <c r="B33" s="102"/>
      <c r="C33" s="103">
        <v>43728.6259490741</v>
      </c>
      <c r="D33" s="104"/>
      <c r="E33" s="104"/>
      <c r="F33" s="104"/>
      <c r="G33" s="111" t="s">
        <v>64</v>
      </c>
      <c r="H33" s="104"/>
      <c r="I33" s="104"/>
      <c r="J33" s="104"/>
      <c r="K33" s="122" t="s">
        <v>97</v>
      </c>
      <c r="L33" s="130"/>
      <c r="M33" s="130"/>
      <c r="N33" s="130"/>
      <c r="O33" s="130"/>
      <c r="P33" s="130"/>
      <c r="Q33" s="130"/>
      <c r="R33" s="130"/>
      <c r="S33" s="130"/>
      <c r="T33" s="130"/>
      <c r="U33" s="148"/>
      <c r="V33" s="137">
        <v>-10000</v>
      </c>
      <c r="W33" s="138"/>
      <c r="X33" s="138"/>
      <c r="Y33" s="152"/>
    </row>
    <row r="34" ht="25" customHeight="1" spans="1:25">
      <c r="A34" s="112">
        <v>25</v>
      </c>
      <c r="B34" s="113"/>
      <c r="C34" s="114">
        <v>43729.6259490741</v>
      </c>
      <c r="D34" s="115"/>
      <c r="E34" s="115"/>
      <c r="F34" s="115"/>
      <c r="G34" s="116" t="s">
        <v>64</v>
      </c>
      <c r="H34" s="115"/>
      <c r="I34" s="115"/>
      <c r="J34" s="115"/>
      <c r="K34" s="124" t="s">
        <v>98</v>
      </c>
      <c r="L34" s="125"/>
      <c r="M34" s="125"/>
      <c r="N34" s="125"/>
      <c r="O34" s="125"/>
      <c r="P34" s="125"/>
      <c r="Q34" s="125"/>
      <c r="R34" s="125"/>
      <c r="S34" s="125"/>
      <c r="T34" s="125"/>
      <c r="U34" s="139"/>
      <c r="V34" s="140">
        <v>-6221</v>
      </c>
      <c r="W34" s="141"/>
      <c r="X34" s="141"/>
      <c r="Y34" s="153"/>
    </row>
    <row r="35" ht="25" customHeight="1" spans="1:25">
      <c r="A35" s="101">
        <v>26</v>
      </c>
      <c r="B35" s="102"/>
      <c r="C35" s="103">
        <v>43730.6259490741</v>
      </c>
      <c r="D35" s="104"/>
      <c r="E35" s="104"/>
      <c r="F35" s="104"/>
      <c r="G35" s="111" t="s">
        <v>64</v>
      </c>
      <c r="H35" s="104"/>
      <c r="I35" s="104"/>
      <c r="J35" s="104"/>
      <c r="K35" s="122" t="s">
        <v>99</v>
      </c>
      <c r="L35" s="130"/>
      <c r="M35" s="130"/>
      <c r="N35" s="130"/>
      <c r="O35" s="130"/>
      <c r="P35" s="130"/>
      <c r="Q35" s="130"/>
      <c r="R35" s="130"/>
      <c r="S35" s="130"/>
      <c r="T35" s="130"/>
      <c r="U35" s="148"/>
      <c r="V35" s="137">
        <v>-15292</v>
      </c>
      <c r="W35" s="138"/>
      <c r="X35" s="138"/>
      <c r="Y35" s="152"/>
    </row>
    <row r="36" ht="25" customHeight="1" spans="1:25">
      <c r="A36" s="112">
        <v>27</v>
      </c>
      <c r="B36" s="113"/>
      <c r="C36" s="114">
        <v>43731.6259490741</v>
      </c>
      <c r="D36" s="115"/>
      <c r="E36" s="115"/>
      <c r="F36" s="115"/>
      <c r="G36" s="116" t="s">
        <v>64</v>
      </c>
      <c r="H36" s="115"/>
      <c r="I36" s="115"/>
      <c r="J36" s="115"/>
      <c r="K36" s="124" t="s">
        <v>100</v>
      </c>
      <c r="L36" s="125"/>
      <c r="M36" s="125"/>
      <c r="N36" s="125"/>
      <c r="O36" s="125"/>
      <c r="P36" s="125"/>
      <c r="Q36" s="125"/>
      <c r="R36" s="125"/>
      <c r="S36" s="125"/>
      <c r="T36" s="125"/>
      <c r="U36" s="139"/>
      <c r="V36" s="140">
        <v>-9466.29</v>
      </c>
      <c r="W36" s="141"/>
      <c r="X36" s="141"/>
      <c r="Y36" s="153"/>
    </row>
    <row r="37" ht="25" customHeight="1" spans="1:25">
      <c r="A37" s="101">
        <v>28</v>
      </c>
      <c r="B37" s="102"/>
      <c r="C37" s="103">
        <v>43732.6259490741</v>
      </c>
      <c r="D37" s="104"/>
      <c r="E37" s="104"/>
      <c r="F37" s="104"/>
      <c r="G37" s="111" t="s">
        <v>64</v>
      </c>
      <c r="H37" s="104"/>
      <c r="I37" s="104"/>
      <c r="J37" s="104"/>
      <c r="K37" s="122" t="s">
        <v>74</v>
      </c>
      <c r="L37" s="130"/>
      <c r="M37" s="130"/>
      <c r="N37" s="130"/>
      <c r="O37" s="130"/>
      <c r="P37" s="130"/>
      <c r="Q37" s="130"/>
      <c r="R37" s="130"/>
      <c r="S37" s="130"/>
      <c r="T37" s="130"/>
      <c r="U37" s="148"/>
      <c r="V37" s="137">
        <v>-51928.11</v>
      </c>
      <c r="W37" s="138"/>
      <c r="X37" s="138"/>
      <c r="Y37" s="152"/>
    </row>
    <row r="38" customFormat="1" ht="25" customHeight="1" spans="1:25">
      <c r="A38" s="112"/>
      <c r="B38" s="113"/>
      <c r="C38" s="114"/>
      <c r="D38" s="115"/>
      <c r="E38" s="115"/>
      <c r="F38" s="115"/>
      <c r="G38" s="115"/>
      <c r="H38" s="115"/>
      <c r="I38" s="115"/>
      <c r="J38" s="115"/>
      <c r="K38" s="131" t="s">
        <v>101</v>
      </c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49">
        <f>SUM(V10:V37)</f>
        <v>516040.79</v>
      </c>
      <c r="W38" s="150"/>
      <c r="X38" s="150"/>
      <c r="Y38" s="156"/>
    </row>
    <row r="39" ht="25" customHeight="1" spans="1:2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57"/>
    </row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</sheetData>
  <mergeCells count="20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A20:B20"/>
    <mergeCell ref="C20:F20"/>
    <mergeCell ref="G20:J20"/>
    <mergeCell ref="K20:U20"/>
    <mergeCell ref="V20:Y20"/>
    <mergeCell ref="A21:B21"/>
    <mergeCell ref="C21:F21"/>
    <mergeCell ref="G21:J21"/>
    <mergeCell ref="K21:U21"/>
    <mergeCell ref="V21:Y21"/>
    <mergeCell ref="A22:B22"/>
    <mergeCell ref="C22:F22"/>
    <mergeCell ref="G22:J22"/>
    <mergeCell ref="K22:U22"/>
    <mergeCell ref="V22:Y22"/>
    <mergeCell ref="A23:B23"/>
    <mergeCell ref="C23:F23"/>
    <mergeCell ref="G23:J23"/>
    <mergeCell ref="K23:U23"/>
    <mergeCell ref="V23:Y23"/>
    <mergeCell ref="A24:B24"/>
    <mergeCell ref="C24:F24"/>
    <mergeCell ref="G24:J24"/>
    <mergeCell ref="K24:U24"/>
    <mergeCell ref="V24:Y24"/>
    <mergeCell ref="A25:B25"/>
    <mergeCell ref="C25:F25"/>
    <mergeCell ref="G25:J25"/>
    <mergeCell ref="K25:U25"/>
    <mergeCell ref="V25:Y25"/>
    <mergeCell ref="A26:B26"/>
    <mergeCell ref="C26:F26"/>
    <mergeCell ref="G26:J26"/>
    <mergeCell ref="K26:U26"/>
    <mergeCell ref="V26:Y26"/>
    <mergeCell ref="A27:B27"/>
    <mergeCell ref="C27:F27"/>
    <mergeCell ref="G27:J27"/>
    <mergeCell ref="K27:U27"/>
    <mergeCell ref="V27:Y27"/>
    <mergeCell ref="A28:B28"/>
    <mergeCell ref="C28:F28"/>
    <mergeCell ref="G28:J28"/>
    <mergeCell ref="K28:U28"/>
    <mergeCell ref="V28:Y28"/>
    <mergeCell ref="A29:B29"/>
    <mergeCell ref="C29:F29"/>
    <mergeCell ref="G29:J29"/>
    <mergeCell ref="K29:U29"/>
    <mergeCell ref="V29:Y29"/>
    <mergeCell ref="A30:B30"/>
    <mergeCell ref="C30:F30"/>
    <mergeCell ref="G30:J30"/>
    <mergeCell ref="K30:U30"/>
    <mergeCell ref="V30:Y30"/>
    <mergeCell ref="A31:B31"/>
    <mergeCell ref="C31:F31"/>
    <mergeCell ref="G31:J31"/>
    <mergeCell ref="K31:U31"/>
    <mergeCell ref="V31:Y31"/>
    <mergeCell ref="A32:B32"/>
    <mergeCell ref="C32:F32"/>
    <mergeCell ref="G32:J32"/>
    <mergeCell ref="K32:U32"/>
    <mergeCell ref="V32:Y32"/>
    <mergeCell ref="A33:B33"/>
    <mergeCell ref="C33:F33"/>
    <mergeCell ref="G33:J33"/>
    <mergeCell ref="K33:U33"/>
    <mergeCell ref="V33:Y33"/>
    <mergeCell ref="A34:B34"/>
    <mergeCell ref="C34:F34"/>
    <mergeCell ref="G34:J34"/>
    <mergeCell ref="K34:U34"/>
    <mergeCell ref="V34:Y34"/>
    <mergeCell ref="A35:B35"/>
    <mergeCell ref="C35:F35"/>
    <mergeCell ref="G35:J35"/>
    <mergeCell ref="K35:U35"/>
    <mergeCell ref="V35:Y35"/>
    <mergeCell ref="A36:B36"/>
    <mergeCell ref="C36:F36"/>
    <mergeCell ref="G36:J36"/>
    <mergeCell ref="K36:U36"/>
    <mergeCell ref="V36:Y36"/>
    <mergeCell ref="A37:B37"/>
    <mergeCell ref="C37:F37"/>
    <mergeCell ref="G37:J37"/>
    <mergeCell ref="K37:U37"/>
    <mergeCell ref="V37:Y37"/>
    <mergeCell ref="C38:F38"/>
    <mergeCell ref="G38:J38"/>
    <mergeCell ref="K38:U38"/>
    <mergeCell ref="V38:Y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G8" sqref="G8:I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O18" sqref="AO1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O18" sqref="AO1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G19" sqref="AG19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V16" sqref="V16:Y16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V16" sqref="V16:Y16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4"/>
  <sheetViews>
    <sheetView workbookViewId="0">
      <selection activeCell="AD14" sqref="AD14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7" t="s">
        <v>36</v>
      </c>
      <c r="B8" s="7"/>
      <c r="C8" s="7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6" t="s">
        <v>58</v>
      </c>
      <c r="Z8" s="6"/>
      <c r="AA8" s="6"/>
      <c r="AB8" s="7" t="s">
        <v>44</v>
      </c>
      <c r="AC8" s="7"/>
      <c r="AD8" s="7"/>
      <c r="AE8" s="7" t="s">
        <v>45</v>
      </c>
      <c r="AF8" s="7"/>
      <c r="AG8" s="7"/>
      <c r="AH8" s="7" t="s">
        <v>46</v>
      </c>
      <c r="AI8" s="7"/>
      <c r="AJ8" s="7"/>
      <c r="AK8" s="7" t="s">
        <v>47</v>
      </c>
      <c r="AL8" s="7"/>
      <c r="AM8" s="7"/>
      <c r="AN8" s="7" t="s">
        <v>48</v>
      </c>
      <c r="AO8" s="7"/>
      <c r="AP8" s="7"/>
      <c r="AQ8" s="7" t="s">
        <v>49</v>
      </c>
      <c r="AR8" s="7"/>
      <c r="AS8" s="7"/>
      <c r="AT8" s="7" t="s">
        <v>50</v>
      </c>
      <c r="AU8" s="7"/>
      <c r="AV8" s="7"/>
      <c r="AW8" s="7" t="s">
        <v>51</v>
      </c>
      <c r="AX8" s="7"/>
      <c r="AY8" s="7"/>
      <c r="AZ8" s="7" t="s">
        <v>52</v>
      </c>
      <c r="BA8" s="7"/>
      <c r="BB8" s="7"/>
      <c r="BC8" s="7" t="s">
        <v>53</v>
      </c>
      <c r="BD8" s="7"/>
      <c r="BE8" s="7"/>
      <c r="BF8" s="7" t="s">
        <v>54</v>
      </c>
      <c r="BG8" s="7"/>
      <c r="BH8" s="7"/>
      <c r="BI8" s="7" t="s">
        <v>55</v>
      </c>
      <c r="BJ8" s="7"/>
      <c r="BK8" s="7"/>
      <c r="BL8" s="7" t="s">
        <v>56</v>
      </c>
      <c r="BM8" s="7"/>
      <c r="BN8" s="7"/>
      <c r="BO8" s="7" t="s">
        <v>57</v>
      </c>
      <c r="BP8" s="7"/>
      <c r="BQ8" s="7"/>
    </row>
    <row r="9" ht="25" customHeight="1" spans="1:32">
      <c r="A9" s="46" t="s">
        <v>102</v>
      </c>
      <c r="B9" s="47"/>
      <c r="C9" s="47"/>
      <c r="D9" s="47"/>
      <c r="E9" s="48" t="s">
        <v>103</v>
      </c>
      <c r="F9" s="49"/>
      <c r="G9" s="49"/>
      <c r="H9" s="49"/>
      <c r="I9" s="48" t="s">
        <v>104</v>
      </c>
      <c r="J9" s="49"/>
      <c r="K9" s="49"/>
      <c r="L9" s="49"/>
      <c r="M9" s="48" t="s">
        <v>105</v>
      </c>
      <c r="N9" s="49"/>
      <c r="O9" s="49"/>
      <c r="P9" s="49"/>
      <c r="Q9" s="48" t="s">
        <v>106</v>
      </c>
      <c r="R9" s="49"/>
      <c r="S9" s="49"/>
      <c r="T9" s="49"/>
      <c r="U9" s="48" t="s">
        <v>107</v>
      </c>
      <c r="V9" s="49"/>
      <c r="W9" s="49"/>
      <c r="X9" s="49"/>
      <c r="Y9" s="48" t="s">
        <v>108</v>
      </c>
      <c r="Z9" s="49"/>
      <c r="AA9" s="49"/>
      <c r="AB9" s="49"/>
      <c r="AC9" s="87"/>
      <c r="AD9" s="87"/>
      <c r="AE9" s="87"/>
      <c r="AF9" s="87"/>
    </row>
    <row r="10" ht="25" customHeight="1" spans="1:25">
      <c r="A10" s="8" t="s">
        <v>59</v>
      </c>
      <c r="B10" s="9"/>
      <c r="C10" s="10" t="s">
        <v>60</v>
      </c>
      <c r="D10" s="11"/>
      <c r="E10" s="11"/>
      <c r="F10" s="11"/>
      <c r="G10" s="10" t="s">
        <v>61</v>
      </c>
      <c r="H10" s="11"/>
      <c r="I10" s="11"/>
      <c r="J10" s="11"/>
      <c r="K10" s="26" t="s">
        <v>62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31" t="s">
        <v>63</v>
      </c>
      <c r="W10" s="32"/>
      <c r="X10" s="32"/>
      <c r="Y10" s="41"/>
    </row>
    <row r="11" ht="25" customHeight="1" spans="1:25">
      <c r="A11" s="50">
        <v>1</v>
      </c>
      <c r="B11" s="51"/>
      <c r="C11" s="52">
        <v>43705.6259490741</v>
      </c>
      <c r="D11" s="51"/>
      <c r="E11" s="51"/>
      <c r="F11" s="51"/>
      <c r="G11" s="53" t="s">
        <v>64</v>
      </c>
      <c r="H11" s="51"/>
      <c r="I11" s="51"/>
      <c r="J11" s="51"/>
      <c r="K11" s="66" t="s">
        <v>109</v>
      </c>
      <c r="L11" s="67"/>
      <c r="M11" s="67"/>
      <c r="N11" s="67"/>
      <c r="O11" s="67"/>
      <c r="P11" s="67"/>
      <c r="Q11" s="67"/>
      <c r="R11" s="67"/>
      <c r="S11" s="67"/>
      <c r="T11" s="67"/>
      <c r="U11" s="75"/>
      <c r="V11" s="76">
        <v>-82283.8</v>
      </c>
      <c r="W11" s="77"/>
      <c r="X11" s="77"/>
      <c r="Y11" s="88"/>
    </row>
    <row r="12" ht="25" customHeight="1" spans="1:25">
      <c r="A12" s="54">
        <v>2</v>
      </c>
      <c r="B12" s="55"/>
      <c r="C12" s="56">
        <v>43706.6259490741</v>
      </c>
      <c r="D12" s="55"/>
      <c r="E12" s="55"/>
      <c r="F12" s="55"/>
      <c r="G12" s="57" t="s">
        <v>64</v>
      </c>
      <c r="H12" s="55"/>
      <c r="I12" s="55"/>
      <c r="J12" s="55"/>
      <c r="K12" s="68">
        <v>44013</v>
      </c>
      <c r="L12" s="69"/>
      <c r="M12" s="69"/>
      <c r="N12" s="69"/>
      <c r="O12" s="69"/>
      <c r="P12" s="69"/>
      <c r="Q12" s="69"/>
      <c r="R12" s="69"/>
      <c r="S12" s="69"/>
      <c r="T12" s="69"/>
      <c r="U12" s="78"/>
      <c r="V12" s="79">
        <v>117369</v>
      </c>
      <c r="W12" s="80"/>
      <c r="X12" s="80"/>
      <c r="Y12" s="89"/>
    </row>
    <row r="13" ht="25" customHeight="1" spans="1:25">
      <c r="A13" s="58">
        <v>3</v>
      </c>
      <c r="B13" s="59"/>
      <c r="C13" s="60">
        <v>43707.6259490741</v>
      </c>
      <c r="D13" s="59"/>
      <c r="E13" s="59"/>
      <c r="F13" s="59"/>
      <c r="G13" s="61" t="s">
        <v>64</v>
      </c>
      <c r="H13" s="59"/>
      <c r="I13" s="59"/>
      <c r="J13" s="59"/>
      <c r="K13" s="70">
        <v>44041</v>
      </c>
      <c r="L13" s="71"/>
      <c r="M13" s="71"/>
      <c r="N13" s="71"/>
      <c r="O13" s="71"/>
      <c r="P13" s="71"/>
      <c r="Q13" s="71"/>
      <c r="R13" s="71"/>
      <c r="S13" s="71"/>
      <c r="T13" s="71"/>
      <c r="U13" s="81"/>
      <c r="V13" s="82">
        <v>50628</v>
      </c>
      <c r="W13" s="83"/>
      <c r="X13" s="83"/>
      <c r="Y13" s="90"/>
    </row>
    <row r="14" ht="25" customHeight="1" spans="1:25">
      <c r="A14" s="54">
        <v>4</v>
      </c>
      <c r="B14" s="55"/>
      <c r="C14" s="56">
        <v>43708.6259490741</v>
      </c>
      <c r="D14" s="55"/>
      <c r="E14" s="55"/>
      <c r="F14" s="55"/>
      <c r="G14" s="57" t="s">
        <v>64</v>
      </c>
      <c r="H14" s="55"/>
      <c r="I14" s="55"/>
      <c r="J14" s="55"/>
      <c r="K14" s="72" t="s">
        <v>110</v>
      </c>
      <c r="L14" s="73"/>
      <c r="M14" s="73"/>
      <c r="N14" s="73"/>
      <c r="O14" s="73"/>
      <c r="P14" s="73"/>
      <c r="Q14" s="73"/>
      <c r="R14" s="73"/>
      <c r="S14" s="73"/>
      <c r="T14" s="73"/>
      <c r="U14" s="84"/>
      <c r="V14" s="85">
        <v>-134792.9</v>
      </c>
      <c r="W14" s="86"/>
      <c r="X14" s="86"/>
      <c r="Y14" s="91"/>
    </row>
    <row r="15" ht="25" customHeight="1" spans="1:25">
      <c r="A15" s="62"/>
      <c r="B15" s="63"/>
      <c r="C15" s="64"/>
      <c r="D15" s="65"/>
      <c r="E15" s="65"/>
      <c r="F15" s="65"/>
      <c r="G15" s="65"/>
      <c r="H15" s="65"/>
      <c r="I15" s="65"/>
      <c r="J15" s="65"/>
      <c r="K15" s="74" t="s">
        <v>75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39">
        <f>SUM(V11:V14)</f>
        <v>-49079.7</v>
      </c>
      <c r="W15" s="40"/>
      <c r="X15" s="40"/>
      <c r="Y15" s="45"/>
    </row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</sheetData>
  <mergeCells count="96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D9"/>
    <mergeCell ref="E9:H9"/>
    <mergeCell ref="I9:L9"/>
    <mergeCell ref="M9:P9"/>
    <mergeCell ref="Q9:T9"/>
    <mergeCell ref="U9:X9"/>
    <mergeCell ref="Y9:AB9"/>
    <mergeCell ref="AC9:AF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C15:F15"/>
    <mergeCell ref="G15:J15"/>
    <mergeCell ref="K15:U15"/>
    <mergeCell ref="V15:Y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D16" sqref="AD16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F14" sqref="AF14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K17" sqref="AK17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J16" sqref="AJ16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K19" sqref="AK19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D18" sqref="AD1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G23" sqref="AG23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H22" sqref="AH22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topLeftCell="I1" workbookViewId="0">
      <selection activeCell="AH22" sqref="AH22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K16" sqref="AK16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BC15" sqref="BC15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P17" sqref="AP17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M18" sqref="AM1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selection activeCell="AI18" sqref="AI18"/>
    </sheetView>
  </sheetViews>
  <sheetFormatPr defaultColWidth="9" defaultRowHeight="13.5"/>
  <cols>
    <col min="1" max="285" width="3.625" customWidth="1"/>
  </cols>
  <sheetData>
    <row r="1" ht="25" customHeight="1" spans="1:24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Q1" s="5"/>
      <c r="R1" s="5"/>
      <c r="S1" s="5"/>
      <c r="T1" s="5"/>
      <c r="U1" s="5"/>
      <c r="V1" s="5"/>
      <c r="W1" s="5"/>
      <c r="X1" s="5"/>
    </row>
    <row r="2" ht="25" customHeight="1" spans="1:24">
      <c r="A2" s="3" t="s">
        <v>4</v>
      </c>
      <c r="B2" s="4"/>
      <c r="C2" s="4"/>
      <c r="D2" s="4"/>
      <c r="E2" s="3" t="s">
        <v>5</v>
      </c>
      <c r="F2" s="4"/>
      <c r="G2" s="4"/>
      <c r="H2" s="4"/>
      <c r="I2" s="3" t="s">
        <v>6</v>
      </c>
      <c r="J2" s="4"/>
      <c r="K2" s="4"/>
      <c r="L2" s="4"/>
      <c r="M2" s="3" t="s">
        <v>7</v>
      </c>
      <c r="N2" s="4"/>
      <c r="O2" s="4"/>
      <c r="P2" s="4"/>
      <c r="Q2" s="5"/>
      <c r="R2" s="5"/>
      <c r="S2" s="5"/>
      <c r="T2" s="5"/>
      <c r="U2" s="5"/>
      <c r="V2" s="5"/>
      <c r="W2" s="5"/>
      <c r="X2" s="5"/>
    </row>
    <row r="3" ht="25" customHeight="1" spans="1:24">
      <c r="A3" s="3" t="s">
        <v>8</v>
      </c>
      <c r="B3" s="4"/>
      <c r="C3" s="4"/>
      <c r="D3" s="4"/>
      <c r="E3" s="3" t="s">
        <v>9</v>
      </c>
      <c r="F3" s="4"/>
      <c r="G3" s="4"/>
      <c r="H3" s="4"/>
      <c r="I3" s="3" t="s">
        <v>10</v>
      </c>
      <c r="J3" s="4"/>
      <c r="K3" s="4"/>
      <c r="L3" s="4"/>
      <c r="M3" s="3" t="s">
        <v>11</v>
      </c>
      <c r="N3" s="4"/>
      <c r="O3" s="4"/>
      <c r="P3" s="4"/>
      <c r="Q3" s="5"/>
      <c r="R3" s="5"/>
      <c r="S3" s="5"/>
      <c r="T3" s="5"/>
      <c r="U3" s="5"/>
      <c r="V3" s="5"/>
      <c r="W3" s="5"/>
      <c r="X3" s="5"/>
    </row>
    <row r="4" ht="25" customHeight="1" spans="1:2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5" customHeight="1" spans="1:24">
      <c r="A5" s="4" t="s">
        <v>12</v>
      </c>
      <c r="B5" s="4"/>
      <c r="C5" s="4" t="s">
        <v>13</v>
      </c>
      <c r="D5" s="4"/>
      <c r="E5" s="2" t="s">
        <v>14</v>
      </c>
      <c r="F5" s="2"/>
      <c r="G5" s="4" t="s">
        <v>15</v>
      </c>
      <c r="H5" s="4"/>
      <c r="I5" s="4" t="s">
        <v>16</v>
      </c>
      <c r="J5" s="4"/>
      <c r="K5" s="4" t="s">
        <v>17</v>
      </c>
      <c r="L5" s="4"/>
      <c r="M5" s="4" t="s">
        <v>18</v>
      </c>
      <c r="N5" s="4"/>
      <c r="O5" s="4" t="s">
        <v>19</v>
      </c>
      <c r="P5" s="4"/>
      <c r="Q5" s="4" t="s">
        <v>20</v>
      </c>
      <c r="R5" s="4"/>
      <c r="S5" s="4" t="s">
        <v>21</v>
      </c>
      <c r="T5" s="4"/>
      <c r="U5" s="4" t="s">
        <v>22</v>
      </c>
      <c r="V5" s="4"/>
      <c r="W5" s="4" t="s">
        <v>23</v>
      </c>
      <c r="X5" s="4"/>
    </row>
    <row r="6" ht="25" customHeight="1" spans="1:24">
      <c r="A6" s="4" t="s">
        <v>24</v>
      </c>
      <c r="B6" s="4"/>
      <c r="C6" s="2" t="s">
        <v>25</v>
      </c>
      <c r="D6" s="2"/>
      <c r="E6" s="4" t="s">
        <v>26</v>
      </c>
      <c r="F6" s="4"/>
      <c r="G6" s="4" t="s">
        <v>27</v>
      </c>
      <c r="H6" s="4"/>
      <c r="I6" s="4" t="s">
        <v>28</v>
      </c>
      <c r="J6" s="4"/>
      <c r="K6" s="4" t="s">
        <v>29</v>
      </c>
      <c r="L6" s="4"/>
      <c r="M6" s="4" t="s">
        <v>30</v>
      </c>
      <c r="N6" s="4"/>
      <c r="O6" s="4" t="s">
        <v>31</v>
      </c>
      <c r="P6" s="4"/>
      <c r="Q6" s="4" t="s">
        <v>32</v>
      </c>
      <c r="R6" s="4"/>
      <c r="S6" s="4" t="s">
        <v>33</v>
      </c>
      <c r="T6" s="4"/>
      <c r="U6" s="4" t="s">
        <v>34</v>
      </c>
      <c r="V6" s="4"/>
      <c r="W6" s="4" t="s">
        <v>35</v>
      </c>
      <c r="X6" s="4"/>
    </row>
    <row r="7" ht="25" customHeight="1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5" customHeight="1" spans="1:69">
      <c r="A8" s="6" t="s">
        <v>36</v>
      </c>
      <c r="B8" s="6"/>
      <c r="C8" s="6"/>
      <c r="D8" s="7" t="s">
        <v>37</v>
      </c>
      <c r="E8" s="7"/>
      <c r="F8" s="7"/>
      <c r="G8" s="7" t="s">
        <v>38</v>
      </c>
      <c r="H8" s="7"/>
      <c r="I8" s="7"/>
      <c r="J8" s="7" t="s">
        <v>39</v>
      </c>
      <c r="K8" s="7"/>
      <c r="L8" s="7"/>
      <c r="M8" s="7" t="s">
        <v>40</v>
      </c>
      <c r="N8" s="7"/>
      <c r="O8" s="7"/>
      <c r="P8" s="7" t="s">
        <v>41</v>
      </c>
      <c r="Q8" s="7"/>
      <c r="R8" s="7"/>
      <c r="S8" s="7" t="s">
        <v>42</v>
      </c>
      <c r="T8" s="7"/>
      <c r="U8" s="7"/>
      <c r="V8" s="7" t="s">
        <v>43</v>
      </c>
      <c r="W8" s="7"/>
      <c r="X8" s="7"/>
      <c r="Y8" s="7" t="s">
        <v>44</v>
      </c>
      <c r="Z8" s="7"/>
      <c r="AA8" s="7"/>
      <c r="AB8" s="7" t="s">
        <v>45</v>
      </c>
      <c r="AC8" s="7"/>
      <c r="AD8" s="7"/>
      <c r="AE8" s="7" t="s">
        <v>46</v>
      </c>
      <c r="AF8" s="7"/>
      <c r="AG8" s="7"/>
      <c r="AH8" s="7" t="s">
        <v>47</v>
      </c>
      <c r="AI8" s="7"/>
      <c r="AJ8" s="7"/>
      <c r="AK8" s="7" t="s">
        <v>48</v>
      </c>
      <c r="AL8" s="7"/>
      <c r="AM8" s="7"/>
      <c r="AN8" s="7" t="s">
        <v>49</v>
      </c>
      <c r="AO8" s="7"/>
      <c r="AP8" s="7"/>
      <c r="AQ8" s="7" t="s">
        <v>50</v>
      </c>
      <c r="AR8" s="7"/>
      <c r="AS8" s="7"/>
      <c r="AT8" s="7" t="s">
        <v>51</v>
      </c>
      <c r="AU8" s="7"/>
      <c r="AV8" s="7"/>
      <c r="AW8" s="7" t="s">
        <v>52</v>
      </c>
      <c r="AX8" s="7"/>
      <c r="AY8" s="7"/>
      <c r="AZ8" s="7" t="s">
        <v>53</v>
      </c>
      <c r="BA8" s="7"/>
      <c r="BB8" s="7"/>
      <c r="BC8" s="7" t="s">
        <v>54</v>
      </c>
      <c r="BD8" s="7"/>
      <c r="BE8" s="7"/>
      <c r="BF8" s="7" t="s">
        <v>55</v>
      </c>
      <c r="BG8" s="7"/>
      <c r="BH8" s="7"/>
      <c r="BI8" s="7" t="s">
        <v>56</v>
      </c>
      <c r="BJ8" s="7"/>
      <c r="BK8" s="7"/>
      <c r="BL8" s="7" t="s">
        <v>57</v>
      </c>
      <c r="BM8" s="7"/>
      <c r="BN8" s="7"/>
      <c r="BO8" s="7" t="s">
        <v>58</v>
      </c>
      <c r="BP8" s="7"/>
      <c r="BQ8" s="7"/>
    </row>
    <row r="9" ht="25" customHeight="1" spans="1:25">
      <c r="A9" s="8" t="s">
        <v>59</v>
      </c>
      <c r="B9" s="9"/>
      <c r="C9" s="10" t="s">
        <v>60</v>
      </c>
      <c r="D9" s="11"/>
      <c r="E9" s="11"/>
      <c r="F9" s="11"/>
      <c r="G9" s="10" t="s">
        <v>61</v>
      </c>
      <c r="H9" s="11"/>
      <c r="I9" s="11"/>
      <c r="J9" s="11"/>
      <c r="K9" s="26" t="s">
        <v>62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31" t="s">
        <v>63</v>
      </c>
      <c r="W9" s="32"/>
      <c r="X9" s="32"/>
      <c r="Y9" s="41"/>
    </row>
    <row r="10" ht="25" customHeight="1" spans="1:25">
      <c r="A10" s="12">
        <v>1</v>
      </c>
      <c r="B10" s="13"/>
      <c r="C10" s="14">
        <v>43705.6259490741</v>
      </c>
      <c r="D10" s="15"/>
      <c r="E10" s="15"/>
      <c r="F10" s="15"/>
      <c r="G10" s="16" t="s">
        <v>64</v>
      </c>
      <c r="H10" s="15"/>
      <c r="I10" s="15"/>
      <c r="J10" s="15"/>
      <c r="K10" s="27" t="s">
        <v>65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33">
        <v>556977.76</v>
      </c>
      <c r="W10" s="34"/>
      <c r="X10" s="34"/>
      <c r="Y10" s="42"/>
    </row>
    <row r="11" ht="25" customHeight="1" spans="1:25">
      <c r="A11" s="17">
        <v>2</v>
      </c>
      <c r="B11" s="18"/>
      <c r="C11" s="19">
        <v>43706.6259490741</v>
      </c>
      <c r="D11" s="20"/>
      <c r="E11" s="20"/>
      <c r="F11" s="20"/>
      <c r="G11" s="21" t="s">
        <v>64</v>
      </c>
      <c r="H11" s="20"/>
      <c r="I11" s="20"/>
      <c r="J11" s="20"/>
      <c r="K11" s="28" t="s">
        <v>66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35">
        <v>173179.93</v>
      </c>
      <c r="W11" s="36"/>
      <c r="X11" s="36"/>
      <c r="Y11" s="43"/>
    </row>
    <row r="12" ht="25" customHeight="1" spans="1:25">
      <c r="A12" s="12">
        <v>3</v>
      </c>
      <c r="B12" s="13"/>
      <c r="C12" s="14">
        <v>43707.6259490741</v>
      </c>
      <c r="D12" s="15"/>
      <c r="E12" s="15"/>
      <c r="F12" s="15"/>
      <c r="G12" s="16" t="s">
        <v>64</v>
      </c>
      <c r="H12" s="15"/>
      <c r="I12" s="15"/>
      <c r="J12" s="15"/>
      <c r="K12" s="27" t="s">
        <v>67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33">
        <v>515674</v>
      </c>
      <c r="W12" s="34"/>
      <c r="X12" s="34"/>
      <c r="Y12" s="42"/>
    </row>
    <row r="13" ht="25" customHeight="1" spans="1:25">
      <c r="A13" s="17">
        <v>4</v>
      </c>
      <c r="B13" s="18"/>
      <c r="C13" s="19">
        <v>43708.6259490741</v>
      </c>
      <c r="D13" s="20"/>
      <c r="E13" s="20"/>
      <c r="F13" s="20"/>
      <c r="G13" s="21" t="s">
        <v>64</v>
      </c>
      <c r="H13" s="20"/>
      <c r="I13" s="20"/>
      <c r="J13" s="20"/>
      <c r="K13" s="29" t="s">
        <v>68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5">
        <v>1416.24</v>
      </c>
      <c r="W13" s="36"/>
      <c r="X13" s="36"/>
      <c r="Y13" s="43"/>
    </row>
    <row r="14" ht="25" customHeight="1" spans="1:25">
      <c r="A14" s="12">
        <v>5</v>
      </c>
      <c r="B14" s="13"/>
      <c r="C14" s="14">
        <v>43709.6259490741</v>
      </c>
      <c r="D14" s="15"/>
      <c r="E14" s="15"/>
      <c r="F14" s="15"/>
      <c r="G14" s="16" t="s">
        <v>64</v>
      </c>
      <c r="H14" s="15"/>
      <c r="I14" s="15"/>
      <c r="J14" s="15"/>
      <c r="K14" s="27" t="s">
        <v>69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33">
        <v>-4188.8</v>
      </c>
      <c r="W14" s="34"/>
      <c r="X14" s="34"/>
      <c r="Y14" s="42"/>
    </row>
    <row r="15" ht="25" customHeight="1" spans="1:25">
      <c r="A15" s="17">
        <v>6</v>
      </c>
      <c r="B15" s="18"/>
      <c r="C15" s="19">
        <v>43710.6259490741</v>
      </c>
      <c r="D15" s="20"/>
      <c r="E15" s="20"/>
      <c r="F15" s="20"/>
      <c r="G15" s="21" t="s">
        <v>64</v>
      </c>
      <c r="H15" s="20"/>
      <c r="I15" s="20"/>
      <c r="J15" s="20"/>
      <c r="K15" s="28" t="s">
        <v>70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35">
        <v>-4682.76</v>
      </c>
      <c r="W15" s="36"/>
      <c r="X15" s="36"/>
      <c r="Y15" s="43"/>
    </row>
    <row r="16" ht="25" customHeight="1" spans="1:25">
      <c r="A16" s="12">
        <v>7</v>
      </c>
      <c r="B16" s="13"/>
      <c r="C16" s="14">
        <v>43711.6259490741</v>
      </c>
      <c r="D16" s="15"/>
      <c r="E16" s="15"/>
      <c r="F16" s="15"/>
      <c r="G16" s="16" t="s">
        <v>64</v>
      </c>
      <c r="H16" s="15"/>
      <c r="I16" s="15"/>
      <c r="J16" s="15"/>
      <c r="K16" s="27" t="s">
        <v>71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33">
        <v>-850.82</v>
      </c>
      <c r="W16" s="34"/>
      <c r="X16" s="34"/>
      <c r="Y16" s="42"/>
    </row>
    <row r="17" ht="25" customHeight="1" spans="1:25">
      <c r="A17" s="17">
        <v>8</v>
      </c>
      <c r="B17" s="18"/>
      <c r="C17" s="19">
        <v>43712.6259490741</v>
      </c>
      <c r="D17" s="20"/>
      <c r="E17" s="20"/>
      <c r="F17" s="20"/>
      <c r="G17" s="21" t="s">
        <v>64</v>
      </c>
      <c r="H17" s="20"/>
      <c r="I17" s="20"/>
      <c r="J17" s="20"/>
      <c r="K17" s="29" t="s">
        <v>72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7">
        <v>-236</v>
      </c>
      <c r="W17" s="38"/>
      <c r="X17" s="38"/>
      <c r="Y17" s="44"/>
    </row>
    <row r="18" ht="25" customHeight="1" spans="1:25">
      <c r="A18" s="12">
        <v>9</v>
      </c>
      <c r="B18" s="13"/>
      <c r="C18" s="14">
        <v>43713.6259490741</v>
      </c>
      <c r="D18" s="15"/>
      <c r="E18" s="15"/>
      <c r="F18" s="15"/>
      <c r="G18" s="16" t="s">
        <v>64</v>
      </c>
      <c r="H18" s="15"/>
      <c r="I18" s="15"/>
      <c r="J18" s="15"/>
      <c r="K18" s="27" t="s">
        <v>73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33">
        <v>-500000</v>
      </c>
      <c r="W18" s="34"/>
      <c r="X18" s="34"/>
      <c r="Y18" s="42"/>
    </row>
    <row r="19" ht="25" customHeight="1" spans="1:25">
      <c r="A19" s="17">
        <v>10</v>
      </c>
      <c r="B19" s="18"/>
      <c r="C19" s="19">
        <v>43714.6259490741</v>
      </c>
      <c r="D19" s="20"/>
      <c r="E19" s="20"/>
      <c r="F19" s="20"/>
      <c r="G19" s="21" t="s">
        <v>64</v>
      </c>
      <c r="H19" s="20"/>
      <c r="I19" s="20"/>
      <c r="J19" s="20"/>
      <c r="K19" s="28" t="s">
        <v>74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35">
        <v>-23800</v>
      </c>
      <c r="W19" s="36"/>
      <c r="X19" s="36"/>
      <c r="Y19" s="43"/>
    </row>
    <row r="20" ht="25" customHeight="1" spans="1:25">
      <c r="A20" s="22"/>
      <c r="B20" s="23"/>
      <c r="C20" s="24"/>
      <c r="D20" s="25"/>
      <c r="E20" s="25"/>
      <c r="F20" s="25"/>
      <c r="G20" s="25"/>
      <c r="H20" s="25"/>
      <c r="I20" s="25"/>
      <c r="J20" s="25"/>
      <c r="K20" s="30" t="s">
        <v>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9">
        <f>SUM(V10:V19)</f>
        <v>713489.55</v>
      </c>
      <c r="W20" s="40"/>
      <c r="X20" s="40"/>
      <c r="Y20" s="45"/>
    </row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</sheetData>
  <mergeCells count="118">
    <mergeCell ref="A1:D1"/>
    <mergeCell ref="E1:H1"/>
    <mergeCell ref="I1:L1"/>
    <mergeCell ref="M1:P1"/>
    <mergeCell ref="A2:D2"/>
    <mergeCell ref="E2:H2"/>
    <mergeCell ref="I2:L2"/>
    <mergeCell ref="M2:P2"/>
    <mergeCell ref="A3:D3"/>
    <mergeCell ref="E3:H3"/>
    <mergeCell ref="I3:L3"/>
    <mergeCell ref="M3:P3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AT8:AV8"/>
    <mergeCell ref="AW8:AY8"/>
    <mergeCell ref="AZ8:BB8"/>
    <mergeCell ref="BC8:BE8"/>
    <mergeCell ref="BF8:BH8"/>
    <mergeCell ref="BI8:BK8"/>
    <mergeCell ref="BL8:BN8"/>
    <mergeCell ref="BO8:BQ8"/>
    <mergeCell ref="A9:B9"/>
    <mergeCell ref="C9:F9"/>
    <mergeCell ref="G9:J9"/>
    <mergeCell ref="K9:U9"/>
    <mergeCell ref="V9:Y9"/>
    <mergeCell ref="A10:B10"/>
    <mergeCell ref="C10:F10"/>
    <mergeCell ref="G10:J10"/>
    <mergeCell ref="K10:U10"/>
    <mergeCell ref="V10:Y10"/>
    <mergeCell ref="A11:B11"/>
    <mergeCell ref="C11:F11"/>
    <mergeCell ref="G11:J11"/>
    <mergeCell ref="K11:U11"/>
    <mergeCell ref="V11:Y11"/>
    <mergeCell ref="A12:B12"/>
    <mergeCell ref="C12:F12"/>
    <mergeCell ref="G12:J12"/>
    <mergeCell ref="K12:U12"/>
    <mergeCell ref="V12:Y12"/>
    <mergeCell ref="A13:B13"/>
    <mergeCell ref="C13:F13"/>
    <mergeCell ref="G13:J13"/>
    <mergeCell ref="K13:U13"/>
    <mergeCell ref="V13:Y13"/>
    <mergeCell ref="A14:B14"/>
    <mergeCell ref="C14:F14"/>
    <mergeCell ref="G14:J14"/>
    <mergeCell ref="K14:U14"/>
    <mergeCell ref="V14:Y14"/>
    <mergeCell ref="A15:B15"/>
    <mergeCell ref="C15:F15"/>
    <mergeCell ref="G15:J15"/>
    <mergeCell ref="K15:U15"/>
    <mergeCell ref="V15:Y15"/>
    <mergeCell ref="A16:B16"/>
    <mergeCell ref="C16:F16"/>
    <mergeCell ref="G16:J16"/>
    <mergeCell ref="K16:U16"/>
    <mergeCell ref="V16:Y16"/>
    <mergeCell ref="A17:B17"/>
    <mergeCell ref="C17:F17"/>
    <mergeCell ref="G17:J17"/>
    <mergeCell ref="K17:U17"/>
    <mergeCell ref="V17:Y17"/>
    <mergeCell ref="A18:B18"/>
    <mergeCell ref="C18:F18"/>
    <mergeCell ref="G18:J18"/>
    <mergeCell ref="K18:U18"/>
    <mergeCell ref="V18:Y18"/>
    <mergeCell ref="A19:B19"/>
    <mergeCell ref="C19:F19"/>
    <mergeCell ref="G19:J19"/>
    <mergeCell ref="K19:U19"/>
    <mergeCell ref="V19:Y19"/>
    <mergeCell ref="C20:F20"/>
    <mergeCell ref="G20:J20"/>
    <mergeCell ref="K20:U20"/>
    <mergeCell ref="V20:Y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公账7288</vt:lpstr>
      <vt:lpstr>私账2388</vt:lpstr>
      <vt:lpstr>微信公</vt:lpstr>
      <vt:lpstr>微信私</vt:lpstr>
      <vt:lpstr>支付宝公</vt:lpstr>
      <vt:lpstr>支付宝私</vt:lpstr>
      <vt:lpstr>现金</vt:lpstr>
      <vt:lpstr>应收账款</vt:lpstr>
      <vt:lpstr>应付账款</vt:lpstr>
      <vt:lpstr>职工工资</vt:lpstr>
      <vt:lpstr>库存商品</vt:lpstr>
      <vt:lpstr>固定资产</vt:lpstr>
      <vt:lpstr>累计折旧</vt:lpstr>
      <vt:lpstr>其他应付款</vt:lpstr>
      <vt:lpstr>其他应收款</vt:lpstr>
      <vt:lpstr>预付账款</vt:lpstr>
      <vt:lpstr>长期应付</vt:lpstr>
      <vt:lpstr>主营业务收入</vt:lpstr>
      <vt:lpstr>主营业务成本</vt:lpstr>
      <vt:lpstr>营业费用</vt:lpstr>
      <vt:lpstr>营业外收入</vt:lpstr>
      <vt:lpstr>营业外支出</vt:lpstr>
      <vt:lpstr>财务费用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2021-03-31T04:22:45Z</dcterms:created>
  <dcterms:modified xsi:type="dcterms:W3CDTF">2021-03-31T08:24:42Z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11A26F03C21D465D94D2D443531FD61C</vt:lpwstr>
  </property>
  <property fmtid="{D5CDD505-2E9C-101B-9397-08002B2CF9AE}" pid="3" name="KSOProductBuildVer">
    <vt:lpwstr>2052-11.1.0.10356</vt:lpwstr>
  </property>
</Properties>
</file>