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3"/>
  </bookViews>
  <sheets>
    <sheet name="成本列表" sheetId="1" r:id="rId1"/>
    <sheet name="查看" sheetId="5" r:id="rId2"/>
    <sheet name="支付" sheetId="6" r:id="rId3"/>
    <sheet name="确认支付" sheetId="7" r:id="rId4"/>
  </sheets>
  <definedNames>
    <definedName name="_xlnm._FilterDatabase" localSheetId="3" hidden="1">确认支付!#REF!</definedName>
  </definedNames>
  <calcPr calcId="144525"/>
</workbook>
</file>

<file path=xl/sharedStrings.xml><?xml version="1.0" encoding="utf-8"?>
<sst xmlns="http://schemas.openxmlformats.org/spreadsheetml/2006/main" count="567" uniqueCount="197">
  <si>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</si>
  <si>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</si>
  <si>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</si>
  <si>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</si>
  <si>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</si>
  <si>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</si>
  <si>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</si>
  <si>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</si>
  <si>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</si>
  <si>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</si>
  <si>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</si>
  <si>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</si>
  <si>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</si>
  <si>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</si>
  <si>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</si>
  <si>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</si>
  <si>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</si>
  <si>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</si>
  <si>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</si>
  <si>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</si>
  <si>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</si>
  <si>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</si>
  <si>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</si>
  <si>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</si>
  <si>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</si>
  <si>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</si>
  <si>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</si>
  <si>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</si>
  <si>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</si>
  <si>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</si>
  <si>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</si>
  <si>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</si>
  <si>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</si>
  <si>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</si>
  <si>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</si>
  <si>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</si>
  <si>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</si>
  <si>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站点/JOB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</si>
  <si>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</si>
  <si>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</si>
  <si>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</si>
  <si>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</si>
  <si>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</si>
  <si>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</si>
  <si>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</si>
  <si>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</si>
  <si>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</si>
  <si>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支付状态</t>
  </si>
  <si>
    <t>审核状态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</si>
  <si>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</si>
  <si>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</si>
  <si>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</si>
  <si>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</si>
  <si>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</si>
  <si>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</si>
  <si>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</si>
  <si>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</si>
  <si>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</si>
  <si>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部份支付</t>
  </si>
  <si>
    <r>
      <rPr>
        <sz val="8"/>
        <color theme="1"/>
        <rFont val="Microsoft JhengHei"/>
        <charset val="134"/>
      </rP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</si>
  <si>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t>支付</t>
  </si>
  <si>
    <t>海珠区站点           JOB100157</t>
  </si>
  <si>
    <t>福田区站点JOB100158</t>
  </si>
  <si>
    <t>特快</t>
  </si>
  <si>
    <t>071-35539265</t>
  </si>
  <si>
    <t>已付</t>
  </si>
  <si>
    <r>
      <rPr>
        <sz val="8"/>
        <color theme="0"/>
        <rFont val="Microsoft JhengHei"/>
        <charset val="134"/>
      </rPr>
      <t>已审核</t>
    </r>
    <r>
      <rPr>
        <sz val="8"/>
        <color theme="0"/>
        <rFont val="Arial"/>
        <charset val="134"/>
      </rPr>
      <t xml:space="preserve">   CANSAMAO             2019/10/25 23:51:17</t>
    </r>
  </si>
  <si>
    <t>查看</t>
  </si>
  <si>
    <t>海珠区站点    JOB100145</t>
  </si>
  <si>
    <t>海珠区站点    JOB100137</t>
  </si>
  <si>
    <t>071-35545580</t>
  </si>
  <si>
    <t>未付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</si>
  <si>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</si>
  <si>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</si>
  <si>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</si>
  <si>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</si>
  <si>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</si>
  <si>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</si>
  <si>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</si>
  <si>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</si>
  <si>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</si>
  <si>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</si>
  <si>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</si>
  <si>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</si>
  <si>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</si>
  <si>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</si>
  <si>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</si>
  <si>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</si>
  <si>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</si>
  <si>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</si>
  <si>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</si>
  <si>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</si>
  <si>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</si>
  <si>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</si>
  <si>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</si>
  <si>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</si>
  <si>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</si>
  <si>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</si>
  <si>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</si>
  <si>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</si>
  <si>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</si>
  <si>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</si>
  <si>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</si>
  <si>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</si>
  <si>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</si>
  <si>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</si>
  <si>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</si>
  <si>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</si>
  <si>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</si>
  <si>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</si>
  <si>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</si>
  <si>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</si>
  <si>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</si>
  <si>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</si>
  <si>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</si>
  <si>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</si>
  <si>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</si>
  <si>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</si>
  <si>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</si>
  <si>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</si>
  <si>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</si>
  <si>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</si>
  <si>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</si>
  <si>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</si>
  <si>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</si>
  <si>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t>订单号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</si>
  <si>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</si>
  <si>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</si>
  <si>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</si>
  <si>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</si>
  <si>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</si>
  <si>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</si>
  <si>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t>供应商</t>
  </si>
  <si>
    <t>项目</t>
  </si>
  <si>
    <t>单价CNY</t>
  </si>
  <si>
    <t>数量</t>
  </si>
  <si>
    <t>小计CNY</t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</si>
  <si>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</si>
  <si>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</si>
  <si>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</si>
  <si>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</si>
  <si>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</si>
  <si>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r>
      <rPr>
        <sz val="8"/>
        <color rgb="FF393939"/>
        <rFont val="Arial"/>
        <charset val="134"/>
      </rPr>
      <t xml:space="preserve">COMPANY ACC 02765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</si>
  <si>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</si>
  <si>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</si>
  <si>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</si>
  <si>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</si>
  <si>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rgb="FF393939"/>
        <rFont val="Arial"/>
        <charset val="134"/>
      </rPr>
      <t xml:space="preserve">WECHAT PAY 02765       2019/8/28 15:01:17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</si>
  <si>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</si>
  <si>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</si>
  <si>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rgb="FF393939"/>
        <rFont val="Arial"/>
        <charset val="134"/>
      </rPr>
      <t xml:space="preserve">COMPANY ACC 02765    2019/8/28 15:01:18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</si>
  <si>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</si>
  <si>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rgb="FF393939"/>
        <rFont val="Arial"/>
        <charset val="134"/>
      </rPr>
      <t xml:space="preserve">WECHAT PAY 02765       2019/8/28 15:01:18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</si>
  <si>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</si>
  <si>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rgb="FF393939"/>
        <rFont val="Arial"/>
        <charset val="134"/>
      </rPr>
      <t xml:space="preserve">COMPANY ACC 02765    2019/8/28 15:01:19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</si>
  <si>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</si>
  <si>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rgb="FF393939"/>
        <rFont val="Arial"/>
        <charset val="134"/>
      </rPr>
      <t xml:space="preserve">WECHAT PAY 02765       2019/8/28 15:01:19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</si>
  <si>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</si>
  <si>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rgb="FF393939"/>
        <rFont val="Arial"/>
        <charset val="134"/>
      </rPr>
      <t xml:space="preserve">COMPANY ACC 02765    2019/8/28 15:01:20  </t>
    </r>
    <r>
      <rPr>
        <sz val="8"/>
        <color rgb="FF0070C0"/>
        <rFont val="宋体"/>
        <charset val="134"/>
      </rPr>
      <t>查看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</si>
  <si>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</si>
  <si>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rgb="FF393939"/>
        <rFont val="Arial"/>
        <charset val="134"/>
      </rPr>
      <t xml:space="preserve">WECHAT PAY 02765   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</si>
  <si>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</si>
  <si>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15:01:21  </t>
    </r>
    <r>
      <rPr>
        <sz val="8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</si>
  <si>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</si>
  <si>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</si>
  <si>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</si>
  <si>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CNY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</si>
  <si>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</t>
    </r>
    <r>
      <rPr>
        <b/>
        <sz val="12"/>
        <color theme="0"/>
        <rFont val="宋体"/>
        <charset val="134"/>
      </rPr>
      <t>提交</t>
    </r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</si>
  <si>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0"/>
        <color rgb="FF0070C0"/>
        <rFont val="宋体"/>
        <charset val="134"/>
      </rPr>
      <t>展开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</si>
  <si>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</t>
    </r>
    <r>
      <rPr>
        <b/>
        <sz val="10"/>
        <color rgb="FF0070C0"/>
        <rFont val="宋体"/>
        <charset val="134"/>
      </rPr>
      <t>展开</t>
    </r>
  </si>
  <si>
    <r>
      <rPr>
        <sz val="9"/>
        <color rgb="FF393939"/>
        <rFont val="宋体"/>
        <charset val="134"/>
      </rPr>
      <t xml:space="preserve">未付  </t>
    </r>
    <r>
      <rPr>
        <b/>
        <sz val="9"/>
        <color rgb="FF0070C0"/>
        <rFont val="Arial"/>
        <charset val="134"/>
      </rPr>
      <t>Pay</t>
    </r>
  </si>
  <si>
    <r>
      <rPr>
        <sz val="9"/>
        <color rgb="FF393939"/>
        <rFont val="宋体"/>
        <charset val="134"/>
      </rPr>
      <t xml:space="preserve">未付  </t>
    </r>
    <r>
      <rPr>
        <b/>
        <sz val="8"/>
        <color rgb="FF0070C0"/>
        <rFont val="宋体"/>
        <charset val="134"/>
      </rPr>
      <t>支付</t>
    </r>
  </si>
  <si>
    <t>确认支付</t>
  </si>
  <si>
    <r>
      <rPr>
        <sz val="9"/>
        <color rgb="FF393939"/>
        <rFont val="宋体"/>
        <charset val="134"/>
      </rPr>
      <t>提单号</t>
    </r>
  </si>
  <si>
    <r>
      <rPr>
        <sz val="9"/>
        <color rgb="FF393939"/>
        <rFont val="宋体"/>
        <charset val="134"/>
      </rPr>
      <t>重量</t>
    </r>
    <r>
      <rPr>
        <sz val="9"/>
        <color rgb="FF393939"/>
        <rFont val="Arial"/>
        <charset val="134"/>
      </rPr>
      <t>KG</t>
    </r>
  </si>
  <si>
    <r>
      <rPr>
        <sz val="9"/>
        <color rgb="FF393939"/>
        <rFont val="宋体"/>
        <charset val="134"/>
      </rPr>
      <t>服务类型</t>
    </r>
  </si>
  <si>
    <r>
      <rPr>
        <sz val="9"/>
        <color rgb="FF393939"/>
        <rFont val="宋体"/>
        <charset val="134"/>
      </rPr>
      <t>普快</t>
    </r>
  </si>
  <si>
    <r>
      <rPr>
        <sz val="9"/>
        <color rgb="FF393939"/>
        <rFont val="宋体"/>
        <charset val="134"/>
      </rPr>
      <t>主管审核状态</t>
    </r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</si>
  <si>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13:14:06</t>
    </r>
  </si>
  <si>
    <r>
      <rPr>
        <sz val="9"/>
        <color rgb="FF393939"/>
        <rFont val="宋体"/>
        <charset val="134"/>
      </rPr>
      <t>财务审核状态</t>
    </r>
  </si>
  <si>
    <r>
      <rPr>
        <sz val="9"/>
        <color rgb="FF393939"/>
        <rFont val="宋体"/>
        <charset val="134"/>
      </rPr>
      <t>已审核</t>
    </r>
    <r>
      <rPr>
        <sz val="9"/>
        <color rgb="FF393939"/>
        <rFont val="Arial"/>
        <charset val="134"/>
      </rPr>
      <t xml:space="preserve"> CANSAMPAO  2019/10/27 13:14:07</t>
    </r>
  </si>
  <si>
    <t>广州喵喵国际货运代理有限公司广州喵喵国际货运代理有限公司</t>
  </si>
  <si>
    <r>
      <rPr>
        <sz val="9"/>
        <color rgb="FF393939"/>
        <rFont val="宋体"/>
        <charset val="134"/>
      </rPr>
      <t>应付金额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</si>
  <si>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实际付款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</si>
  <si>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Microsoft JhengHei"/>
        <charset val="134"/>
      </rPr>
      <t>录入</t>
    </r>
  </si>
  <si>
    <r>
      <rPr>
        <sz val="9"/>
        <color theme="1"/>
        <rFont val="宋体"/>
        <charset val="134"/>
      </rPr>
      <t>收款方名称</t>
    </r>
  </si>
  <si>
    <r>
      <rPr>
        <sz val="9"/>
        <color rgb="FF393939"/>
        <rFont val="宋体"/>
        <charset val="134"/>
      </rPr>
      <t>选择</t>
    </r>
  </si>
  <si>
    <r>
      <rPr>
        <sz val="9"/>
        <color theme="1"/>
        <rFont val="宋体"/>
        <charset val="134"/>
      </rPr>
      <t>收款方银行</t>
    </r>
  </si>
  <si>
    <r>
      <rPr>
        <sz val="9"/>
        <color theme="1"/>
        <rFont val="宋体"/>
        <charset val="134"/>
      </rPr>
      <t>收款方账号</t>
    </r>
  </si>
  <si>
    <r>
      <rPr>
        <sz val="9"/>
        <color rgb="FF393939"/>
        <rFont val="宋体"/>
        <charset val="134"/>
      </rPr>
      <t>支付途径</t>
    </r>
  </si>
  <si>
    <r>
      <rPr>
        <sz val="9"/>
        <color rgb="FF393939"/>
        <rFont val="Microsoft JhengHei"/>
        <charset val="134"/>
      </rPr>
      <t>选择</t>
    </r>
  </si>
  <si>
    <r>
      <rPr>
        <sz val="9"/>
        <color rgb="FF393939"/>
        <rFont val="宋体"/>
        <charset val="134"/>
      </rPr>
      <t>支付凭证</t>
    </r>
  </si>
  <si>
    <r>
      <rPr>
        <sz val="9"/>
        <color rgb="FF393939"/>
        <rFont val="Microsoft JhengHei"/>
        <charset val="134"/>
      </rPr>
      <t>上传凭证</t>
    </r>
  </si>
  <si>
    <r>
      <rPr>
        <sz val="9"/>
        <color rgb="FF393939"/>
        <rFont val="宋体"/>
        <charset val="134"/>
      </rPr>
      <t>支付日期</t>
    </r>
  </si>
  <si>
    <r>
      <rPr>
        <sz val="9"/>
        <color rgb="FF393939"/>
        <rFont val="宋体"/>
        <charset val="134"/>
      </rPr>
      <t>账号</t>
    </r>
  </si>
  <si>
    <t>CANSAMPAO</t>
  </si>
  <si>
    <t>返回 提交</t>
  </si>
</sst>
</file>

<file path=xl/styles.xml><?xml version="1.0" encoding="utf-8"?>
<styleSheet xmlns="http://schemas.openxmlformats.org/spreadsheetml/2006/main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#,##0.00_ "/>
    <numFmt numFmtId="179" formatCode="#,##0_ "/>
    <numFmt numFmtId="180" formatCode="0.0%"/>
    <numFmt numFmtId="181" formatCode="yyyy/m/d\ h:mm;@"/>
    <numFmt numFmtId="182" formatCode="\$#,##0.00;\-\$#,##0.00"/>
  </numFmts>
  <fonts count="6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Arial"/>
      <charset val="134"/>
    </font>
    <font>
      <sz val="9"/>
      <color theme="1"/>
      <name val="宋体"/>
      <charset val="134"/>
    </font>
    <font>
      <sz val="9"/>
      <color rgb="FF393939"/>
      <name val="Microsoft JhengHei"/>
      <charset val="134"/>
    </font>
    <font>
      <sz val="9"/>
      <color theme="1"/>
      <name val="Arial"/>
      <charset val="134"/>
    </font>
    <font>
      <b/>
      <sz val="14"/>
      <color theme="0"/>
      <name val="宋体"/>
      <charset val="134"/>
      <scheme val="minor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Arial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theme="0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sz val="8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70C0"/>
      <name val="宋体"/>
      <charset val="134"/>
    </font>
    <font>
      <b/>
      <sz val="11"/>
      <color rgb="FF0070C0"/>
      <name val="宋体"/>
      <charset val="134"/>
    </font>
    <font>
      <b/>
      <sz val="9"/>
      <color rgb="FF0070C0"/>
      <name val="Arial"/>
      <charset val="134"/>
    </font>
    <font>
      <sz val="8"/>
      <color rgb="FF0070C0"/>
      <name val="宋体"/>
      <charset val="134"/>
    </font>
    <font>
      <b/>
      <sz val="8"/>
      <color rgb="FF0070C0"/>
      <name val="宋体"/>
      <charset val="134"/>
    </font>
    <font>
      <sz val="8"/>
      <color theme="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50" fillId="21" borderId="13" applyNumberFormat="0" applyAlignment="0" applyProtection="0">
      <alignment vertical="center"/>
    </xf>
    <xf numFmtId="0" fontId="51" fillId="21" borderId="9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2" fillId="3" borderId="3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3" borderId="3" xfId="0" applyFont="1" applyFill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0" fillId="5" borderId="3" xfId="0" applyFont="1" applyFill="1" applyBorder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178" fontId="5" fillId="4" borderId="0" xfId="0" applyNumberFormat="1" applyFont="1" applyFill="1" applyAlignment="1">
      <alignment horizontal="center" vertical="center" wrapText="1"/>
    </xf>
    <xf numFmtId="179" fontId="5" fillId="4" borderId="0" xfId="0" applyNumberFormat="1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78" fontId="13" fillId="4" borderId="0" xfId="0" applyNumberFormat="1" applyFont="1" applyFill="1" applyAlignment="1">
      <alignment horizontal="center" vertical="center" wrapText="1"/>
    </xf>
    <xf numFmtId="179" fontId="13" fillId="4" borderId="0" xfId="0" applyNumberFormat="1" applyFont="1" applyFill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horizontal="right" vertical="center" wrapText="1"/>
    </xf>
    <xf numFmtId="0" fontId="17" fillId="3" borderId="0" xfId="0" applyFont="1" applyFill="1" applyBorder="1" applyAlignment="1">
      <alignment horizontal="right"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0" xfId="0" applyFont="1" applyFill="1" applyBorder="1" applyAlignment="1">
      <alignment vertical="center" wrapText="1"/>
    </xf>
    <xf numFmtId="178" fontId="5" fillId="6" borderId="0" xfId="0" applyNumberFormat="1" applyFont="1" applyFill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77" fontId="14" fillId="6" borderId="0" xfId="0" applyNumberFormat="1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7" fontId="5" fillId="4" borderId="0" xfId="0" applyNumberFormat="1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77" fontId="5" fillId="3" borderId="0" xfId="0" applyNumberFormat="1" applyFont="1" applyFill="1" applyAlignment="1">
      <alignment horizontal="center" vertical="center"/>
    </xf>
    <xf numFmtId="0" fontId="17" fillId="3" borderId="3" xfId="0" applyFont="1" applyFill="1" applyBorder="1" applyAlignment="1">
      <alignment vertical="center"/>
    </xf>
    <xf numFmtId="0" fontId="17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14" fillId="6" borderId="0" xfId="0" applyFont="1" applyFill="1" applyBorder="1" applyAlignment="1">
      <alignment horizontal="center" vertical="center" wrapText="1"/>
    </xf>
    <xf numFmtId="10" fontId="5" fillId="4" borderId="0" xfId="0" applyNumberFormat="1" applyFont="1" applyFill="1" applyAlignment="1">
      <alignment horizontal="center" vertical="center" wrapText="1"/>
    </xf>
    <xf numFmtId="10" fontId="5" fillId="4" borderId="0" xfId="0" applyNumberFormat="1" applyFont="1" applyFill="1" applyBorder="1" applyAlignment="1">
      <alignment horizontal="center" vertical="center" wrapText="1"/>
    </xf>
    <xf numFmtId="10" fontId="5" fillId="4" borderId="0" xfId="0" applyNumberFormat="1" applyFont="1" applyFill="1" applyBorder="1" applyAlignment="1">
      <alignment horizontal="center" vertical="center"/>
    </xf>
    <xf numFmtId="180" fontId="5" fillId="4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right" vertical="center" wrapText="1"/>
    </xf>
    <xf numFmtId="0" fontId="17" fillId="3" borderId="0" xfId="0" applyFont="1" applyFill="1" applyAlignment="1">
      <alignment horizontal="right" vertical="center" wrapText="1"/>
    </xf>
    <xf numFmtId="178" fontId="14" fillId="6" borderId="0" xfId="0" applyNumberFormat="1" applyFont="1" applyFill="1" applyAlignment="1">
      <alignment horizontal="center" vertical="center"/>
    </xf>
    <xf numFmtId="178" fontId="14" fillId="6" borderId="0" xfId="0" applyNumberFormat="1" applyFont="1" applyFill="1" applyBorder="1" applyAlignment="1">
      <alignment horizontal="center" vertical="center"/>
    </xf>
    <xf numFmtId="178" fontId="22" fillId="6" borderId="0" xfId="0" applyNumberFormat="1" applyFont="1" applyFill="1" applyBorder="1" applyAlignment="1">
      <alignment horizontal="center" vertical="center" wrapText="1"/>
    </xf>
    <xf numFmtId="178" fontId="14" fillId="6" borderId="0" xfId="0" applyNumberFormat="1" applyFont="1" applyFill="1" applyBorder="1" applyAlignment="1">
      <alignment horizontal="left" vertical="center" wrapText="1"/>
    </xf>
    <xf numFmtId="178" fontId="5" fillId="4" borderId="0" xfId="0" applyNumberFormat="1" applyFont="1" applyFill="1" applyAlignment="1">
      <alignment horizontal="center" vertical="center"/>
    </xf>
    <xf numFmtId="178" fontId="5" fillId="4" borderId="0" xfId="0" applyNumberFormat="1" applyFont="1" applyFill="1" applyBorder="1" applyAlignment="1">
      <alignment horizontal="center" vertical="center"/>
    </xf>
    <xf numFmtId="178" fontId="2" fillId="4" borderId="0" xfId="0" applyNumberFormat="1" applyFont="1" applyFill="1" applyBorder="1" applyAlignment="1">
      <alignment horizontal="center" vertical="center" wrapText="1"/>
    </xf>
    <xf numFmtId="178" fontId="23" fillId="4" borderId="0" xfId="0" applyNumberFormat="1" applyFont="1" applyFill="1" applyAlignment="1">
      <alignment horizontal="center" vertical="center" wrapText="1"/>
    </xf>
    <xf numFmtId="178" fontId="5" fillId="3" borderId="0" xfId="0" applyNumberFormat="1" applyFont="1" applyFill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178" fontId="2" fillId="3" borderId="0" xfId="0" applyNumberFormat="1" applyFont="1" applyFill="1" applyBorder="1" applyAlignment="1">
      <alignment horizontal="center" vertical="center" wrapText="1"/>
    </xf>
    <xf numFmtId="178" fontId="23" fillId="3" borderId="0" xfId="0" applyNumberFormat="1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4" fillId="3" borderId="0" xfId="0" applyNumberFormat="1" applyFont="1" applyFill="1" applyAlignment="1">
      <alignment vertical="center" wrapText="1"/>
    </xf>
    <xf numFmtId="178" fontId="24" fillId="3" borderId="0" xfId="0" applyNumberFormat="1" applyFont="1" applyFill="1" applyAlignment="1">
      <alignment horizontal="right" vertical="center" wrapText="1"/>
    </xf>
    <xf numFmtId="178" fontId="15" fillId="3" borderId="0" xfId="0" applyNumberFormat="1" applyFont="1" applyFill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5" fillId="5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horizontal="center" vertical="center" wrapText="1"/>
    </xf>
    <xf numFmtId="10" fontId="5" fillId="4" borderId="0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10" fontId="5" fillId="4" borderId="0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1" fillId="6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right" vertical="center" wrapText="1"/>
    </xf>
    <xf numFmtId="0" fontId="15" fillId="3" borderId="4" xfId="0" applyFont="1" applyFill="1" applyBorder="1" applyAlignment="1">
      <alignment horizontal="right" vertical="center" wrapText="1"/>
    </xf>
    <xf numFmtId="0" fontId="5" fillId="6" borderId="4" xfId="0" applyFont="1" applyFill="1" applyBorder="1" applyAlignment="1">
      <alignment vertical="center"/>
    </xf>
    <xf numFmtId="0" fontId="24" fillId="3" borderId="0" xfId="0" applyFont="1" applyFill="1" applyAlignment="1">
      <alignment horizontal="right" vertical="center" wrapText="1"/>
    </xf>
    <xf numFmtId="0" fontId="19" fillId="3" borderId="4" xfId="0" applyFont="1" applyFill="1" applyBorder="1" applyAlignment="1">
      <alignment horizontal="left" vertical="center" wrapText="1"/>
    </xf>
    <xf numFmtId="178" fontId="14" fillId="6" borderId="0" xfId="0" applyNumberFormat="1" applyFont="1" applyFill="1" applyAlignment="1">
      <alignment horizontal="center" vertical="center" wrapText="1"/>
    </xf>
    <xf numFmtId="178" fontId="14" fillId="6" borderId="4" xfId="0" applyNumberFormat="1" applyFont="1" applyFill="1" applyBorder="1" applyAlignment="1">
      <alignment horizontal="center" vertical="center" wrapText="1"/>
    </xf>
    <xf numFmtId="181" fontId="26" fillId="4" borderId="0" xfId="0" applyNumberFormat="1" applyFont="1" applyFill="1" applyAlignment="1">
      <alignment horizontal="center" vertical="center" wrapText="1"/>
    </xf>
    <xf numFmtId="178" fontId="27" fillId="4" borderId="0" xfId="0" applyNumberFormat="1" applyFont="1" applyFill="1" applyAlignment="1">
      <alignment horizontal="center" vertical="center" wrapText="1"/>
    </xf>
    <xf numFmtId="178" fontId="27" fillId="4" borderId="4" xfId="0" applyNumberFormat="1" applyFont="1" applyFill="1" applyBorder="1" applyAlignment="1">
      <alignment horizontal="center" vertical="center" wrapText="1"/>
    </xf>
    <xf numFmtId="181" fontId="26" fillId="3" borderId="0" xfId="0" applyNumberFormat="1" applyFont="1" applyFill="1" applyAlignment="1">
      <alignment horizontal="center" vertical="center" wrapText="1"/>
    </xf>
    <xf numFmtId="178" fontId="27" fillId="3" borderId="0" xfId="0" applyNumberFormat="1" applyFont="1" applyFill="1" applyAlignment="1">
      <alignment horizontal="center" vertical="center" wrapText="1"/>
    </xf>
    <xf numFmtId="178" fontId="27" fillId="3" borderId="4" xfId="0" applyNumberFormat="1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177" fontId="13" fillId="3" borderId="3" xfId="0" applyNumberFormat="1" applyFont="1" applyFill="1" applyBorder="1" applyAlignment="1">
      <alignment horizontal="center" vertical="center"/>
    </xf>
    <xf numFmtId="177" fontId="13" fillId="3" borderId="0" xfId="0" applyNumberFormat="1" applyFont="1" applyFill="1" applyBorder="1" applyAlignment="1">
      <alignment horizontal="center" vertical="center"/>
    </xf>
    <xf numFmtId="177" fontId="13" fillId="3" borderId="0" xfId="0" applyNumberFormat="1" applyFont="1" applyFill="1" applyAlignment="1">
      <alignment horizontal="center" vertical="center"/>
    </xf>
    <xf numFmtId="177" fontId="14" fillId="3" borderId="3" xfId="0" applyNumberFormat="1" applyFont="1" applyFill="1" applyBorder="1" applyAlignment="1">
      <alignment horizontal="center" vertical="center" wrapText="1"/>
    </xf>
    <xf numFmtId="177" fontId="5" fillId="4" borderId="0" xfId="0" applyNumberFormat="1" applyFont="1" applyFill="1" applyBorder="1" applyAlignment="1">
      <alignment horizontal="center" vertical="center"/>
    </xf>
    <xf numFmtId="178" fontId="10" fillId="4" borderId="0" xfId="0" applyNumberFormat="1" applyFont="1" applyFill="1" applyBorder="1" applyAlignment="1">
      <alignment horizontal="center" vertical="center"/>
    </xf>
    <xf numFmtId="177" fontId="13" fillId="3" borderId="3" xfId="0" applyNumberFormat="1" applyFont="1" applyFill="1" applyBorder="1" applyAlignment="1">
      <alignment horizontal="center" vertical="center" wrapText="1"/>
    </xf>
    <xf numFmtId="177" fontId="13" fillId="6" borderId="3" xfId="0" applyNumberFormat="1" applyFont="1" applyFill="1" applyBorder="1" applyAlignment="1">
      <alignment horizontal="center" vertical="center" wrapText="1"/>
    </xf>
    <xf numFmtId="177" fontId="5" fillId="6" borderId="0" xfId="0" applyNumberFormat="1" applyFont="1" applyFill="1" applyBorder="1" applyAlignment="1">
      <alignment horizontal="center" vertical="center"/>
    </xf>
    <xf numFmtId="177" fontId="5" fillId="6" borderId="0" xfId="0" applyNumberFormat="1" applyFont="1" applyFill="1" applyAlignment="1">
      <alignment horizontal="center" vertical="center"/>
    </xf>
    <xf numFmtId="178" fontId="10" fillId="6" borderId="0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7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Border="1" applyAlignment="1">
      <alignment vertical="center" wrapText="1"/>
    </xf>
    <xf numFmtId="177" fontId="14" fillId="3" borderId="3" xfId="0" applyNumberFormat="1" applyFont="1" applyFill="1" applyBorder="1" applyAlignment="1">
      <alignment horizontal="center" vertical="center"/>
    </xf>
    <xf numFmtId="177" fontId="14" fillId="3" borderId="0" xfId="0" applyNumberFormat="1" applyFont="1" applyFill="1" applyBorder="1" applyAlignment="1">
      <alignment horizontal="center" vertical="center"/>
    </xf>
    <xf numFmtId="177" fontId="14" fillId="3" borderId="0" xfId="0" applyNumberFormat="1" applyFont="1" applyFill="1" applyAlignment="1">
      <alignment horizontal="center" vertical="center"/>
    </xf>
    <xf numFmtId="182" fontId="13" fillId="3" borderId="0" xfId="0" applyNumberFormat="1" applyFont="1" applyFill="1" applyAlignment="1">
      <alignment horizontal="center" vertical="center" wrapText="1"/>
    </xf>
    <xf numFmtId="178" fontId="14" fillId="6" borderId="0" xfId="0" applyNumberFormat="1" applyFont="1" applyFill="1" applyBorder="1" applyAlignment="1">
      <alignment horizontal="center" vertical="center" wrapText="1"/>
    </xf>
    <xf numFmtId="177" fontId="13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6" borderId="4" xfId="0" applyNumberFormat="1" applyFont="1" applyFill="1" applyBorder="1" applyAlignment="1">
      <alignment horizontal="center" vertical="center"/>
    </xf>
    <xf numFmtId="7" fontId="13" fillId="3" borderId="4" xfId="0" applyNumberFormat="1" applyFont="1" applyFill="1" applyBorder="1" applyAlignment="1">
      <alignment horizontal="center" vertical="center" wrapText="1"/>
    </xf>
    <xf numFmtId="177" fontId="14" fillId="3" borderId="4" xfId="0" applyNumberFormat="1" applyFont="1" applyFill="1" applyBorder="1" applyAlignment="1">
      <alignment horizontal="center" vertical="center"/>
    </xf>
    <xf numFmtId="182" fontId="13" fillId="3" borderId="4" xfId="0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0" fillId="0" borderId="0" xfId="0" applyFont="1">
      <alignment vertical="center"/>
    </xf>
    <xf numFmtId="0" fontId="29" fillId="7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33" fillId="11" borderId="0" xfId="0" applyFont="1" applyFill="1" applyBorder="1" applyAlignment="1">
      <alignment horizontal="center" vertical="center" wrapText="1"/>
    </xf>
    <xf numFmtId="0" fontId="33" fillId="11" borderId="0" xfId="0" applyFont="1" applyFill="1" applyBorder="1" applyAlignment="1">
      <alignment horizontal="center" vertical="center"/>
    </xf>
    <xf numFmtId="0" fontId="34" fillId="11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 wrapText="1"/>
    </xf>
    <xf numFmtId="22" fontId="10" fillId="3" borderId="4" xfId="0" applyNumberFormat="1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 wrapText="1"/>
    </xf>
    <xf numFmtId="176" fontId="33" fillId="11" borderId="0" xfId="0" applyNumberFormat="1" applyFont="1" applyFill="1" applyBorder="1" applyAlignment="1">
      <alignment horizontal="center" vertical="center"/>
    </xf>
    <xf numFmtId="4" fontId="33" fillId="11" borderId="0" xfId="0" applyNumberFormat="1" applyFont="1" applyFill="1" applyBorder="1" applyAlignment="1">
      <alignment horizontal="center" vertical="center"/>
    </xf>
    <xf numFmtId="0" fontId="37" fillId="11" borderId="0" xfId="0" applyFont="1" applyFill="1" applyBorder="1" applyAlignment="1">
      <alignment horizontal="center" vertical="center" wrapText="1"/>
    </xf>
    <xf numFmtId="22" fontId="33" fillId="11" borderId="4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0" fontId="35" fillId="3" borderId="0" xfId="0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/>
    </xf>
    <xf numFmtId="4" fontId="4" fillId="4" borderId="0" xfId="0" applyNumberFormat="1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horizontal="center" vertical="center" wrapText="1"/>
    </xf>
    <xf numFmtId="22" fontId="10" fillId="4" borderId="4" xfId="0" applyNumberFormat="1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opLeftCell="A16" workbookViewId="0">
      <selection activeCell="N13" sqref="N13"/>
    </sheetView>
  </sheetViews>
  <sheetFormatPr defaultColWidth="9" defaultRowHeight="13.5"/>
  <cols>
    <col min="1" max="1" width="7.375" style="153" customWidth="1"/>
    <col min="2" max="2" width="15.625" style="153" customWidth="1"/>
    <col min="3" max="3" width="20.625" style="153" customWidth="1"/>
    <col min="4" max="5" width="15.625" style="153" customWidth="1"/>
    <col min="6" max="6" width="20.625" style="153" customWidth="1"/>
    <col min="7" max="12" width="15.625" style="153" customWidth="1"/>
    <col min="13" max="13" width="20.625" style="153" customWidth="1"/>
    <col min="14" max="15" width="15.625" style="153" customWidth="1"/>
    <col min="16" max="16384" width="9" style="153"/>
  </cols>
  <sheetData>
    <row r="1" s="153" customFormat="1" ht="30" customHeight="1" spans="1:5">
      <c r="A1" s="157" t="s">
        <v>0</v>
      </c>
      <c r="B1" s="158" t="s">
        <v>1</v>
      </c>
      <c r="C1" s="159" t="s">
        <v>2</v>
      </c>
      <c r="D1" s="159" t="s">
        <v>3</v>
      </c>
      <c r="E1" s="160" t="s">
        <v>4</v>
      </c>
    </row>
    <row r="2" s="153" customFormat="1" ht="30" customHeight="1" spans="1:12">
      <c r="A2" s="158" t="s">
        <v>0</v>
      </c>
      <c r="B2" s="161" t="s">
        <v>5</v>
      </c>
      <c r="C2" s="158" t="s">
        <v>6</v>
      </c>
      <c r="D2" s="158" t="s">
        <v>7</v>
      </c>
      <c r="E2" s="158" t="s">
        <v>8</v>
      </c>
      <c r="H2" s="162"/>
      <c r="I2" s="162"/>
      <c r="K2" s="162"/>
      <c r="L2" s="162"/>
    </row>
    <row r="3" s="153" customFormat="1" ht="30" customHeight="1" spans="1:12">
      <c r="A3" s="163" t="s">
        <v>0</v>
      </c>
      <c r="B3" s="158" t="s">
        <v>9</v>
      </c>
      <c r="C3" s="158" t="s">
        <v>10</v>
      </c>
      <c r="D3" s="158" t="s">
        <v>11</v>
      </c>
      <c r="E3" s="158" t="s">
        <v>12</v>
      </c>
      <c r="H3" s="162"/>
      <c r="I3" s="162"/>
      <c r="K3" s="162"/>
      <c r="L3" s="162"/>
    </row>
    <row r="4" s="153" customFormat="1" ht="30" customHeight="1" spans="1:12">
      <c r="A4" s="162"/>
      <c r="B4" s="162"/>
      <c r="C4" s="162"/>
      <c r="D4" s="162"/>
      <c r="E4" s="162"/>
      <c r="F4" s="162"/>
      <c r="G4" s="162"/>
      <c r="H4" s="162"/>
      <c r="I4" s="162"/>
      <c r="K4" s="162"/>
      <c r="L4" s="162"/>
    </row>
    <row r="5" s="154" customFormat="1" ht="30" customHeight="1" spans="1:16380">
      <c r="A5" s="164" t="s">
        <v>13</v>
      </c>
      <c r="B5" s="165" t="s">
        <v>14</v>
      </c>
      <c r="C5" s="165" t="s">
        <v>15</v>
      </c>
      <c r="D5" s="165" t="s">
        <v>16</v>
      </c>
      <c r="E5" s="165" t="s">
        <v>17</v>
      </c>
      <c r="F5" s="165" t="s">
        <v>18</v>
      </c>
      <c r="G5" s="165" t="s">
        <v>19</v>
      </c>
      <c r="H5" s="165" t="s">
        <v>20</v>
      </c>
      <c r="I5" s="165" t="s">
        <v>21</v>
      </c>
      <c r="J5" s="165" t="s">
        <v>22</v>
      </c>
      <c r="K5" s="165" t="s">
        <v>23</v>
      </c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55" customFormat="1" ht="30" customHeight="1" spans="1:11">
      <c r="A6" s="164" t="s">
        <v>24</v>
      </c>
      <c r="B6" s="165" t="s">
        <v>25</v>
      </c>
      <c r="C6" s="165" t="s">
        <v>26</v>
      </c>
      <c r="D6" s="165" t="s">
        <v>27</v>
      </c>
      <c r="E6" s="165" t="s">
        <v>28</v>
      </c>
      <c r="F6" s="165" t="s">
        <v>29</v>
      </c>
      <c r="G6" s="165" t="s">
        <v>30</v>
      </c>
      <c r="H6" s="165" t="s">
        <v>31</v>
      </c>
      <c r="I6" s="165" t="s">
        <v>32</v>
      </c>
      <c r="J6" s="165" t="s">
        <v>33</v>
      </c>
      <c r="K6" s="165" t="s">
        <v>34</v>
      </c>
    </row>
    <row r="7" s="153" customFormat="1" ht="30" customHeight="1" spans="1:12">
      <c r="A7" s="166" t="s">
        <v>35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</row>
    <row r="8" ht="30" customHeight="1" spans="1:15">
      <c r="A8" s="167" t="s">
        <v>36</v>
      </c>
      <c r="B8" s="168" t="s">
        <v>37</v>
      </c>
      <c r="C8" s="168" t="s">
        <v>38</v>
      </c>
      <c r="D8" s="168" t="s">
        <v>39</v>
      </c>
      <c r="E8" s="168" t="s">
        <v>40</v>
      </c>
      <c r="F8" s="168" t="s">
        <v>41</v>
      </c>
      <c r="G8" s="168" t="s">
        <v>42</v>
      </c>
      <c r="H8" s="168" t="s">
        <v>43</v>
      </c>
      <c r="I8" s="168" t="s">
        <v>44</v>
      </c>
      <c r="J8" s="168" t="s">
        <v>45</v>
      </c>
      <c r="K8" s="168" t="s">
        <v>46</v>
      </c>
      <c r="L8" s="168" t="s">
        <v>47</v>
      </c>
      <c r="M8" s="168" t="s">
        <v>48</v>
      </c>
      <c r="N8" s="168" t="s">
        <v>49</v>
      </c>
      <c r="O8" s="190" t="s">
        <v>50</v>
      </c>
    </row>
    <row r="9" s="156" customFormat="1" ht="35" customHeight="1" spans="1:15">
      <c r="A9" s="169">
        <v>1</v>
      </c>
      <c r="B9" s="170" t="s">
        <v>51</v>
      </c>
      <c r="C9" s="171" t="s">
        <v>52</v>
      </c>
      <c r="D9" s="172" t="s">
        <v>53</v>
      </c>
      <c r="E9" s="172" t="s">
        <v>54</v>
      </c>
      <c r="F9" s="173" t="s">
        <v>55</v>
      </c>
      <c r="G9" s="172" t="s">
        <v>56</v>
      </c>
      <c r="H9" s="172" t="s">
        <v>57</v>
      </c>
      <c r="I9" s="191">
        <v>20</v>
      </c>
      <c r="J9" s="172">
        <v>10</v>
      </c>
      <c r="K9" s="192">
        <v>1000000</v>
      </c>
      <c r="L9" s="192" t="s">
        <v>58</v>
      </c>
      <c r="M9" s="193" t="s">
        <v>59</v>
      </c>
      <c r="N9" s="171" t="s">
        <v>60</v>
      </c>
      <c r="O9" s="194">
        <v>43763.9939467593</v>
      </c>
    </row>
    <row r="10" s="156" customFormat="1" ht="35" customHeight="1" spans="1:15">
      <c r="A10" s="169"/>
      <c r="B10" s="170" t="s">
        <v>61</v>
      </c>
      <c r="C10" s="171"/>
      <c r="D10" s="172"/>
      <c r="E10" s="172"/>
      <c r="F10" s="173"/>
      <c r="G10" s="172"/>
      <c r="H10" s="172"/>
      <c r="I10" s="191">
        <v>21</v>
      </c>
      <c r="J10" s="172">
        <v>11</v>
      </c>
      <c r="K10" s="192"/>
      <c r="L10" s="192"/>
      <c r="M10" s="195"/>
      <c r="N10" s="171"/>
      <c r="O10" s="194"/>
    </row>
    <row r="11" s="156" customFormat="1" ht="35" customHeight="1" spans="1:15">
      <c r="A11" s="169"/>
      <c r="B11" s="170" t="s">
        <v>62</v>
      </c>
      <c r="C11" s="171"/>
      <c r="D11" s="172"/>
      <c r="E11" s="172"/>
      <c r="F11" s="173"/>
      <c r="G11" s="172"/>
      <c r="H11" s="172"/>
      <c r="I11" s="191">
        <v>22</v>
      </c>
      <c r="J11" s="172">
        <v>12</v>
      </c>
      <c r="K11" s="192"/>
      <c r="L11" s="192"/>
      <c r="M11" s="195"/>
      <c r="N11" s="171"/>
      <c r="O11" s="194"/>
    </row>
    <row r="12" s="156" customFormat="1" ht="35" customHeight="1" spans="1:15">
      <c r="A12" s="174">
        <v>2</v>
      </c>
      <c r="B12" s="175" t="s">
        <v>51</v>
      </c>
      <c r="C12" s="176" t="s">
        <v>52</v>
      </c>
      <c r="D12" s="176" t="s">
        <v>63</v>
      </c>
      <c r="E12" s="176" t="s">
        <v>54</v>
      </c>
      <c r="F12" s="177" t="s">
        <v>64</v>
      </c>
      <c r="G12" s="176" t="s">
        <v>56</v>
      </c>
      <c r="H12" s="176" t="s">
        <v>57</v>
      </c>
      <c r="I12" s="196">
        <v>21</v>
      </c>
      <c r="J12" s="176">
        <v>11</v>
      </c>
      <c r="K12" s="197">
        <v>50000</v>
      </c>
      <c r="L12" s="197" t="s">
        <v>65</v>
      </c>
      <c r="M12" s="198" t="s">
        <v>66</v>
      </c>
      <c r="N12" s="176" t="s">
        <v>67</v>
      </c>
      <c r="O12" s="199">
        <v>43764.9939467593</v>
      </c>
    </row>
    <row r="13" s="156" customFormat="1" ht="35" customHeight="1" spans="1:15">
      <c r="A13" s="169">
        <v>3</v>
      </c>
      <c r="B13" s="178" t="s">
        <v>68</v>
      </c>
      <c r="C13" s="179" t="s">
        <v>52</v>
      </c>
      <c r="D13" s="180" t="s">
        <v>63</v>
      </c>
      <c r="E13" s="180" t="s">
        <v>54</v>
      </c>
      <c r="F13" s="181" t="s">
        <v>55</v>
      </c>
      <c r="G13" s="180" t="s">
        <v>56</v>
      </c>
      <c r="H13" s="180" t="s">
        <v>57</v>
      </c>
      <c r="I13" s="200">
        <v>22</v>
      </c>
      <c r="J13" s="180">
        <v>12</v>
      </c>
      <c r="K13" s="180"/>
      <c r="L13" s="180" t="s">
        <v>65</v>
      </c>
      <c r="M13" s="201" t="s">
        <v>59</v>
      </c>
      <c r="N13" s="179" t="s">
        <v>67</v>
      </c>
      <c r="O13" s="194">
        <v>43765.9939467593</v>
      </c>
    </row>
    <row r="14" s="156" customFormat="1" ht="35" customHeight="1" spans="1:15">
      <c r="A14" s="182">
        <v>4</v>
      </c>
      <c r="B14" s="183" t="s">
        <v>69</v>
      </c>
      <c r="C14" s="184" t="s">
        <v>52</v>
      </c>
      <c r="D14" s="185" t="s">
        <v>63</v>
      </c>
      <c r="E14" s="185" t="s">
        <v>54</v>
      </c>
      <c r="F14" s="186" t="s">
        <v>70</v>
      </c>
      <c r="G14" s="185" t="s">
        <v>56</v>
      </c>
      <c r="H14" s="185" t="s">
        <v>57</v>
      </c>
      <c r="I14" s="202">
        <v>23</v>
      </c>
      <c r="J14" s="185">
        <v>13</v>
      </c>
      <c r="K14" s="185"/>
      <c r="L14" s="203" t="s">
        <v>71</v>
      </c>
      <c r="M14" s="204" t="s">
        <v>59</v>
      </c>
      <c r="N14" s="184" t="s">
        <v>60</v>
      </c>
      <c r="O14" s="205">
        <v>43766.9939467593</v>
      </c>
    </row>
    <row r="15" s="156" customFormat="1" ht="35" customHeight="1" spans="1:15">
      <c r="A15" s="169">
        <v>5</v>
      </c>
      <c r="B15" s="178" t="s">
        <v>62</v>
      </c>
      <c r="C15" s="179" t="s">
        <v>52</v>
      </c>
      <c r="D15" s="180" t="s">
        <v>63</v>
      </c>
      <c r="E15" s="180" t="s">
        <v>54</v>
      </c>
      <c r="F15" s="181" t="s">
        <v>70</v>
      </c>
      <c r="G15" s="180" t="s">
        <v>72</v>
      </c>
      <c r="H15" s="180" t="s">
        <v>57</v>
      </c>
      <c r="I15" s="200">
        <v>24</v>
      </c>
      <c r="J15" s="180">
        <v>29</v>
      </c>
      <c r="K15" s="180"/>
      <c r="L15" s="180" t="s">
        <v>71</v>
      </c>
      <c r="M15" s="201" t="s">
        <v>59</v>
      </c>
      <c r="N15" s="179" t="s">
        <v>60</v>
      </c>
      <c r="O15" s="194">
        <v>43767.9939467593</v>
      </c>
    </row>
    <row r="16" s="156" customFormat="1" ht="35" customHeight="1" spans="1:15">
      <c r="A16" s="182">
        <v>6</v>
      </c>
      <c r="B16" s="183" t="s">
        <v>73</v>
      </c>
      <c r="C16" s="184" t="s">
        <v>52</v>
      </c>
      <c r="D16" s="185" t="s">
        <v>63</v>
      </c>
      <c r="E16" s="185" t="s">
        <v>54</v>
      </c>
      <c r="F16" s="186" t="s">
        <v>64</v>
      </c>
      <c r="G16" s="185" t="s">
        <v>56</v>
      </c>
      <c r="H16" s="185" t="s">
        <v>57</v>
      </c>
      <c r="I16" s="202">
        <v>25</v>
      </c>
      <c r="J16" s="185">
        <v>30</v>
      </c>
      <c r="K16" s="185"/>
      <c r="L16" s="203" t="s">
        <v>71</v>
      </c>
      <c r="M16" s="204" t="s">
        <v>59</v>
      </c>
      <c r="N16" s="184" t="s">
        <v>60</v>
      </c>
      <c r="O16" s="205">
        <v>43768.9939467593</v>
      </c>
    </row>
    <row r="17" s="156" customFormat="1" ht="35" customHeight="1" spans="1:15">
      <c r="A17" s="169">
        <v>7</v>
      </c>
      <c r="B17" s="178" t="s">
        <v>74</v>
      </c>
      <c r="C17" s="179" t="s">
        <v>52</v>
      </c>
      <c r="D17" s="180" t="s">
        <v>63</v>
      </c>
      <c r="E17" s="180" t="s">
        <v>54</v>
      </c>
      <c r="F17" s="181" t="s">
        <v>55</v>
      </c>
      <c r="G17" s="180" t="s">
        <v>72</v>
      </c>
      <c r="H17" s="180" t="s">
        <v>75</v>
      </c>
      <c r="I17" s="200">
        <v>26</v>
      </c>
      <c r="J17" s="180">
        <v>31</v>
      </c>
      <c r="K17" s="180"/>
      <c r="L17" s="180" t="s">
        <v>71</v>
      </c>
      <c r="M17" s="201" t="s">
        <v>59</v>
      </c>
      <c r="N17" s="179" t="s">
        <v>60</v>
      </c>
      <c r="O17" s="194">
        <v>43769.9939467593</v>
      </c>
    </row>
    <row r="18" s="156" customFormat="1" ht="35" customHeight="1" spans="1:15">
      <c r="A18" s="182">
        <v>8</v>
      </c>
      <c r="B18" s="183" t="s">
        <v>76</v>
      </c>
      <c r="C18" s="184" t="s">
        <v>52</v>
      </c>
      <c r="D18" s="185" t="s">
        <v>63</v>
      </c>
      <c r="E18" s="185" t="s">
        <v>54</v>
      </c>
      <c r="F18" s="186" t="s">
        <v>70</v>
      </c>
      <c r="G18" s="185" t="s">
        <v>72</v>
      </c>
      <c r="H18" s="185" t="s">
        <v>75</v>
      </c>
      <c r="I18" s="202">
        <v>27</v>
      </c>
      <c r="J18" s="185">
        <v>32</v>
      </c>
      <c r="K18" s="185"/>
      <c r="L18" s="203" t="s">
        <v>71</v>
      </c>
      <c r="M18" s="204" t="s">
        <v>59</v>
      </c>
      <c r="N18" s="184" t="s">
        <v>60</v>
      </c>
      <c r="O18" s="205">
        <v>43770.9939467593</v>
      </c>
    </row>
    <row r="19" s="156" customFormat="1" ht="35" customHeight="1" spans="1:15">
      <c r="A19" s="169">
        <v>9</v>
      </c>
      <c r="B19" s="178" t="s">
        <v>77</v>
      </c>
      <c r="C19" s="179" t="s">
        <v>52</v>
      </c>
      <c r="D19" s="180" t="s">
        <v>63</v>
      </c>
      <c r="E19" s="180" t="s">
        <v>54</v>
      </c>
      <c r="F19" s="181" t="s">
        <v>70</v>
      </c>
      <c r="G19" s="180" t="s">
        <v>72</v>
      </c>
      <c r="H19" s="180" t="s">
        <v>75</v>
      </c>
      <c r="I19" s="200">
        <v>28</v>
      </c>
      <c r="J19" s="180">
        <v>33</v>
      </c>
      <c r="K19" s="180"/>
      <c r="L19" s="180" t="s">
        <v>71</v>
      </c>
      <c r="M19" s="201" t="s">
        <v>59</v>
      </c>
      <c r="N19" s="179" t="s">
        <v>60</v>
      </c>
      <c r="O19" s="194">
        <v>43771.9939467593</v>
      </c>
    </row>
    <row r="20" s="156" customFormat="1" ht="35" customHeight="1" spans="1:15">
      <c r="A20" s="182">
        <v>10</v>
      </c>
      <c r="B20" s="183" t="s">
        <v>78</v>
      </c>
      <c r="C20" s="184" t="s">
        <v>52</v>
      </c>
      <c r="D20" s="185" t="s">
        <v>63</v>
      </c>
      <c r="E20" s="185" t="s">
        <v>54</v>
      </c>
      <c r="F20" s="186" t="s">
        <v>64</v>
      </c>
      <c r="G20" s="185" t="s">
        <v>72</v>
      </c>
      <c r="H20" s="185" t="s">
        <v>75</v>
      </c>
      <c r="I20" s="202">
        <v>29</v>
      </c>
      <c r="J20" s="185">
        <v>19</v>
      </c>
      <c r="K20" s="185"/>
      <c r="L20" s="203" t="s">
        <v>71</v>
      </c>
      <c r="M20" s="204" t="s">
        <v>59</v>
      </c>
      <c r="N20" s="184" t="s">
        <v>60</v>
      </c>
      <c r="O20" s="205">
        <v>43772.9939467593</v>
      </c>
    </row>
    <row r="21" s="156" customFormat="1" ht="35" customHeight="1" spans="1:15">
      <c r="A21" s="169">
        <v>11</v>
      </c>
      <c r="B21" s="178" t="s">
        <v>79</v>
      </c>
      <c r="C21" s="179" t="s">
        <v>52</v>
      </c>
      <c r="D21" s="180" t="s">
        <v>63</v>
      </c>
      <c r="E21" s="180" t="s">
        <v>54</v>
      </c>
      <c r="F21" s="181" t="s">
        <v>55</v>
      </c>
      <c r="G21" s="180" t="s">
        <v>56</v>
      </c>
      <c r="H21" s="180" t="s">
        <v>57</v>
      </c>
      <c r="I21" s="200">
        <v>30</v>
      </c>
      <c r="J21" s="180">
        <v>20</v>
      </c>
      <c r="K21" s="180"/>
      <c r="L21" s="180" t="s">
        <v>71</v>
      </c>
      <c r="M21" s="201" t="s">
        <v>59</v>
      </c>
      <c r="N21" s="179" t="s">
        <v>60</v>
      </c>
      <c r="O21" s="194">
        <v>43773.9939467593</v>
      </c>
    </row>
    <row r="22" s="156" customFormat="1" ht="35" customHeight="1" spans="1:15">
      <c r="A22" s="182">
        <v>12</v>
      </c>
      <c r="B22" s="183" t="s">
        <v>80</v>
      </c>
      <c r="C22" s="184" t="s">
        <v>52</v>
      </c>
      <c r="D22" s="185" t="s">
        <v>63</v>
      </c>
      <c r="E22" s="185" t="s">
        <v>54</v>
      </c>
      <c r="F22" s="186" t="s">
        <v>70</v>
      </c>
      <c r="G22" s="185" t="s">
        <v>56</v>
      </c>
      <c r="H22" s="185" t="s">
        <v>57</v>
      </c>
      <c r="I22" s="202">
        <v>31</v>
      </c>
      <c r="J22" s="185">
        <v>21</v>
      </c>
      <c r="K22" s="185"/>
      <c r="L22" s="203" t="s">
        <v>71</v>
      </c>
      <c r="M22" s="204" t="s">
        <v>59</v>
      </c>
      <c r="N22" s="184" t="s">
        <v>60</v>
      </c>
      <c r="O22" s="205">
        <v>43774.9939467593</v>
      </c>
    </row>
    <row r="23" s="156" customFormat="1" ht="35" customHeight="1" spans="1:15">
      <c r="A23" s="169">
        <v>13</v>
      </c>
      <c r="B23" s="178" t="s">
        <v>81</v>
      </c>
      <c r="C23" s="179" t="s">
        <v>52</v>
      </c>
      <c r="D23" s="180" t="s">
        <v>63</v>
      </c>
      <c r="E23" s="180" t="s">
        <v>54</v>
      </c>
      <c r="F23" s="181" t="s">
        <v>70</v>
      </c>
      <c r="G23" s="180" t="s">
        <v>56</v>
      </c>
      <c r="H23" s="180" t="s">
        <v>57</v>
      </c>
      <c r="I23" s="200">
        <v>32</v>
      </c>
      <c r="J23" s="180">
        <v>22</v>
      </c>
      <c r="K23" s="180"/>
      <c r="L23" s="180" t="s">
        <v>71</v>
      </c>
      <c r="M23" s="201" t="s">
        <v>59</v>
      </c>
      <c r="N23" s="179" t="s">
        <v>60</v>
      </c>
      <c r="O23" s="194">
        <v>43775.9939467593</v>
      </c>
    </row>
    <row r="24" s="156" customFormat="1" ht="35" customHeight="1" spans="1:15">
      <c r="A24" s="182">
        <v>14</v>
      </c>
      <c r="B24" s="183" t="s">
        <v>69</v>
      </c>
      <c r="C24" s="184" t="s">
        <v>52</v>
      </c>
      <c r="D24" s="185" t="s">
        <v>53</v>
      </c>
      <c r="E24" s="185" t="s">
        <v>54</v>
      </c>
      <c r="F24" s="186" t="s">
        <v>64</v>
      </c>
      <c r="G24" s="185" t="s">
        <v>56</v>
      </c>
      <c r="H24" s="185" t="s">
        <v>57</v>
      </c>
      <c r="I24" s="202">
        <v>33</v>
      </c>
      <c r="J24" s="185">
        <v>23</v>
      </c>
      <c r="K24" s="185"/>
      <c r="L24" s="203" t="s">
        <v>71</v>
      </c>
      <c r="M24" s="204" t="s">
        <v>59</v>
      </c>
      <c r="N24" s="184" t="s">
        <v>60</v>
      </c>
      <c r="O24" s="205">
        <v>43776.9939467593</v>
      </c>
    </row>
    <row r="25" s="156" customFormat="1" ht="35" customHeight="1" spans="1:15">
      <c r="A25" s="169">
        <v>15</v>
      </c>
      <c r="B25" s="178" t="s">
        <v>82</v>
      </c>
      <c r="C25" s="179" t="s">
        <v>52</v>
      </c>
      <c r="D25" s="180" t="s">
        <v>53</v>
      </c>
      <c r="E25" s="180" t="s">
        <v>54</v>
      </c>
      <c r="F25" s="181" t="s">
        <v>55</v>
      </c>
      <c r="G25" s="180" t="s">
        <v>72</v>
      </c>
      <c r="H25" s="180" t="s">
        <v>57</v>
      </c>
      <c r="I25" s="200">
        <v>34</v>
      </c>
      <c r="J25" s="180">
        <v>24</v>
      </c>
      <c r="K25" s="180"/>
      <c r="L25" s="180" t="s">
        <v>71</v>
      </c>
      <c r="M25" s="201" t="s">
        <v>59</v>
      </c>
      <c r="N25" s="179" t="s">
        <v>60</v>
      </c>
      <c r="O25" s="194">
        <v>43777.9939467593</v>
      </c>
    </row>
    <row r="26" s="156" customFormat="1" ht="35" customHeight="1" spans="1:15">
      <c r="A26" s="182">
        <v>16</v>
      </c>
      <c r="B26" s="183" t="s">
        <v>83</v>
      </c>
      <c r="C26" s="184" t="s">
        <v>52</v>
      </c>
      <c r="D26" s="185" t="s">
        <v>53</v>
      </c>
      <c r="E26" s="185" t="s">
        <v>54</v>
      </c>
      <c r="F26" s="186" t="s">
        <v>70</v>
      </c>
      <c r="G26" s="185" t="s">
        <v>72</v>
      </c>
      <c r="H26" s="185" t="s">
        <v>57</v>
      </c>
      <c r="I26" s="202">
        <v>35</v>
      </c>
      <c r="J26" s="185">
        <v>25</v>
      </c>
      <c r="K26" s="185"/>
      <c r="L26" s="203" t="s">
        <v>71</v>
      </c>
      <c r="M26" s="204" t="s">
        <v>59</v>
      </c>
      <c r="N26" s="184" t="s">
        <v>60</v>
      </c>
      <c r="O26" s="205">
        <v>43778.9939467593</v>
      </c>
    </row>
    <row r="27" s="156" customFormat="1" ht="35" customHeight="1" spans="1:15">
      <c r="A27" s="169">
        <v>17</v>
      </c>
      <c r="B27" s="178" t="s">
        <v>84</v>
      </c>
      <c r="C27" s="179" t="s">
        <v>52</v>
      </c>
      <c r="D27" s="180" t="s">
        <v>53</v>
      </c>
      <c r="E27" s="180" t="s">
        <v>54</v>
      </c>
      <c r="F27" s="181" t="s">
        <v>70</v>
      </c>
      <c r="G27" s="180" t="s">
        <v>72</v>
      </c>
      <c r="H27" s="180" t="s">
        <v>57</v>
      </c>
      <c r="I27" s="200">
        <v>36</v>
      </c>
      <c r="J27" s="180">
        <v>26</v>
      </c>
      <c r="K27" s="180"/>
      <c r="L27" s="180" t="s">
        <v>71</v>
      </c>
      <c r="M27" s="201" t="s">
        <v>59</v>
      </c>
      <c r="N27" s="179" t="s">
        <v>60</v>
      </c>
      <c r="O27" s="194">
        <v>43779.9939467593</v>
      </c>
    </row>
    <row r="28" s="156" customFormat="1" ht="35" customHeight="1" spans="1:15">
      <c r="A28" s="182">
        <v>18</v>
      </c>
      <c r="B28" s="183" t="s">
        <v>85</v>
      </c>
      <c r="C28" s="184" t="s">
        <v>52</v>
      </c>
      <c r="D28" s="185" t="s">
        <v>53</v>
      </c>
      <c r="E28" s="185" t="s">
        <v>54</v>
      </c>
      <c r="F28" s="186" t="s">
        <v>70</v>
      </c>
      <c r="G28" s="185" t="s">
        <v>72</v>
      </c>
      <c r="H28" s="185" t="s">
        <v>57</v>
      </c>
      <c r="I28" s="202">
        <v>37</v>
      </c>
      <c r="J28" s="185">
        <v>27</v>
      </c>
      <c r="K28" s="185"/>
      <c r="L28" s="203" t="s">
        <v>71</v>
      </c>
      <c r="M28" s="204" t="s">
        <v>59</v>
      </c>
      <c r="N28" s="184" t="s">
        <v>60</v>
      </c>
      <c r="O28" s="205">
        <v>43780.9939467593</v>
      </c>
    </row>
    <row r="29" s="156" customFormat="1" ht="35" customHeight="1" spans="1:15">
      <c r="A29" s="169">
        <v>19</v>
      </c>
      <c r="B29" s="178" t="s">
        <v>86</v>
      </c>
      <c r="C29" s="179" t="s">
        <v>52</v>
      </c>
      <c r="D29" s="180" t="s">
        <v>53</v>
      </c>
      <c r="E29" s="180" t="s">
        <v>54</v>
      </c>
      <c r="F29" s="181" t="s">
        <v>70</v>
      </c>
      <c r="G29" s="180" t="s">
        <v>72</v>
      </c>
      <c r="H29" s="180" t="s">
        <v>57</v>
      </c>
      <c r="I29" s="200">
        <v>38</v>
      </c>
      <c r="J29" s="180">
        <v>28</v>
      </c>
      <c r="K29" s="180"/>
      <c r="L29" s="180" t="s">
        <v>71</v>
      </c>
      <c r="M29" s="201" t="s">
        <v>59</v>
      </c>
      <c r="N29" s="179" t="s">
        <v>60</v>
      </c>
      <c r="O29" s="194">
        <v>43781.9939467593</v>
      </c>
    </row>
    <row r="30" s="156" customFormat="1" ht="35" customHeight="1" spans="1:15">
      <c r="A30" s="182">
        <v>20</v>
      </c>
      <c r="B30" s="187" t="s">
        <v>85</v>
      </c>
      <c r="C30" s="184" t="s">
        <v>52</v>
      </c>
      <c r="D30" s="185" t="s">
        <v>53</v>
      </c>
      <c r="E30" s="185" t="s">
        <v>54</v>
      </c>
      <c r="F30" s="185" t="s">
        <v>70</v>
      </c>
      <c r="G30" s="185" t="s">
        <v>72</v>
      </c>
      <c r="H30" s="185" t="s">
        <v>57</v>
      </c>
      <c r="I30" s="202">
        <v>39</v>
      </c>
      <c r="J30" s="185">
        <v>29</v>
      </c>
      <c r="K30" s="185"/>
      <c r="L30" s="203" t="s">
        <v>71</v>
      </c>
      <c r="M30" s="204" t="s">
        <v>59</v>
      </c>
      <c r="N30" s="184" t="s">
        <v>60</v>
      </c>
      <c r="O30" s="205">
        <v>43782.9939467593</v>
      </c>
    </row>
    <row r="31" ht="30" customHeight="1" spans="1:15">
      <c r="A31" s="188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206"/>
    </row>
  </sheetData>
  <mergeCells count="15">
    <mergeCell ref="K2:L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61"/>
  <sheetViews>
    <sheetView topLeftCell="A37" workbookViewId="0">
      <selection activeCell="D2" sqref="D2:E2"/>
    </sheetView>
  </sheetViews>
  <sheetFormatPr defaultColWidth="9" defaultRowHeight="12"/>
  <cols>
    <col min="1" max="1" width="9" style="14"/>
    <col min="2" max="20" width="10.625" style="14" customWidth="1"/>
    <col min="21" max="21" width="9" style="15"/>
    <col min="22" max="16384" width="9" style="14"/>
  </cols>
  <sheetData>
    <row r="1" ht="25" customHeight="1" spans="2:20">
      <c r="B1" s="16" t="s">
        <v>87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98"/>
    </row>
    <row r="2" s="13" customFormat="1" ht="25" customHeight="1" spans="2:21">
      <c r="B2" s="19" t="s">
        <v>88</v>
      </c>
      <c r="C2" s="20"/>
      <c r="D2" s="21" t="s">
        <v>89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69"/>
      <c r="Q2" s="69"/>
      <c r="R2" s="69"/>
      <c r="S2" s="69"/>
      <c r="T2" s="99"/>
      <c r="U2" s="100"/>
    </row>
    <row r="3" s="13" customFormat="1" ht="25" customHeight="1" spans="2:21">
      <c r="B3" s="19" t="s">
        <v>90</v>
      </c>
      <c r="C3" s="20"/>
      <c r="D3" s="20" t="s">
        <v>91</v>
      </c>
      <c r="E3" s="20"/>
      <c r="F3" s="21" t="s">
        <v>92</v>
      </c>
      <c r="G3" s="21"/>
      <c r="H3" s="21"/>
      <c r="I3" s="21" t="s">
        <v>93</v>
      </c>
      <c r="J3" s="21"/>
      <c r="K3" s="21"/>
      <c r="L3" s="20" t="s">
        <v>94</v>
      </c>
      <c r="M3" s="20"/>
      <c r="N3" s="20" t="s">
        <v>95</v>
      </c>
      <c r="O3" s="20"/>
      <c r="P3" s="69"/>
      <c r="Q3" s="69"/>
      <c r="R3" s="69"/>
      <c r="S3" s="69"/>
      <c r="T3" s="99"/>
      <c r="U3" s="100"/>
    </row>
    <row r="4" ht="25" customHeight="1" spans="2:20">
      <c r="B4" s="22" t="s">
        <v>96</v>
      </c>
      <c r="C4" s="23"/>
      <c r="D4" s="23"/>
      <c r="E4" s="24" t="s">
        <v>97</v>
      </c>
      <c r="F4" s="24"/>
      <c r="G4" s="24"/>
      <c r="H4" s="24" t="s">
        <v>98</v>
      </c>
      <c r="I4" s="24"/>
      <c r="J4" s="24"/>
      <c r="K4" s="70"/>
      <c r="L4" s="71"/>
      <c r="M4" s="72"/>
      <c r="N4" s="72"/>
      <c r="O4" s="72"/>
      <c r="P4" s="72"/>
      <c r="Q4" s="72"/>
      <c r="R4" s="72"/>
      <c r="S4" s="72"/>
      <c r="T4" s="101"/>
    </row>
    <row r="5" ht="1" customHeight="1" spans="2:20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02"/>
    </row>
    <row r="6" ht="25" customHeight="1" spans="2:31">
      <c r="B6" s="27" t="s">
        <v>99</v>
      </c>
      <c r="C6" s="28"/>
      <c r="D6" s="29" t="s">
        <v>100</v>
      </c>
      <c r="E6" s="30" t="s">
        <v>101</v>
      </c>
      <c r="F6" s="30"/>
      <c r="G6" s="30" t="s">
        <v>45</v>
      </c>
      <c r="H6" s="30" t="s">
        <v>102</v>
      </c>
      <c r="I6" s="30"/>
      <c r="J6" s="30" t="s">
        <v>103</v>
      </c>
      <c r="K6" s="30"/>
      <c r="L6" s="30" t="s">
        <v>104</v>
      </c>
      <c r="M6" s="30"/>
      <c r="N6" s="73" t="s">
        <v>105</v>
      </c>
      <c r="O6" s="73"/>
      <c r="P6" s="73" t="s">
        <v>106</v>
      </c>
      <c r="Q6" s="73"/>
      <c r="R6" s="103"/>
      <c r="S6" s="29"/>
      <c r="T6" s="104"/>
      <c r="V6" s="30" t="s">
        <v>102</v>
      </c>
      <c r="W6" s="30"/>
      <c r="X6" s="30" t="s">
        <v>103</v>
      </c>
      <c r="Y6" s="30"/>
      <c r="Z6" s="30" t="s">
        <v>104</v>
      </c>
      <c r="AA6" s="30"/>
      <c r="AB6" s="73" t="s">
        <v>105</v>
      </c>
      <c r="AC6" s="73"/>
      <c r="AD6" s="73" t="s">
        <v>106</v>
      </c>
      <c r="AE6" s="73"/>
    </row>
    <row r="7" ht="25" customHeight="1" spans="2:31">
      <c r="B7" s="31" t="s">
        <v>107</v>
      </c>
      <c r="C7" s="32"/>
      <c r="D7" s="33" t="s">
        <v>108</v>
      </c>
      <c r="E7" s="34">
        <v>50</v>
      </c>
      <c r="F7" s="34"/>
      <c r="G7" s="35">
        <v>20</v>
      </c>
      <c r="H7" s="34">
        <v>1300</v>
      </c>
      <c r="I7" s="34"/>
      <c r="J7" s="74">
        <v>0.52</v>
      </c>
      <c r="K7" s="74"/>
      <c r="L7" s="74">
        <v>0.52</v>
      </c>
      <c r="M7" s="74"/>
      <c r="N7" s="75">
        <v>0.52</v>
      </c>
      <c r="O7" s="75"/>
      <c r="P7" s="76">
        <v>0.9</v>
      </c>
      <c r="Q7" s="76"/>
      <c r="R7" s="105"/>
      <c r="S7" s="33"/>
      <c r="T7" s="106"/>
      <c r="V7" s="34">
        <v>1300</v>
      </c>
      <c r="W7" s="34"/>
      <c r="X7" s="74">
        <v>0.52</v>
      </c>
      <c r="Y7" s="74"/>
      <c r="Z7" s="74">
        <v>0.52</v>
      </c>
      <c r="AA7" s="74"/>
      <c r="AB7" s="75">
        <v>0.52</v>
      </c>
      <c r="AC7" s="75"/>
      <c r="AD7" s="76">
        <v>0.9</v>
      </c>
      <c r="AE7" s="76"/>
    </row>
    <row r="8" ht="25" customHeight="1" spans="2:31">
      <c r="B8" s="36" t="s">
        <v>109</v>
      </c>
      <c r="C8" s="37"/>
      <c r="D8" s="33" t="s">
        <v>110</v>
      </c>
      <c r="E8" s="34">
        <v>20</v>
      </c>
      <c r="F8" s="34"/>
      <c r="G8" s="35">
        <v>20</v>
      </c>
      <c r="H8" s="34">
        <v>1000</v>
      </c>
      <c r="I8" s="34"/>
      <c r="J8" s="74">
        <v>0.4</v>
      </c>
      <c r="K8" s="74"/>
      <c r="L8" s="74">
        <v>0.4</v>
      </c>
      <c r="M8" s="74"/>
      <c r="N8" s="75">
        <v>0.4</v>
      </c>
      <c r="O8" s="75"/>
      <c r="P8" s="76">
        <v>0.7</v>
      </c>
      <c r="Q8" s="76"/>
      <c r="R8" s="105"/>
      <c r="S8" s="37"/>
      <c r="T8" s="106"/>
      <c r="V8" s="34">
        <v>1000</v>
      </c>
      <c r="W8" s="34"/>
      <c r="X8" s="74">
        <v>0.4</v>
      </c>
      <c r="Y8" s="74"/>
      <c r="Z8" s="74">
        <v>0.4</v>
      </c>
      <c r="AA8" s="74"/>
      <c r="AB8" s="75">
        <v>0.4</v>
      </c>
      <c r="AC8" s="75"/>
      <c r="AD8" s="76">
        <v>0.7</v>
      </c>
      <c r="AE8" s="76"/>
    </row>
    <row r="9" ht="25" customHeight="1" spans="2:31">
      <c r="B9" s="36" t="s">
        <v>111</v>
      </c>
      <c r="C9" s="37"/>
      <c r="D9" s="33" t="s">
        <v>112</v>
      </c>
      <c r="E9" s="34">
        <v>5</v>
      </c>
      <c r="F9" s="34"/>
      <c r="G9" s="35">
        <v>5</v>
      </c>
      <c r="H9" s="34">
        <v>200</v>
      </c>
      <c r="I9" s="34"/>
      <c r="J9" s="74">
        <v>0.08</v>
      </c>
      <c r="K9" s="74"/>
      <c r="L9" s="74">
        <v>0.08</v>
      </c>
      <c r="M9" s="74"/>
      <c r="N9" s="75">
        <v>0.08</v>
      </c>
      <c r="O9" s="75"/>
      <c r="P9" s="75">
        <v>0.5</v>
      </c>
      <c r="Q9" s="75"/>
      <c r="R9" s="107"/>
      <c r="S9" s="33"/>
      <c r="T9" s="106"/>
      <c r="V9" s="34">
        <v>200</v>
      </c>
      <c r="W9" s="34"/>
      <c r="X9" s="74">
        <v>0.08</v>
      </c>
      <c r="Y9" s="74"/>
      <c r="Z9" s="74">
        <v>0.08</v>
      </c>
      <c r="AA9" s="74"/>
      <c r="AB9" s="75">
        <v>0.08</v>
      </c>
      <c r="AC9" s="75"/>
      <c r="AD9" s="75">
        <v>0.5</v>
      </c>
      <c r="AE9" s="75"/>
    </row>
    <row r="10" ht="25" customHeight="1" spans="2:31">
      <c r="B10" s="36"/>
      <c r="C10" s="33"/>
      <c r="D10" s="33"/>
      <c r="E10" s="38">
        <f t="shared" ref="E10:H10" si="0">SUM(E7:E9)</f>
        <v>75</v>
      </c>
      <c r="F10" s="38"/>
      <c r="G10" s="39">
        <f t="shared" si="0"/>
        <v>45</v>
      </c>
      <c r="H10" s="38">
        <f t="shared" si="0"/>
        <v>2500</v>
      </c>
      <c r="I10" s="38"/>
      <c r="J10" s="77"/>
      <c r="K10" s="77"/>
      <c r="L10" s="77"/>
      <c r="M10" s="77"/>
      <c r="N10" s="37"/>
      <c r="O10" s="37"/>
      <c r="P10" s="37"/>
      <c r="Q10" s="37"/>
      <c r="R10" s="108"/>
      <c r="S10" s="33"/>
      <c r="T10" s="106"/>
      <c r="V10" s="38">
        <f>SUM(V7:V9)</f>
        <v>2500</v>
      </c>
      <c r="W10" s="38"/>
      <c r="X10" s="77"/>
      <c r="Y10" s="77"/>
      <c r="Z10" s="77"/>
      <c r="AA10" s="77"/>
      <c r="AB10" s="37"/>
      <c r="AC10" s="37"/>
      <c r="AD10" s="37"/>
      <c r="AE10" s="37"/>
    </row>
    <row r="11" ht="1" customHeight="1" spans="2:20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109"/>
    </row>
    <row r="12" ht="25" customHeight="1" spans="2:20">
      <c r="B12" s="42" t="s">
        <v>113</v>
      </c>
      <c r="C12" s="43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110"/>
    </row>
    <row r="13" ht="25" customHeight="1" spans="2:20">
      <c r="B13" s="127" t="s">
        <v>114</v>
      </c>
      <c r="C13" s="128" t="s">
        <v>115</v>
      </c>
      <c r="D13" s="129"/>
      <c r="E13" s="128" t="s">
        <v>116</v>
      </c>
      <c r="F13" s="128" t="s">
        <v>115</v>
      </c>
      <c r="G13" s="128"/>
      <c r="H13" s="128" t="s">
        <v>116</v>
      </c>
      <c r="I13" s="128" t="s">
        <v>115</v>
      </c>
      <c r="J13" s="128"/>
      <c r="K13" s="128" t="s">
        <v>116</v>
      </c>
      <c r="L13" s="128" t="s">
        <v>115</v>
      </c>
      <c r="M13" s="128"/>
      <c r="N13" s="128" t="s">
        <v>116</v>
      </c>
      <c r="O13" s="128" t="s">
        <v>115</v>
      </c>
      <c r="P13" s="128"/>
      <c r="Q13" s="128" t="s">
        <v>116</v>
      </c>
      <c r="R13" s="128" t="s">
        <v>115</v>
      </c>
      <c r="S13" s="128"/>
      <c r="T13" s="147" t="s">
        <v>116</v>
      </c>
    </row>
    <row r="14" ht="25" customHeight="1" spans="2:20">
      <c r="B14" s="130" t="s">
        <v>117</v>
      </c>
      <c r="C14" s="131">
        <v>191025000038</v>
      </c>
      <c r="D14" s="59"/>
      <c r="E14" s="132">
        <v>888787</v>
      </c>
      <c r="F14" s="131">
        <v>191025000038</v>
      </c>
      <c r="G14" s="131"/>
      <c r="H14" s="132">
        <v>888787</v>
      </c>
      <c r="I14" s="131">
        <v>191025000038</v>
      </c>
      <c r="J14" s="131"/>
      <c r="K14" s="132">
        <v>888787</v>
      </c>
      <c r="L14" s="131">
        <v>191025000038</v>
      </c>
      <c r="M14" s="131"/>
      <c r="N14" s="132">
        <v>888787</v>
      </c>
      <c r="O14" s="131">
        <v>191025000038</v>
      </c>
      <c r="P14" s="131"/>
      <c r="Q14" s="132">
        <v>888787</v>
      </c>
      <c r="R14" s="131">
        <v>191025000038</v>
      </c>
      <c r="S14" s="131"/>
      <c r="T14" s="148">
        <v>888787</v>
      </c>
    </row>
    <row r="15" ht="25" customHeight="1" spans="2:20">
      <c r="B15" s="133"/>
      <c r="C15" s="131">
        <v>190922000006</v>
      </c>
      <c r="D15" s="59"/>
      <c r="E15" s="132">
        <v>401</v>
      </c>
      <c r="F15" s="131">
        <v>190922000006</v>
      </c>
      <c r="G15" s="131"/>
      <c r="H15" s="132">
        <v>401</v>
      </c>
      <c r="I15" s="131">
        <v>190922000006</v>
      </c>
      <c r="J15" s="131"/>
      <c r="K15" s="132">
        <v>401</v>
      </c>
      <c r="L15" s="131">
        <v>190922000006</v>
      </c>
      <c r="M15" s="131"/>
      <c r="N15" s="132">
        <v>401</v>
      </c>
      <c r="O15" s="131">
        <v>190922000006</v>
      </c>
      <c r="P15" s="131"/>
      <c r="Q15" s="132">
        <v>401</v>
      </c>
      <c r="R15" s="131">
        <v>190922000006</v>
      </c>
      <c r="S15" s="131"/>
      <c r="T15" s="148">
        <v>401</v>
      </c>
    </row>
    <row r="16" ht="25" customHeight="1" spans="2:20">
      <c r="B16" s="133"/>
      <c r="C16" s="131">
        <v>190828000021</v>
      </c>
      <c r="D16" s="59"/>
      <c r="E16" s="132">
        <v>402</v>
      </c>
      <c r="F16" s="131">
        <v>190828000021</v>
      </c>
      <c r="G16" s="131"/>
      <c r="H16" s="132">
        <v>402</v>
      </c>
      <c r="I16" s="131">
        <v>190828000021</v>
      </c>
      <c r="J16" s="131"/>
      <c r="K16" s="132">
        <v>402</v>
      </c>
      <c r="L16" s="131">
        <v>190828000021</v>
      </c>
      <c r="M16" s="131"/>
      <c r="N16" s="132">
        <v>402</v>
      </c>
      <c r="O16" s="131">
        <v>190828000021</v>
      </c>
      <c r="P16" s="131"/>
      <c r="Q16" s="132">
        <v>402</v>
      </c>
      <c r="R16" s="131">
        <v>190828000021</v>
      </c>
      <c r="S16" s="131"/>
      <c r="T16" s="148">
        <v>402</v>
      </c>
    </row>
    <row r="17" ht="25" customHeight="1" spans="2:20">
      <c r="B17" s="133"/>
      <c r="C17" s="131">
        <v>191025000041</v>
      </c>
      <c r="D17" s="59"/>
      <c r="E17" s="132">
        <v>403</v>
      </c>
      <c r="F17" s="131">
        <v>191025000041</v>
      </c>
      <c r="G17" s="131"/>
      <c r="H17" s="132">
        <v>403</v>
      </c>
      <c r="I17" s="131">
        <v>191025000041</v>
      </c>
      <c r="J17" s="131"/>
      <c r="K17" s="132">
        <v>403</v>
      </c>
      <c r="L17" s="131">
        <v>191025000041</v>
      </c>
      <c r="M17" s="131"/>
      <c r="N17" s="132">
        <v>403</v>
      </c>
      <c r="O17" s="131">
        <v>191025000041</v>
      </c>
      <c r="P17" s="131"/>
      <c r="Q17" s="132">
        <v>403</v>
      </c>
      <c r="R17" s="131">
        <v>191025000041</v>
      </c>
      <c r="S17" s="131"/>
      <c r="T17" s="148">
        <v>403</v>
      </c>
    </row>
    <row r="18" ht="1" customHeight="1" spans="2:20">
      <c r="B18" s="134"/>
      <c r="C18" s="135"/>
      <c r="D18" s="136"/>
      <c r="E18" s="137"/>
      <c r="F18" s="135"/>
      <c r="G18" s="135"/>
      <c r="H18" s="137"/>
      <c r="I18" s="135"/>
      <c r="J18" s="135"/>
      <c r="K18" s="137"/>
      <c r="L18" s="135"/>
      <c r="M18" s="135"/>
      <c r="N18" s="137"/>
      <c r="O18" s="135"/>
      <c r="P18" s="135"/>
      <c r="Q18" s="137"/>
      <c r="R18" s="135"/>
      <c r="S18" s="135"/>
      <c r="T18" s="149"/>
    </row>
    <row r="19" ht="25" customHeight="1" spans="2:20">
      <c r="B19" s="130" t="s">
        <v>118</v>
      </c>
      <c r="C19" s="131">
        <v>191025000040</v>
      </c>
      <c r="D19" s="59"/>
      <c r="E19" s="132">
        <v>404</v>
      </c>
      <c r="F19" s="131">
        <v>191025000040</v>
      </c>
      <c r="G19" s="131"/>
      <c r="H19" s="132">
        <v>404</v>
      </c>
      <c r="I19" s="131">
        <v>191025000040</v>
      </c>
      <c r="J19" s="131"/>
      <c r="K19" s="132">
        <v>404</v>
      </c>
      <c r="L19" s="131">
        <v>191025000040</v>
      </c>
      <c r="M19" s="131"/>
      <c r="N19" s="132">
        <v>404</v>
      </c>
      <c r="O19" s="131">
        <v>191025000040</v>
      </c>
      <c r="P19" s="131"/>
      <c r="Q19" s="132">
        <v>404</v>
      </c>
      <c r="R19" s="131">
        <v>191025000040</v>
      </c>
      <c r="S19" s="131"/>
      <c r="T19" s="148">
        <v>404</v>
      </c>
    </row>
    <row r="20" ht="25" customHeight="1" spans="2:20">
      <c r="B20" s="133"/>
      <c r="C20" s="131">
        <v>191012000003</v>
      </c>
      <c r="D20" s="59"/>
      <c r="E20" s="132">
        <v>405</v>
      </c>
      <c r="F20" s="131">
        <v>191012000003</v>
      </c>
      <c r="G20" s="131"/>
      <c r="H20" s="132">
        <v>405</v>
      </c>
      <c r="I20" s="131">
        <v>191012000003</v>
      </c>
      <c r="J20" s="131"/>
      <c r="K20" s="132">
        <v>405</v>
      </c>
      <c r="L20" s="131">
        <v>191012000003</v>
      </c>
      <c r="M20" s="131"/>
      <c r="N20" s="132">
        <v>405</v>
      </c>
      <c r="O20" s="131">
        <v>191012000003</v>
      </c>
      <c r="P20" s="131"/>
      <c r="Q20" s="132">
        <v>405</v>
      </c>
      <c r="R20" s="131">
        <v>191012000003</v>
      </c>
      <c r="S20" s="131"/>
      <c r="T20" s="148">
        <v>405</v>
      </c>
    </row>
    <row r="21" ht="25" customHeight="1" spans="2:20">
      <c r="B21" s="133"/>
      <c r="C21" s="131">
        <v>191013000009</v>
      </c>
      <c r="D21" s="59"/>
      <c r="E21" s="132">
        <v>406</v>
      </c>
      <c r="F21" s="131">
        <v>191013000009</v>
      </c>
      <c r="G21" s="131"/>
      <c r="H21" s="132">
        <v>406</v>
      </c>
      <c r="I21" s="131">
        <v>191013000009</v>
      </c>
      <c r="J21" s="131"/>
      <c r="K21" s="132">
        <v>406</v>
      </c>
      <c r="L21" s="131">
        <v>191013000009</v>
      </c>
      <c r="M21" s="131"/>
      <c r="N21" s="132">
        <v>406</v>
      </c>
      <c r="O21" s="131">
        <v>191013000009</v>
      </c>
      <c r="P21" s="131"/>
      <c r="Q21" s="132">
        <v>406</v>
      </c>
      <c r="R21" s="131">
        <v>191013000009</v>
      </c>
      <c r="S21" s="131"/>
      <c r="T21" s="148">
        <v>406</v>
      </c>
    </row>
    <row r="22" ht="25" customHeight="1" spans="2:20">
      <c r="B22" s="133"/>
      <c r="C22" s="131">
        <v>190922000006</v>
      </c>
      <c r="D22" s="59"/>
      <c r="E22" s="132">
        <v>407</v>
      </c>
      <c r="F22" s="131">
        <v>190922000006</v>
      </c>
      <c r="G22" s="131"/>
      <c r="H22" s="132">
        <v>407</v>
      </c>
      <c r="I22" s="131">
        <v>190922000006</v>
      </c>
      <c r="J22" s="131"/>
      <c r="K22" s="132">
        <v>407</v>
      </c>
      <c r="L22" s="131">
        <v>190922000006</v>
      </c>
      <c r="M22" s="131"/>
      <c r="N22" s="132">
        <v>407</v>
      </c>
      <c r="O22" s="131">
        <v>190922000006</v>
      </c>
      <c r="P22" s="131"/>
      <c r="Q22" s="132">
        <v>407</v>
      </c>
      <c r="R22" s="131">
        <v>190922000006</v>
      </c>
      <c r="S22" s="131"/>
      <c r="T22" s="148">
        <v>407</v>
      </c>
    </row>
    <row r="23" ht="25" customHeight="1" spans="2:20">
      <c r="B23" s="133"/>
      <c r="C23" s="131">
        <v>190828000021</v>
      </c>
      <c r="D23" s="59"/>
      <c r="E23" s="132">
        <v>403</v>
      </c>
      <c r="F23" s="131">
        <v>190828000021</v>
      </c>
      <c r="G23" s="131"/>
      <c r="H23" s="132">
        <v>403</v>
      </c>
      <c r="I23" s="131">
        <v>190828000021</v>
      </c>
      <c r="J23" s="131"/>
      <c r="K23" s="132">
        <v>403</v>
      </c>
      <c r="L23" s="131">
        <v>190828000021</v>
      </c>
      <c r="M23" s="131"/>
      <c r="N23" s="132">
        <v>403</v>
      </c>
      <c r="O23" s="131">
        <v>190828000021</v>
      </c>
      <c r="P23" s="131"/>
      <c r="Q23" s="132">
        <v>403</v>
      </c>
      <c r="R23" s="131">
        <v>190828000021</v>
      </c>
      <c r="S23" s="131"/>
      <c r="T23" s="148">
        <v>403</v>
      </c>
    </row>
    <row r="24" ht="1" customHeight="1" spans="2:20">
      <c r="B24" s="134"/>
      <c r="C24" s="135"/>
      <c r="D24" s="136"/>
      <c r="E24" s="137"/>
      <c r="F24" s="135"/>
      <c r="G24" s="135"/>
      <c r="H24" s="137"/>
      <c r="I24" s="135"/>
      <c r="J24" s="135"/>
      <c r="K24" s="137"/>
      <c r="L24" s="135"/>
      <c r="M24" s="135"/>
      <c r="N24" s="137"/>
      <c r="O24" s="135"/>
      <c r="P24" s="135"/>
      <c r="Q24" s="137"/>
      <c r="R24" s="135"/>
      <c r="S24" s="135"/>
      <c r="T24" s="149"/>
    </row>
    <row r="25" ht="25" customHeight="1" spans="2:20">
      <c r="B25" s="130" t="s">
        <v>119</v>
      </c>
      <c r="C25" s="131">
        <v>191013000009</v>
      </c>
      <c r="D25" s="59"/>
      <c r="E25" s="132">
        <v>404</v>
      </c>
      <c r="F25" s="131">
        <v>191013000009</v>
      </c>
      <c r="G25" s="131"/>
      <c r="H25" s="132">
        <v>404</v>
      </c>
      <c r="I25" s="131">
        <v>191013000009</v>
      </c>
      <c r="J25" s="131"/>
      <c r="K25" s="132">
        <v>404</v>
      </c>
      <c r="L25" s="131">
        <v>191013000009</v>
      </c>
      <c r="M25" s="131"/>
      <c r="N25" s="132">
        <v>404</v>
      </c>
      <c r="O25" s="131">
        <v>191013000009</v>
      </c>
      <c r="P25" s="131"/>
      <c r="Q25" s="132">
        <v>404</v>
      </c>
      <c r="R25" s="131">
        <v>191013000009</v>
      </c>
      <c r="S25" s="131"/>
      <c r="T25" s="148">
        <v>404</v>
      </c>
    </row>
    <row r="26" ht="25" customHeight="1" spans="2:20">
      <c r="B26" s="138"/>
      <c r="C26" s="139"/>
      <c r="D26" s="139"/>
      <c r="E26" s="140">
        <f>SUM(E14:E25)</f>
        <v>892422</v>
      </c>
      <c r="F26" s="141"/>
      <c r="G26" s="141"/>
      <c r="H26" s="140">
        <f>SUM(H14:H25)</f>
        <v>892422</v>
      </c>
      <c r="I26" s="141"/>
      <c r="J26" s="141"/>
      <c r="K26" s="140">
        <f>SUM(K14:K25)</f>
        <v>892422</v>
      </c>
      <c r="L26" s="141"/>
      <c r="M26" s="141"/>
      <c r="N26" s="140">
        <f>SUM(N14:N25)</f>
        <v>892422</v>
      </c>
      <c r="O26" s="141"/>
      <c r="P26" s="141"/>
      <c r="Q26" s="140">
        <f>SUM(Q14:Q25)</f>
        <v>892422</v>
      </c>
      <c r="R26" s="141"/>
      <c r="S26" s="141"/>
      <c r="T26" s="150">
        <f>SUM(T14:T25)</f>
        <v>892422</v>
      </c>
    </row>
    <row r="27" ht="25" customHeight="1" spans="2:20">
      <c r="B27" s="45"/>
      <c r="C27" s="46"/>
      <c r="D27" s="46"/>
      <c r="E27" s="47"/>
      <c r="F27" s="48" t="s">
        <v>120</v>
      </c>
      <c r="G27" s="49"/>
      <c r="H27" s="49"/>
      <c r="I27" s="49"/>
      <c r="J27" s="78" t="s">
        <v>121</v>
      </c>
      <c r="K27" s="79"/>
      <c r="L27" s="79"/>
      <c r="M27" s="79"/>
      <c r="N27" s="78" t="s">
        <v>122</v>
      </c>
      <c r="O27" s="79"/>
      <c r="P27" s="79"/>
      <c r="Q27" s="79"/>
      <c r="R27" s="111" t="s">
        <v>123</v>
      </c>
      <c r="S27" s="111"/>
      <c r="T27" s="112"/>
    </row>
    <row r="28" ht="1" customHeight="1" spans="2:20">
      <c r="B28" s="50"/>
      <c r="C28" s="51"/>
      <c r="D28" s="51"/>
      <c r="E28" s="52"/>
      <c r="F28" s="51"/>
      <c r="G28" s="51"/>
      <c r="H28" s="52"/>
      <c r="I28" s="51"/>
      <c r="J28" s="51"/>
      <c r="K28" s="52"/>
      <c r="L28" s="51"/>
      <c r="M28" s="51"/>
      <c r="N28" s="52"/>
      <c r="O28" s="51"/>
      <c r="P28" s="51"/>
      <c r="Q28" s="52"/>
      <c r="R28" s="52"/>
      <c r="S28" s="52"/>
      <c r="T28" s="113"/>
    </row>
    <row r="29" ht="25" customHeight="1" spans="2:20">
      <c r="B29" s="42" t="s">
        <v>124</v>
      </c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110"/>
    </row>
    <row r="30" ht="25" customHeight="1" spans="2:20">
      <c r="B30" s="142" t="s">
        <v>37</v>
      </c>
      <c r="C30" s="143" t="s">
        <v>125</v>
      </c>
      <c r="D30" s="144"/>
      <c r="E30" s="143" t="s">
        <v>126</v>
      </c>
      <c r="F30" s="143" t="s">
        <v>125</v>
      </c>
      <c r="G30" s="128"/>
      <c r="H30" s="143" t="s">
        <v>126</v>
      </c>
      <c r="I30" s="143" t="s">
        <v>125</v>
      </c>
      <c r="J30" s="128"/>
      <c r="K30" s="143" t="s">
        <v>126</v>
      </c>
      <c r="L30" s="143" t="s">
        <v>125</v>
      </c>
      <c r="M30" s="128"/>
      <c r="N30" s="143" t="s">
        <v>126</v>
      </c>
      <c r="O30" s="143" t="s">
        <v>125</v>
      </c>
      <c r="P30" s="128"/>
      <c r="Q30" s="143" t="s">
        <v>126</v>
      </c>
      <c r="R30" s="143" t="s">
        <v>125</v>
      </c>
      <c r="S30" s="128"/>
      <c r="T30" s="151" t="s">
        <v>116</v>
      </c>
    </row>
    <row r="31" ht="25" customHeight="1" spans="2:20">
      <c r="B31" s="130" t="s">
        <v>117</v>
      </c>
      <c r="C31" s="131">
        <v>191025000038</v>
      </c>
      <c r="D31" s="59"/>
      <c r="E31" s="132">
        <v>888787</v>
      </c>
      <c r="F31" s="131">
        <v>191025000038</v>
      </c>
      <c r="G31" s="131"/>
      <c r="H31" s="132">
        <v>888787</v>
      </c>
      <c r="I31" s="131">
        <v>191025000038</v>
      </c>
      <c r="J31" s="131"/>
      <c r="K31" s="132">
        <v>888787</v>
      </c>
      <c r="L31" s="131">
        <v>191025000038</v>
      </c>
      <c r="M31" s="131"/>
      <c r="N31" s="132">
        <v>888787</v>
      </c>
      <c r="O31" s="131">
        <v>191025000038</v>
      </c>
      <c r="P31" s="131"/>
      <c r="Q31" s="132">
        <v>888787</v>
      </c>
      <c r="R31" s="131">
        <v>191025000038</v>
      </c>
      <c r="S31" s="131"/>
      <c r="T31" s="148">
        <v>888787</v>
      </c>
    </row>
    <row r="32" ht="25" customHeight="1" spans="2:20">
      <c r="B32" s="133"/>
      <c r="C32" s="131">
        <v>190922000006</v>
      </c>
      <c r="D32" s="59"/>
      <c r="E32" s="132">
        <v>401</v>
      </c>
      <c r="F32" s="131">
        <v>190922000006</v>
      </c>
      <c r="G32" s="131"/>
      <c r="H32" s="132">
        <v>401</v>
      </c>
      <c r="I32" s="131">
        <v>190922000006</v>
      </c>
      <c r="J32" s="131"/>
      <c r="K32" s="132">
        <v>401</v>
      </c>
      <c r="L32" s="131">
        <v>190922000006</v>
      </c>
      <c r="M32" s="131"/>
      <c r="N32" s="132">
        <v>401</v>
      </c>
      <c r="O32" s="131">
        <v>190922000006</v>
      </c>
      <c r="P32" s="131"/>
      <c r="Q32" s="132">
        <v>401</v>
      </c>
      <c r="R32" s="131">
        <v>190922000006</v>
      </c>
      <c r="S32" s="131"/>
      <c r="T32" s="148">
        <v>401</v>
      </c>
    </row>
    <row r="33" ht="25" customHeight="1" spans="2:20">
      <c r="B33" s="133"/>
      <c r="C33" s="131">
        <v>190828000021</v>
      </c>
      <c r="D33" s="59"/>
      <c r="E33" s="132">
        <v>402</v>
      </c>
      <c r="F33" s="131">
        <v>190828000021</v>
      </c>
      <c r="G33" s="131"/>
      <c r="H33" s="132">
        <v>402</v>
      </c>
      <c r="I33" s="131">
        <v>190828000021</v>
      </c>
      <c r="J33" s="131"/>
      <c r="K33" s="132">
        <v>402</v>
      </c>
      <c r="L33" s="131">
        <v>190828000021</v>
      </c>
      <c r="M33" s="131"/>
      <c r="N33" s="132">
        <v>402</v>
      </c>
      <c r="O33" s="131">
        <v>190828000021</v>
      </c>
      <c r="P33" s="131"/>
      <c r="Q33" s="132">
        <v>402</v>
      </c>
      <c r="R33" s="131">
        <v>190828000021</v>
      </c>
      <c r="S33" s="131"/>
      <c r="T33" s="148">
        <v>402</v>
      </c>
    </row>
    <row r="34" ht="25" customHeight="1" spans="2:20">
      <c r="B34" s="133"/>
      <c r="C34" s="131">
        <v>191025000041</v>
      </c>
      <c r="D34" s="59"/>
      <c r="E34" s="132">
        <v>403</v>
      </c>
      <c r="F34" s="131">
        <v>191025000041</v>
      </c>
      <c r="G34" s="131"/>
      <c r="H34" s="132">
        <v>403</v>
      </c>
      <c r="I34" s="131">
        <v>191025000041</v>
      </c>
      <c r="J34" s="131"/>
      <c r="K34" s="132">
        <v>403</v>
      </c>
      <c r="L34" s="131">
        <v>191025000041</v>
      </c>
      <c r="M34" s="131"/>
      <c r="N34" s="132">
        <v>403</v>
      </c>
      <c r="O34" s="131">
        <v>191025000041</v>
      </c>
      <c r="P34" s="131"/>
      <c r="Q34" s="132">
        <v>403</v>
      </c>
      <c r="R34" s="131">
        <v>191025000041</v>
      </c>
      <c r="S34" s="131"/>
      <c r="T34" s="148">
        <v>403</v>
      </c>
    </row>
    <row r="35" ht="1" customHeight="1" spans="2:20">
      <c r="B35" s="134"/>
      <c r="C35" s="135"/>
      <c r="D35" s="136"/>
      <c r="E35" s="137"/>
      <c r="F35" s="135"/>
      <c r="G35" s="135"/>
      <c r="H35" s="137"/>
      <c r="I35" s="135"/>
      <c r="J35" s="135"/>
      <c r="K35" s="137"/>
      <c r="L35" s="135"/>
      <c r="M35" s="135"/>
      <c r="N35" s="137"/>
      <c r="O35" s="135"/>
      <c r="P35" s="135"/>
      <c r="Q35" s="137"/>
      <c r="R35" s="135"/>
      <c r="S35" s="135"/>
      <c r="T35" s="149"/>
    </row>
    <row r="36" ht="25" customHeight="1" spans="2:20">
      <c r="B36" s="130" t="s">
        <v>118</v>
      </c>
      <c r="C36" s="131">
        <v>191025000040</v>
      </c>
      <c r="D36" s="59"/>
      <c r="E36" s="132">
        <v>404</v>
      </c>
      <c r="F36" s="131">
        <v>191025000040</v>
      </c>
      <c r="G36" s="131"/>
      <c r="H36" s="132">
        <v>404</v>
      </c>
      <c r="I36" s="131">
        <v>191025000040</v>
      </c>
      <c r="J36" s="131"/>
      <c r="K36" s="132">
        <v>404</v>
      </c>
      <c r="L36" s="131">
        <v>191025000040</v>
      </c>
      <c r="M36" s="131"/>
      <c r="N36" s="132">
        <v>404</v>
      </c>
      <c r="O36" s="131">
        <v>191025000040</v>
      </c>
      <c r="P36" s="131"/>
      <c r="Q36" s="132">
        <v>404</v>
      </c>
      <c r="R36" s="131">
        <v>191025000040</v>
      </c>
      <c r="S36" s="131"/>
      <c r="T36" s="148">
        <v>404</v>
      </c>
    </row>
    <row r="37" ht="25" customHeight="1" spans="2:20">
      <c r="B37" s="133"/>
      <c r="C37" s="131">
        <v>191012000003</v>
      </c>
      <c r="D37" s="59"/>
      <c r="E37" s="132">
        <v>405</v>
      </c>
      <c r="F37" s="131">
        <v>191012000003</v>
      </c>
      <c r="G37" s="131"/>
      <c r="H37" s="132">
        <v>405</v>
      </c>
      <c r="I37" s="131">
        <v>191012000003</v>
      </c>
      <c r="J37" s="131"/>
      <c r="K37" s="132">
        <v>405</v>
      </c>
      <c r="L37" s="131">
        <v>191012000003</v>
      </c>
      <c r="M37" s="131"/>
      <c r="N37" s="132">
        <v>405</v>
      </c>
      <c r="O37" s="131">
        <v>191012000003</v>
      </c>
      <c r="P37" s="131"/>
      <c r="Q37" s="132">
        <v>405</v>
      </c>
      <c r="R37" s="131">
        <v>191012000003</v>
      </c>
      <c r="S37" s="131"/>
      <c r="T37" s="148">
        <v>405</v>
      </c>
    </row>
    <row r="38" ht="25" customHeight="1" spans="2:20">
      <c r="B38" s="133"/>
      <c r="C38" s="131">
        <v>191013000009</v>
      </c>
      <c r="D38" s="59"/>
      <c r="E38" s="132">
        <v>406</v>
      </c>
      <c r="F38" s="131">
        <v>191013000009</v>
      </c>
      <c r="G38" s="131"/>
      <c r="H38" s="132">
        <v>406</v>
      </c>
      <c r="I38" s="131">
        <v>191013000009</v>
      </c>
      <c r="J38" s="131"/>
      <c r="K38" s="132">
        <v>406</v>
      </c>
      <c r="L38" s="131">
        <v>191013000009</v>
      </c>
      <c r="M38" s="131"/>
      <c r="N38" s="132">
        <v>406</v>
      </c>
      <c r="O38" s="131">
        <v>191013000009</v>
      </c>
      <c r="P38" s="131"/>
      <c r="Q38" s="132">
        <v>406</v>
      </c>
      <c r="R38" s="131">
        <v>191013000009</v>
      </c>
      <c r="S38" s="131"/>
      <c r="T38" s="148">
        <v>406</v>
      </c>
    </row>
    <row r="39" ht="25" customHeight="1" spans="2:20">
      <c r="B39" s="133"/>
      <c r="C39" s="131">
        <v>190922000006</v>
      </c>
      <c r="D39" s="59"/>
      <c r="E39" s="132">
        <v>407</v>
      </c>
      <c r="F39" s="131">
        <v>190922000006</v>
      </c>
      <c r="G39" s="131"/>
      <c r="H39" s="132">
        <v>407</v>
      </c>
      <c r="I39" s="131">
        <v>190922000006</v>
      </c>
      <c r="J39" s="131"/>
      <c r="K39" s="132">
        <v>407</v>
      </c>
      <c r="L39" s="131">
        <v>190922000006</v>
      </c>
      <c r="M39" s="131"/>
      <c r="N39" s="132">
        <v>407</v>
      </c>
      <c r="O39" s="131">
        <v>190922000006</v>
      </c>
      <c r="P39" s="131"/>
      <c r="Q39" s="132">
        <v>407</v>
      </c>
      <c r="R39" s="131">
        <v>190922000006</v>
      </c>
      <c r="S39" s="131"/>
      <c r="T39" s="148">
        <v>407</v>
      </c>
    </row>
    <row r="40" ht="25" customHeight="1" spans="2:20">
      <c r="B40" s="133"/>
      <c r="C40" s="131">
        <v>190828000021</v>
      </c>
      <c r="D40" s="59"/>
      <c r="E40" s="132">
        <v>403</v>
      </c>
      <c r="F40" s="131">
        <v>190828000021</v>
      </c>
      <c r="G40" s="131"/>
      <c r="H40" s="132">
        <v>403</v>
      </c>
      <c r="I40" s="131">
        <v>190828000021</v>
      </c>
      <c r="J40" s="131"/>
      <c r="K40" s="132">
        <v>403</v>
      </c>
      <c r="L40" s="131">
        <v>190828000021</v>
      </c>
      <c r="M40" s="131"/>
      <c r="N40" s="132">
        <v>403</v>
      </c>
      <c r="O40" s="131">
        <v>190828000021</v>
      </c>
      <c r="P40" s="131"/>
      <c r="Q40" s="132">
        <v>403</v>
      </c>
      <c r="R40" s="131">
        <v>190828000021</v>
      </c>
      <c r="S40" s="131"/>
      <c r="T40" s="148">
        <v>403</v>
      </c>
    </row>
    <row r="41" ht="1" customHeight="1" spans="2:20">
      <c r="B41" s="134"/>
      <c r="C41" s="135"/>
      <c r="D41" s="136"/>
      <c r="E41" s="137"/>
      <c r="F41" s="135"/>
      <c r="G41" s="135"/>
      <c r="H41" s="137"/>
      <c r="I41" s="135"/>
      <c r="J41" s="135"/>
      <c r="K41" s="137"/>
      <c r="L41" s="135"/>
      <c r="M41" s="135"/>
      <c r="N41" s="137"/>
      <c r="O41" s="135"/>
      <c r="P41" s="135"/>
      <c r="Q41" s="137"/>
      <c r="R41" s="135"/>
      <c r="S41" s="135"/>
      <c r="T41" s="149"/>
    </row>
    <row r="42" ht="25" customHeight="1" spans="2:20">
      <c r="B42" s="130" t="s">
        <v>119</v>
      </c>
      <c r="C42" s="131">
        <v>191013000009</v>
      </c>
      <c r="D42" s="59"/>
      <c r="E42" s="132">
        <v>404</v>
      </c>
      <c r="F42" s="131">
        <v>191013000009</v>
      </c>
      <c r="G42" s="131"/>
      <c r="H42" s="132">
        <v>404</v>
      </c>
      <c r="I42" s="131">
        <v>191013000009</v>
      </c>
      <c r="J42" s="131"/>
      <c r="K42" s="132">
        <v>404</v>
      </c>
      <c r="L42" s="131">
        <v>191013000009</v>
      </c>
      <c r="M42" s="131"/>
      <c r="N42" s="132">
        <v>404</v>
      </c>
      <c r="O42" s="131">
        <v>191013000009</v>
      </c>
      <c r="P42" s="131"/>
      <c r="Q42" s="132">
        <v>404</v>
      </c>
      <c r="R42" s="131">
        <v>191013000009</v>
      </c>
      <c r="S42" s="131"/>
      <c r="T42" s="148">
        <v>404</v>
      </c>
    </row>
    <row r="43" ht="25" customHeight="1" spans="2:20">
      <c r="B43" s="138"/>
      <c r="C43" s="139"/>
      <c r="D43" s="139"/>
      <c r="E43" s="145">
        <f>SUM(E31:E42)</f>
        <v>892422</v>
      </c>
      <c r="F43" s="141"/>
      <c r="G43" s="141"/>
      <c r="H43" s="145">
        <f>SUM(H31:H42)</f>
        <v>892422</v>
      </c>
      <c r="I43" s="141"/>
      <c r="J43" s="141"/>
      <c r="K43" s="145">
        <f>SUM(K31:K42)</f>
        <v>892422</v>
      </c>
      <c r="L43" s="141"/>
      <c r="M43" s="141"/>
      <c r="N43" s="145">
        <f>SUM(N31:N42)</f>
        <v>892422</v>
      </c>
      <c r="O43" s="141"/>
      <c r="P43" s="141"/>
      <c r="Q43" s="145">
        <f>SUM(Q31:Q42)</f>
        <v>892422</v>
      </c>
      <c r="R43" s="141"/>
      <c r="S43" s="141"/>
      <c r="T43" s="152">
        <f>SUM(T31:T42)</f>
        <v>892422</v>
      </c>
    </row>
    <row r="44" ht="25" customHeight="1" spans="2:20">
      <c r="B44" s="45"/>
      <c r="C44" s="46"/>
      <c r="D44" s="46"/>
      <c r="E44" s="47"/>
      <c r="F44" s="48" t="s">
        <v>127</v>
      </c>
      <c r="G44" s="49"/>
      <c r="H44" s="49"/>
      <c r="I44" s="49"/>
      <c r="J44" s="78" t="s">
        <v>128</v>
      </c>
      <c r="K44" s="79"/>
      <c r="L44" s="79"/>
      <c r="M44" s="79"/>
      <c r="N44" s="78" t="s">
        <v>129</v>
      </c>
      <c r="O44" s="79"/>
      <c r="P44" s="79"/>
      <c r="Q44" s="79"/>
      <c r="R44" s="114" t="s">
        <v>130</v>
      </c>
      <c r="S44" s="111"/>
      <c r="T44" s="112"/>
    </row>
    <row r="45" ht="1" customHeight="1" spans="2:20"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109"/>
    </row>
    <row r="46" ht="25" customHeight="1" spans="2:20">
      <c r="B46" s="53" t="s">
        <v>131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115"/>
    </row>
    <row r="47" ht="25" customHeight="1" spans="2:20">
      <c r="B47" s="55" t="s">
        <v>36</v>
      </c>
      <c r="C47" s="56" t="s">
        <v>132</v>
      </c>
      <c r="D47" s="56"/>
      <c r="E47" s="56"/>
      <c r="F47" s="56"/>
      <c r="G47" s="57" t="s">
        <v>125</v>
      </c>
      <c r="H47" s="57"/>
      <c r="I47" s="80" t="s">
        <v>133</v>
      </c>
      <c r="J47" s="80"/>
      <c r="K47" s="81" t="s">
        <v>134</v>
      </c>
      <c r="L47" s="81"/>
      <c r="M47" s="82" t="s">
        <v>135</v>
      </c>
      <c r="N47" s="82" t="s">
        <v>136</v>
      </c>
      <c r="O47" s="82"/>
      <c r="P47" s="146" t="s">
        <v>47</v>
      </c>
      <c r="Q47" s="116" t="s">
        <v>137</v>
      </c>
      <c r="R47" s="116"/>
      <c r="S47" s="116" t="s">
        <v>138</v>
      </c>
      <c r="T47" s="117"/>
    </row>
    <row r="48" ht="25" customHeight="1" spans="2:20">
      <c r="B48" s="58">
        <v>1</v>
      </c>
      <c r="C48" s="37" t="s">
        <v>139</v>
      </c>
      <c r="D48" s="37"/>
      <c r="E48" s="37"/>
      <c r="F48" s="37"/>
      <c r="G48" s="59" t="s">
        <v>140</v>
      </c>
      <c r="H48" s="59"/>
      <c r="I48" s="84" t="s">
        <v>141</v>
      </c>
      <c r="J48" s="84"/>
      <c r="K48" s="85">
        <v>30</v>
      </c>
      <c r="L48" s="85"/>
      <c r="M48" s="86">
        <v>2500</v>
      </c>
      <c r="N48" s="86">
        <v>75000</v>
      </c>
      <c r="O48" s="86"/>
      <c r="P48" s="87" t="s">
        <v>71</v>
      </c>
      <c r="Q48" s="118" t="s">
        <v>142</v>
      </c>
      <c r="R48" s="118"/>
      <c r="S48" s="119" t="s">
        <v>143</v>
      </c>
      <c r="T48" s="120"/>
    </row>
    <row r="49" ht="25" customHeight="1" spans="2:20">
      <c r="B49" s="60">
        <v>2</v>
      </c>
      <c r="C49" s="61" t="s">
        <v>144</v>
      </c>
      <c r="D49" s="62"/>
      <c r="E49" s="62"/>
      <c r="F49" s="62"/>
      <c r="G49" s="63" t="s">
        <v>140</v>
      </c>
      <c r="H49" s="63"/>
      <c r="I49" s="88" t="s">
        <v>145</v>
      </c>
      <c r="J49" s="88"/>
      <c r="K49" s="89">
        <v>350</v>
      </c>
      <c r="L49" s="89"/>
      <c r="M49" s="90">
        <v>1</v>
      </c>
      <c r="N49" s="90">
        <v>350</v>
      </c>
      <c r="O49" s="90"/>
      <c r="P49" s="93" t="s">
        <v>146</v>
      </c>
      <c r="Q49" s="121" t="s">
        <v>147</v>
      </c>
      <c r="R49" s="121"/>
      <c r="S49" s="122" t="s">
        <v>143</v>
      </c>
      <c r="T49" s="123"/>
    </row>
    <row r="50" ht="25" customHeight="1" spans="2:20">
      <c r="B50" s="58">
        <v>3</v>
      </c>
      <c r="C50" s="37" t="s">
        <v>148</v>
      </c>
      <c r="D50" s="37"/>
      <c r="E50" s="37"/>
      <c r="F50" s="37"/>
      <c r="G50" s="59" t="s">
        <v>140</v>
      </c>
      <c r="H50" s="59"/>
      <c r="I50" s="84" t="s">
        <v>149</v>
      </c>
      <c r="J50" s="84"/>
      <c r="K50" s="85">
        <v>30</v>
      </c>
      <c r="L50" s="85"/>
      <c r="M50" s="86">
        <v>1</v>
      </c>
      <c r="N50" s="86">
        <v>30</v>
      </c>
      <c r="O50" s="86"/>
      <c r="P50" s="92" t="s">
        <v>146</v>
      </c>
      <c r="Q50" s="118" t="s">
        <v>150</v>
      </c>
      <c r="R50" s="118"/>
      <c r="S50" s="119" t="s">
        <v>143</v>
      </c>
      <c r="T50" s="120"/>
    </row>
    <row r="51" ht="25" customHeight="1" spans="2:20">
      <c r="B51" s="60">
        <v>4</v>
      </c>
      <c r="C51" s="62" t="s">
        <v>148</v>
      </c>
      <c r="D51" s="62"/>
      <c r="E51" s="62"/>
      <c r="F51" s="62"/>
      <c r="G51" s="63" t="s">
        <v>140</v>
      </c>
      <c r="H51" s="63"/>
      <c r="I51" s="88" t="s">
        <v>151</v>
      </c>
      <c r="J51" s="88"/>
      <c r="K51" s="89">
        <v>30</v>
      </c>
      <c r="L51" s="89"/>
      <c r="M51" s="90">
        <v>1</v>
      </c>
      <c r="N51" s="90">
        <v>30</v>
      </c>
      <c r="O51" s="90"/>
      <c r="P51" s="93" t="s">
        <v>146</v>
      </c>
      <c r="Q51" s="121" t="s">
        <v>152</v>
      </c>
      <c r="R51" s="121"/>
      <c r="S51" s="122" t="s">
        <v>143</v>
      </c>
      <c r="T51" s="123"/>
    </row>
    <row r="52" ht="25" customHeight="1" spans="2:20">
      <c r="B52" s="58">
        <v>5</v>
      </c>
      <c r="C52" s="37" t="s">
        <v>148</v>
      </c>
      <c r="D52" s="37"/>
      <c r="E52" s="37"/>
      <c r="F52" s="37"/>
      <c r="G52" s="59" t="s">
        <v>140</v>
      </c>
      <c r="H52" s="59"/>
      <c r="I52" s="84" t="s">
        <v>153</v>
      </c>
      <c r="J52" s="84"/>
      <c r="K52" s="85">
        <v>30</v>
      </c>
      <c r="L52" s="85"/>
      <c r="M52" s="86">
        <v>2</v>
      </c>
      <c r="N52" s="86">
        <v>60</v>
      </c>
      <c r="O52" s="86"/>
      <c r="P52" s="92" t="s">
        <v>146</v>
      </c>
      <c r="Q52" s="118" t="s">
        <v>154</v>
      </c>
      <c r="R52" s="118"/>
      <c r="S52" s="119" t="s">
        <v>143</v>
      </c>
      <c r="T52" s="120"/>
    </row>
    <row r="53" ht="25" customHeight="1" spans="2:20">
      <c r="B53" s="60">
        <v>6</v>
      </c>
      <c r="C53" s="62" t="s">
        <v>148</v>
      </c>
      <c r="D53" s="62"/>
      <c r="E53" s="62"/>
      <c r="F53" s="62"/>
      <c r="G53" s="63">
        <v>190922000006</v>
      </c>
      <c r="H53" s="63"/>
      <c r="I53" s="88" t="s">
        <v>155</v>
      </c>
      <c r="J53" s="88"/>
      <c r="K53" s="89">
        <v>30</v>
      </c>
      <c r="L53" s="89"/>
      <c r="M53" s="90">
        <v>1</v>
      </c>
      <c r="N53" s="90">
        <v>30</v>
      </c>
      <c r="O53" s="90"/>
      <c r="P53" s="93" t="s">
        <v>146</v>
      </c>
      <c r="Q53" s="121" t="s">
        <v>156</v>
      </c>
      <c r="R53" s="121"/>
      <c r="S53" s="122" t="s">
        <v>143</v>
      </c>
      <c r="T53" s="123"/>
    </row>
    <row r="54" ht="25" customHeight="1" spans="2:20">
      <c r="B54" s="58">
        <v>7</v>
      </c>
      <c r="C54" s="37" t="s">
        <v>148</v>
      </c>
      <c r="D54" s="37"/>
      <c r="E54" s="37"/>
      <c r="F54" s="37"/>
      <c r="G54" s="59">
        <v>190922000006</v>
      </c>
      <c r="H54" s="59"/>
      <c r="I54" s="84" t="s">
        <v>157</v>
      </c>
      <c r="J54" s="84"/>
      <c r="K54" s="85">
        <v>30</v>
      </c>
      <c r="L54" s="85"/>
      <c r="M54" s="86">
        <v>2</v>
      </c>
      <c r="N54" s="86">
        <v>60</v>
      </c>
      <c r="O54" s="86"/>
      <c r="P54" s="92" t="s">
        <v>146</v>
      </c>
      <c r="Q54" s="118" t="s">
        <v>158</v>
      </c>
      <c r="R54" s="118"/>
      <c r="S54" s="119" t="s">
        <v>143</v>
      </c>
      <c r="T54" s="120"/>
    </row>
    <row r="55" ht="25" customHeight="1" spans="2:20">
      <c r="B55" s="60">
        <v>8</v>
      </c>
      <c r="C55" s="62" t="s">
        <v>148</v>
      </c>
      <c r="D55" s="62"/>
      <c r="E55" s="62"/>
      <c r="F55" s="62"/>
      <c r="G55" s="63">
        <v>191013000009</v>
      </c>
      <c r="H55" s="63"/>
      <c r="I55" s="88" t="s">
        <v>159</v>
      </c>
      <c r="J55" s="88"/>
      <c r="K55" s="89">
        <v>30</v>
      </c>
      <c r="L55" s="89"/>
      <c r="M55" s="90">
        <v>1</v>
      </c>
      <c r="N55" s="90">
        <v>30</v>
      </c>
      <c r="O55" s="90"/>
      <c r="P55" s="93" t="s">
        <v>146</v>
      </c>
      <c r="Q55" s="121" t="s">
        <v>160</v>
      </c>
      <c r="R55" s="121"/>
      <c r="S55" s="122" t="s">
        <v>143</v>
      </c>
      <c r="T55" s="123"/>
    </row>
    <row r="56" ht="25" customHeight="1" spans="2:20">
      <c r="B56" s="58">
        <v>9</v>
      </c>
      <c r="C56" s="37" t="s">
        <v>148</v>
      </c>
      <c r="D56" s="37"/>
      <c r="E56" s="37"/>
      <c r="F56" s="37"/>
      <c r="G56" s="59" t="s">
        <v>140</v>
      </c>
      <c r="H56" s="59"/>
      <c r="I56" s="84" t="s">
        <v>157</v>
      </c>
      <c r="J56" s="84"/>
      <c r="K56" s="85">
        <v>30</v>
      </c>
      <c r="L56" s="85"/>
      <c r="M56" s="86">
        <v>1</v>
      </c>
      <c r="N56" s="86">
        <v>30</v>
      </c>
      <c r="O56" s="86"/>
      <c r="P56" s="92" t="s">
        <v>146</v>
      </c>
      <c r="Q56" s="118" t="s">
        <v>161</v>
      </c>
      <c r="R56" s="118"/>
      <c r="S56" s="119" t="s">
        <v>143</v>
      </c>
      <c r="T56" s="120"/>
    </row>
    <row r="57" ht="25" customHeight="1" spans="2:20">
      <c r="B57" s="60">
        <v>10</v>
      </c>
      <c r="C57" s="62" t="s">
        <v>148</v>
      </c>
      <c r="D57" s="62"/>
      <c r="E57" s="62"/>
      <c r="F57" s="62"/>
      <c r="G57" s="63" t="s">
        <v>140</v>
      </c>
      <c r="H57" s="63"/>
      <c r="I57" s="88" t="s">
        <v>157</v>
      </c>
      <c r="J57" s="88"/>
      <c r="K57" s="89">
        <v>30</v>
      </c>
      <c r="L57" s="89"/>
      <c r="M57" s="90">
        <v>1</v>
      </c>
      <c r="N57" s="90">
        <v>30</v>
      </c>
      <c r="O57" s="90"/>
      <c r="P57" s="93" t="s">
        <v>146</v>
      </c>
      <c r="Q57" s="121" t="s">
        <v>162</v>
      </c>
      <c r="R57" s="121"/>
      <c r="S57" s="122" t="s">
        <v>143</v>
      </c>
      <c r="T57" s="123"/>
    </row>
    <row r="58" ht="25" customHeight="1" spans="2:20">
      <c r="B58" s="58">
        <v>11</v>
      </c>
      <c r="C58" s="37" t="s">
        <v>148</v>
      </c>
      <c r="D58" s="37"/>
      <c r="E58" s="37"/>
      <c r="F58" s="37"/>
      <c r="G58" s="59" t="s">
        <v>140</v>
      </c>
      <c r="H58" s="59"/>
      <c r="I58" s="84" t="s">
        <v>157</v>
      </c>
      <c r="J58" s="84"/>
      <c r="K58" s="85">
        <v>30</v>
      </c>
      <c r="L58" s="85"/>
      <c r="M58" s="86">
        <v>1</v>
      </c>
      <c r="N58" s="86">
        <v>30</v>
      </c>
      <c r="O58" s="86"/>
      <c r="P58" s="92" t="s">
        <v>163</v>
      </c>
      <c r="Q58" s="118" t="s">
        <v>164</v>
      </c>
      <c r="R58" s="118"/>
      <c r="S58" s="119" t="s">
        <v>143</v>
      </c>
      <c r="T58" s="120"/>
    </row>
    <row r="59" ht="25" customHeight="1" spans="2:20">
      <c r="B59" s="60">
        <v>12</v>
      </c>
      <c r="C59" s="62" t="s">
        <v>148</v>
      </c>
      <c r="D59" s="62"/>
      <c r="E59" s="62"/>
      <c r="F59" s="62"/>
      <c r="G59" s="63" t="s">
        <v>140</v>
      </c>
      <c r="H59" s="63"/>
      <c r="I59" s="88" t="s">
        <v>157</v>
      </c>
      <c r="J59" s="88"/>
      <c r="K59" s="88">
        <v>30</v>
      </c>
      <c r="L59" s="88"/>
      <c r="M59" s="90">
        <v>1</v>
      </c>
      <c r="N59" s="93">
        <v>30</v>
      </c>
      <c r="O59" s="93"/>
      <c r="P59" s="93" t="s">
        <v>163</v>
      </c>
      <c r="Q59" s="121" t="s">
        <v>165</v>
      </c>
      <c r="R59" s="121"/>
      <c r="S59" s="122" t="s">
        <v>143</v>
      </c>
      <c r="T59" s="123"/>
    </row>
    <row r="60" s="14" customFormat="1" ht="25" customHeight="1" spans="2:21">
      <c r="B60" s="64"/>
      <c r="C60" s="65"/>
      <c r="D60" s="65"/>
      <c r="E60" s="65"/>
      <c r="F60" s="65"/>
      <c r="G60" s="65"/>
      <c r="H60" s="66"/>
      <c r="I60" s="66"/>
      <c r="J60" s="66"/>
      <c r="K60" s="94"/>
      <c r="L60" s="95" t="s">
        <v>166</v>
      </c>
      <c r="M60" s="95"/>
      <c r="N60" s="96">
        <f>SUM(N48:N59)</f>
        <v>75710</v>
      </c>
      <c r="O60" s="96"/>
      <c r="P60" s="97"/>
      <c r="Q60" s="97"/>
      <c r="R60" s="124"/>
      <c r="S60" s="97"/>
      <c r="T60" s="125"/>
      <c r="U60" s="15"/>
    </row>
    <row r="61" ht="25" customHeight="1" spans="2:20">
      <c r="B61" s="67" t="s">
        <v>167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126"/>
    </row>
  </sheetData>
  <mergeCells count="32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V6:W6"/>
    <mergeCell ref="X6:Y6"/>
    <mergeCell ref="Z6:AA6"/>
    <mergeCell ref="AB6:AC6"/>
    <mergeCell ref="AD6:AE6"/>
    <mergeCell ref="B7:C7"/>
    <mergeCell ref="E7:F7"/>
    <mergeCell ref="H7:I7"/>
    <mergeCell ref="J7:K7"/>
    <mergeCell ref="L7:M7"/>
    <mergeCell ref="N7:O7"/>
    <mergeCell ref="P7:Q7"/>
    <mergeCell ref="V7:W7"/>
    <mergeCell ref="X7:Y7"/>
    <mergeCell ref="Z7:AA7"/>
    <mergeCell ref="AB7:AC7"/>
    <mergeCell ref="AD7:AE7"/>
    <mergeCell ref="B8:C8"/>
    <mergeCell ref="E8:F8"/>
    <mergeCell ref="H8:I8"/>
    <mergeCell ref="J8:K8"/>
    <mergeCell ref="L8:M8"/>
    <mergeCell ref="N8:O8"/>
    <mergeCell ref="P8:Q8"/>
    <mergeCell ref="V8:W8"/>
    <mergeCell ref="X8:Y8"/>
    <mergeCell ref="Z8:AA8"/>
    <mergeCell ref="AB8:AC8"/>
    <mergeCell ref="AD8:AE8"/>
    <mergeCell ref="B9:C9"/>
    <mergeCell ref="E9:F9"/>
    <mergeCell ref="H9:I9"/>
    <mergeCell ref="J9:K9"/>
    <mergeCell ref="L9:M9"/>
    <mergeCell ref="N9:O9"/>
    <mergeCell ref="P9:Q9"/>
    <mergeCell ref="V9:W9"/>
    <mergeCell ref="X9:Y9"/>
    <mergeCell ref="Z9:AA9"/>
    <mergeCell ref="AB9:AC9"/>
    <mergeCell ref="AD9:AE9"/>
    <mergeCell ref="E10:F10"/>
    <mergeCell ref="H10:I10"/>
    <mergeCell ref="J10:K10"/>
    <mergeCell ref="L10:M10"/>
    <mergeCell ref="N10:O10"/>
    <mergeCell ref="P10:Q10"/>
    <mergeCell ref="V10:W10"/>
    <mergeCell ref="X10:Y10"/>
    <mergeCell ref="Z10:AA10"/>
    <mergeCell ref="AB10:AC10"/>
    <mergeCell ref="AD10:AE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33"/>
  <sheetViews>
    <sheetView workbookViewId="0">
      <selection activeCell="L10" sqref="L10:M10"/>
    </sheetView>
  </sheetViews>
  <sheetFormatPr defaultColWidth="9" defaultRowHeight="12"/>
  <cols>
    <col min="1" max="1" width="9" style="14"/>
    <col min="2" max="20" width="10.625" style="14" customWidth="1"/>
    <col min="21" max="21" width="9" style="15"/>
    <col min="22" max="16384" width="9" style="14"/>
  </cols>
  <sheetData>
    <row r="1" ht="25" customHeight="1" spans="2:20">
      <c r="B1" s="16" t="s">
        <v>87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98"/>
    </row>
    <row r="2" s="13" customFormat="1" ht="25" customHeight="1" spans="2:21">
      <c r="B2" s="19" t="s">
        <v>88</v>
      </c>
      <c r="C2" s="20"/>
      <c r="D2" s="21" t="s">
        <v>89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69"/>
      <c r="Q2" s="69"/>
      <c r="R2" s="69"/>
      <c r="S2" s="69"/>
      <c r="T2" s="99"/>
      <c r="U2" s="100"/>
    </row>
    <row r="3" s="13" customFormat="1" ht="25" customHeight="1" spans="2:21">
      <c r="B3" s="19" t="s">
        <v>90</v>
      </c>
      <c r="C3" s="20"/>
      <c r="D3" s="20" t="s">
        <v>91</v>
      </c>
      <c r="E3" s="20"/>
      <c r="F3" s="21" t="s">
        <v>92</v>
      </c>
      <c r="G3" s="21"/>
      <c r="H3" s="21"/>
      <c r="I3" s="21" t="s">
        <v>93</v>
      </c>
      <c r="J3" s="21"/>
      <c r="K3" s="21"/>
      <c r="L3" s="20" t="s">
        <v>94</v>
      </c>
      <c r="M3" s="20"/>
      <c r="N3" s="20" t="s">
        <v>95</v>
      </c>
      <c r="O3" s="20"/>
      <c r="P3" s="69"/>
      <c r="Q3" s="69"/>
      <c r="R3" s="69"/>
      <c r="S3" s="69"/>
      <c r="T3" s="99"/>
      <c r="U3" s="100"/>
    </row>
    <row r="4" ht="25" customHeight="1" spans="2:20">
      <c r="B4" s="22" t="s">
        <v>96</v>
      </c>
      <c r="C4" s="23"/>
      <c r="D4" s="23"/>
      <c r="E4" s="24" t="s">
        <v>97</v>
      </c>
      <c r="F4" s="24"/>
      <c r="G4" s="24"/>
      <c r="H4" s="24" t="s">
        <v>98</v>
      </c>
      <c r="I4" s="24"/>
      <c r="J4" s="24"/>
      <c r="K4" s="70"/>
      <c r="L4" s="71"/>
      <c r="M4" s="72"/>
      <c r="N4" s="72"/>
      <c r="O4" s="72"/>
      <c r="P4" s="72"/>
      <c r="Q4" s="72"/>
      <c r="R4" s="72"/>
      <c r="S4" s="72"/>
      <c r="T4" s="101"/>
    </row>
    <row r="5" ht="1" customHeight="1" spans="2:20"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02"/>
    </row>
    <row r="6" ht="25" customHeight="1" spans="2:31">
      <c r="B6" s="27" t="s">
        <v>99</v>
      </c>
      <c r="C6" s="28"/>
      <c r="D6" s="29" t="s">
        <v>100</v>
      </c>
      <c r="E6" s="30" t="s">
        <v>101</v>
      </c>
      <c r="F6" s="30"/>
      <c r="G6" s="30" t="s">
        <v>45</v>
      </c>
      <c r="H6" s="30" t="s">
        <v>102</v>
      </c>
      <c r="I6" s="30"/>
      <c r="J6" s="30" t="s">
        <v>103</v>
      </c>
      <c r="K6" s="30"/>
      <c r="L6" s="30" t="s">
        <v>104</v>
      </c>
      <c r="M6" s="30"/>
      <c r="N6" s="73" t="s">
        <v>105</v>
      </c>
      <c r="O6" s="73"/>
      <c r="P6" s="73" t="s">
        <v>106</v>
      </c>
      <c r="Q6" s="73"/>
      <c r="R6" s="103"/>
      <c r="S6" s="29"/>
      <c r="T6" s="104"/>
      <c r="V6" s="30" t="s">
        <v>102</v>
      </c>
      <c r="W6" s="30"/>
      <c r="X6" s="30" t="s">
        <v>103</v>
      </c>
      <c r="Y6" s="30"/>
      <c r="Z6" s="30" t="s">
        <v>104</v>
      </c>
      <c r="AA6" s="30"/>
      <c r="AB6" s="73" t="s">
        <v>105</v>
      </c>
      <c r="AC6" s="73"/>
      <c r="AD6" s="73" t="s">
        <v>106</v>
      </c>
      <c r="AE6" s="73"/>
    </row>
    <row r="7" ht="25" customHeight="1" spans="2:31">
      <c r="B7" s="31" t="s">
        <v>107</v>
      </c>
      <c r="C7" s="32"/>
      <c r="D7" s="33" t="s">
        <v>108</v>
      </c>
      <c r="E7" s="34">
        <v>50</v>
      </c>
      <c r="F7" s="34"/>
      <c r="G7" s="35">
        <v>20</v>
      </c>
      <c r="H7" s="34">
        <v>1300</v>
      </c>
      <c r="I7" s="34"/>
      <c r="J7" s="74">
        <v>0.52</v>
      </c>
      <c r="K7" s="74"/>
      <c r="L7" s="74">
        <v>0.52</v>
      </c>
      <c r="M7" s="74"/>
      <c r="N7" s="75">
        <v>0.52</v>
      </c>
      <c r="O7" s="75"/>
      <c r="P7" s="76">
        <v>0.9</v>
      </c>
      <c r="Q7" s="76"/>
      <c r="R7" s="105"/>
      <c r="S7" s="33"/>
      <c r="T7" s="106"/>
      <c r="V7" s="34">
        <v>1300</v>
      </c>
      <c r="W7" s="34"/>
      <c r="X7" s="74">
        <v>0.52</v>
      </c>
      <c r="Y7" s="74"/>
      <c r="Z7" s="74">
        <v>0.52</v>
      </c>
      <c r="AA7" s="74"/>
      <c r="AB7" s="75">
        <v>0.52</v>
      </c>
      <c r="AC7" s="75"/>
      <c r="AD7" s="76">
        <v>0.9</v>
      </c>
      <c r="AE7" s="76"/>
    </row>
    <row r="8" ht="25" customHeight="1" spans="2:31">
      <c r="B8" s="36" t="s">
        <v>109</v>
      </c>
      <c r="C8" s="37"/>
      <c r="D8" s="33" t="s">
        <v>110</v>
      </c>
      <c r="E8" s="34">
        <v>20</v>
      </c>
      <c r="F8" s="34"/>
      <c r="G8" s="35">
        <v>20</v>
      </c>
      <c r="H8" s="34">
        <v>1000</v>
      </c>
      <c r="I8" s="34"/>
      <c r="J8" s="74">
        <v>0.4</v>
      </c>
      <c r="K8" s="74"/>
      <c r="L8" s="74">
        <v>0.4</v>
      </c>
      <c r="M8" s="74"/>
      <c r="N8" s="75">
        <v>0.4</v>
      </c>
      <c r="O8" s="75"/>
      <c r="P8" s="76">
        <v>0.7</v>
      </c>
      <c r="Q8" s="76"/>
      <c r="R8" s="105"/>
      <c r="S8" s="37"/>
      <c r="T8" s="106"/>
      <c r="V8" s="34">
        <v>1000</v>
      </c>
      <c r="W8" s="34"/>
      <c r="X8" s="74">
        <v>0.4</v>
      </c>
      <c r="Y8" s="74"/>
      <c r="Z8" s="74">
        <v>0.4</v>
      </c>
      <c r="AA8" s="74"/>
      <c r="AB8" s="75">
        <v>0.4</v>
      </c>
      <c r="AC8" s="75"/>
      <c r="AD8" s="76">
        <v>0.7</v>
      </c>
      <c r="AE8" s="76"/>
    </row>
    <row r="9" ht="25" customHeight="1" spans="2:31">
      <c r="B9" s="36" t="s">
        <v>111</v>
      </c>
      <c r="C9" s="37"/>
      <c r="D9" s="33" t="s">
        <v>112</v>
      </c>
      <c r="E9" s="34">
        <v>5</v>
      </c>
      <c r="F9" s="34"/>
      <c r="G9" s="35">
        <v>5</v>
      </c>
      <c r="H9" s="34">
        <v>200</v>
      </c>
      <c r="I9" s="34"/>
      <c r="J9" s="74">
        <v>0.08</v>
      </c>
      <c r="K9" s="74"/>
      <c r="L9" s="74">
        <v>0.08</v>
      </c>
      <c r="M9" s="74"/>
      <c r="N9" s="75">
        <v>0.08</v>
      </c>
      <c r="O9" s="75"/>
      <c r="P9" s="75">
        <v>0.5</v>
      </c>
      <c r="Q9" s="75"/>
      <c r="R9" s="107"/>
      <c r="S9" s="33"/>
      <c r="T9" s="106"/>
      <c r="V9" s="34">
        <v>200</v>
      </c>
      <c r="W9" s="34"/>
      <c r="X9" s="74">
        <v>0.08</v>
      </c>
      <c r="Y9" s="74"/>
      <c r="Z9" s="74">
        <v>0.08</v>
      </c>
      <c r="AA9" s="74"/>
      <c r="AB9" s="75">
        <v>0.08</v>
      </c>
      <c r="AC9" s="75"/>
      <c r="AD9" s="75">
        <v>0.5</v>
      </c>
      <c r="AE9" s="75"/>
    </row>
    <row r="10" ht="25" customHeight="1" spans="2:31">
      <c r="B10" s="36"/>
      <c r="C10" s="33"/>
      <c r="D10" s="33"/>
      <c r="E10" s="38">
        <f t="shared" ref="E10:H10" si="0">SUM(E7:E9)</f>
        <v>75</v>
      </c>
      <c r="F10" s="38"/>
      <c r="G10" s="39">
        <f t="shared" si="0"/>
        <v>45</v>
      </c>
      <c r="H10" s="38">
        <f t="shared" si="0"/>
        <v>2500</v>
      </c>
      <c r="I10" s="38"/>
      <c r="J10" s="77"/>
      <c r="K10" s="77"/>
      <c r="L10" s="77"/>
      <c r="M10" s="77"/>
      <c r="N10" s="37"/>
      <c r="O10" s="37"/>
      <c r="P10" s="37"/>
      <c r="Q10" s="37"/>
      <c r="R10" s="108"/>
      <c r="S10" s="33"/>
      <c r="T10" s="106"/>
      <c r="V10" s="38">
        <f>SUM(V7:V9)</f>
        <v>2500</v>
      </c>
      <c r="W10" s="38"/>
      <c r="X10" s="77"/>
      <c r="Y10" s="77"/>
      <c r="Z10" s="77"/>
      <c r="AA10" s="77"/>
      <c r="AB10" s="37"/>
      <c r="AC10" s="37"/>
      <c r="AD10" s="37"/>
      <c r="AE10" s="37"/>
    </row>
    <row r="11" ht="1" customHeight="1" spans="2:20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109"/>
    </row>
    <row r="12" ht="25" customHeight="1" spans="2:20">
      <c r="B12" s="42" t="s">
        <v>168</v>
      </c>
      <c r="C12" s="43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110"/>
    </row>
    <row r="13" ht="25" customHeight="1" spans="2:20">
      <c r="B13" s="45"/>
      <c r="C13" s="46"/>
      <c r="D13" s="46"/>
      <c r="E13" s="47"/>
      <c r="F13" s="48" t="s">
        <v>120</v>
      </c>
      <c r="G13" s="49"/>
      <c r="H13" s="49"/>
      <c r="I13" s="49"/>
      <c r="J13" s="78" t="s">
        <v>121</v>
      </c>
      <c r="K13" s="79"/>
      <c r="L13" s="79"/>
      <c r="M13" s="79"/>
      <c r="N13" s="78" t="s">
        <v>122</v>
      </c>
      <c r="O13" s="79"/>
      <c r="P13" s="79"/>
      <c r="Q13" s="79"/>
      <c r="R13" s="111" t="s">
        <v>123</v>
      </c>
      <c r="S13" s="111"/>
      <c r="T13" s="112"/>
    </row>
    <row r="14" ht="1" customHeight="1" spans="2:20">
      <c r="B14" s="50"/>
      <c r="C14" s="51"/>
      <c r="D14" s="51"/>
      <c r="E14" s="52"/>
      <c r="F14" s="51"/>
      <c r="G14" s="51"/>
      <c r="H14" s="52"/>
      <c r="I14" s="51"/>
      <c r="J14" s="51"/>
      <c r="K14" s="52"/>
      <c r="L14" s="51"/>
      <c r="M14" s="51"/>
      <c r="N14" s="52"/>
      <c r="O14" s="51"/>
      <c r="P14" s="51"/>
      <c r="Q14" s="52"/>
      <c r="R14" s="52"/>
      <c r="S14" s="52"/>
      <c r="T14" s="113"/>
    </row>
    <row r="15" ht="25" customHeight="1" spans="2:20">
      <c r="B15" s="42" t="s">
        <v>169</v>
      </c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110"/>
    </row>
    <row r="16" ht="25" customHeight="1" spans="2:20">
      <c r="B16" s="45"/>
      <c r="C16" s="46"/>
      <c r="D16" s="46"/>
      <c r="E16" s="47"/>
      <c r="F16" s="48" t="s">
        <v>127</v>
      </c>
      <c r="G16" s="49"/>
      <c r="H16" s="49"/>
      <c r="I16" s="49"/>
      <c r="J16" s="78" t="s">
        <v>128</v>
      </c>
      <c r="K16" s="79"/>
      <c r="L16" s="79"/>
      <c r="M16" s="79"/>
      <c r="N16" s="78" t="s">
        <v>129</v>
      </c>
      <c r="O16" s="79"/>
      <c r="P16" s="79"/>
      <c r="Q16" s="79"/>
      <c r="R16" s="114" t="s">
        <v>130</v>
      </c>
      <c r="S16" s="111"/>
      <c r="T16" s="112"/>
    </row>
    <row r="17" ht="1" customHeight="1" spans="2:20"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109"/>
    </row>
    <row r="18" ht="25" customHeight="1" spans="2:20">
      <c r="B18" s="53" t="s">
        <v>131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115"/>
    </row>
    <row r="19" ht="25" customHeight="1" spans="2:20">
      <c r="B19" s="55" t="s">
        <v>36</v>
      </c>
      <c r="C19" s="56" t="s">
        <v>132</v>
      </c>
      <c r="D19" s="56"/>
      <c r="E19" s="56"/>
      <c r="F19" s="56"/>
      <c r="G19" s="57" t="s">
        <v>125</v>
      </c>
      <c r="H19" s="57"/>
      <c r="I19" s="80" t="s">
        <v>133</v>
      </c>
      <c r="J19" s="80"/>
      <c r="K19" s="81" t="s">
        <v>134</v>
      </c>
      <c r="L19" s="81"/>
      <c r="M19" s="82" t="s">
        <v>135</v>
      </c>
      <c r="N19" s="82" t="s">
        <v>136</v>
      </c>
      <c r="O19" s="82"/>
      <c r="P19" s="83" t="s">
        <v>47</v>
      </c>
      <c r="Q19" s="116" t="s">
        <v>137</v>
      </c>
      <c r="R19" s="116"/>
      <c r="S19" s="116" t="s">
        <v>138</v>
      </c>
      <c r="T19" s="117"/>
    </row>
    <row r="20" ht="25" customHeight="1" spans="2:20">
      <c r="B20" s="58">
        <v>1</v>
      </c>
      <c r="C20" s="37" t="s">
        <v>139</v>
      </c>
      <c r="D20" s="37"/>
      <c r="E20" s="37"/>
      <c r="F20" s="37"/>
      <c r="G20" s="59" t="s">
        <v>140</v>
      </c>
      <c r="H20" s="59"/>
      <c r="I20" s="84" t="s">
        <v>141</v>
      </c>
      <c r="J20" s="84"/>
      <c r="K20" s="85">
        <v>30</v>
      </c>
      <c r="L20" s="85"/>
      <c r="M20" s="86">
        <v>2500</v>
      </c>
      <c r="N20" s="86">
        <v>75000</v>
      </c>
      <c r="O20" s="86"/>
      <c r="P20" s="87" t="s">
        <v>170</v>
      </c>
      <c r="Q20" s="118" t="s">
        <v>142</v>
      </c>
      <c r="R20" s="118"/>
      <c r="S20" s="119" t="s">
        <v>143</v>
      </c>
      <c r="T20" s="120"/>
    </row>
    <row r="21" ht="25" customHeight="1" spans="2:20">
      <c r="B21" s="60">
        <v>2</v>
      </c>
      <c r="C21" s="61" t="s">
        <v>144</v>
      </c>
      <c r="D21" s="62"/>
      <c r="E21" s="62"/>
      <c r="F21" s="62"/>
      <c r="G21" s="63" t="s">
        <v>140</v>
      </c>
      <c r="H21" s="63"/>
      <c r="I21" s="88" t="s">
        <v>145</v>
      </c>
      <c r="J21" s="88"/>
      <c r="K21" s="89">
        <v>350</v>
      </c>
      <c r="L21" s="89"/>
      <c r="M21" s="90">
        <v>1</v>
      </c>
      <c r="N21" s="90">
        <v>350</v>
      </c>
      <c r="O21" s="90"/>
      <c r="P21" s="91" t="s">
        <v>171</v>
      </c>
      <c r="Q21" s="121" t="s">
        <v>147</v>
      </c>
      <c r="R21" s="121"/>
      <c r="S21" s="122" t="s">
        <v>143</v>
      </c>
      <c r="T21" s="123"/>
    </row>
    <row r="22" ht="25" customHeight="1" spans="2:20">
      <c r="B22" s="58">
        <v>3</v>
      </c>
      <c r="C22" s="37" t="s">
        <v>148</v>
      </c>
      <c r="D22" s="37"/>
      <c r="E22" s="37"/>
      <c r="F22" s="37"/>
      <c r="G22" s="59" t="s">
        <v>140</v>
      </c>
      <c r="H22" s="59"/>
      <c r="I22" s="84" t="s">
        <v>149</v>
      </c>
      <c r="J22" s="84"/>
      <c r="K22" s="85">
        <v>30</v>
      </c>
      <c r="L22" s="85"/>
      <c r="M22" s="86">
        <v>1</v>
      </c>
      <c r="N22" s="86">
        <v>30</v>
      </c>
      <c r="O22" s="86"/>
      <c r="P22" s="87" t="s">
        <v>171</v>
      </c>
      <c r="Q22" s="118" t="s">
        <v>150</v>
      </c>
      <c r="R22" s="118"/>
      <c r="S22" s="119" t="s">
        <v>143</v>
      </c>
      <c r="T22" s="120"/>
    </row>
    <row r="23" ht="25" customHeight="1" spans="2:20">
      <c r="B23" s="60">
        <v>4</v>
      </c>
      <c r="C23" s="62" t="s">
        <v>148</v>
      </c>
      <c r="D23" s="62"/>
      <c r="E23" s="62"/>
      <c r="F23" s="62"/>
      <c r="G23" s="63" t="s">
        <v>140</v>
      </c>
      <c r="H23" s="63"/>
      <c r="I23" s="88" t="s">
        <v>151</v>
      </c>
      <c r="J23" s="88"/>
      <c r="K23" s="89">
        <v>30</v>
      </c>
      <c r="L23" s="89"/>
      <c r="M23" s="90">
        <v>1</v>
      </c>
      <c r="N23" s="90">
        <v>30</v>
      </c>
      <c r="O23" s="90"/>
      <c r="P23" s="91" t="s">
        <v>171</v>
      </c>
      <c r="Q23" s="121" t="s">
        <v>152</v>
      </c>
      <c r="R23" s="121"/>
      <c r="S23" s="122" t="s">
        <v>143</v>
      </c>
      <c r="T23" s="123"/>
    </row>
    <row r="24" ht="25" customHeight="1" spans="2:20">
      <c r="B24" s="58">
        <v>5</v>
      </c>
      <c r="C24" s="37" t="s">
        <v>148</v>
      </c>
      <c r="D24" s="37"/>
      <c r="E24" s="37"/>
      <c r="F24" s="37"/>
      <c r="G24" s="59" t="s">
        <v>140</v>
      </c>
      <c r="H24" s="59"/>
      <c r="I24" s="84" t="s">
        <v>153</v>
      </c>
      <c r="J24" s="84"/>
      <c r="K24" s="85">
        <v>30</v>
      </c>
      <c r="L24" s="85"/>
      <c r="M24" s="86">
        <v>2</v>
      </c>
      <c r="N24" s="86">
        <v>60</v>
      </c>
      <c r="O24" s="86"/>
      <c r="P24" s="87" t="s">
        <v>171</v>
      </c>
      <c r="Q24" s="118" t="s">
        <v>154</v>
      </c>
      <c r="R24" s="118"/>
      <c r="S24" s="119" t="s">
        <v>143</v>
      </c>
      <c r="T24" s="120"/>
    </row>
    <row r="25" ht="25" customHeight="1" spans="2:20">
      <c r="B25" s="60">
        <v>6</v>
      </c>
      <c r="C25" s="62" t="s">
        <v>148</v>
      </c>
      <c r="D25" s="62"/>
      <c r="E25" s="62"/>
      <c r="F25" s="62"/>
      <c r="G25" s="63">
        <v>190922000006</v>
      </c>
      <c r="H25" s="63"/>
      <c r="I25" s="88" t="s">
        <v>155</v>
      </c>
      <c r="J25" s="88"/>
      <c r="K25" s="89">
        <v>30</v>
      </c>
      <c r="L25" s="89"/>
      <c r="M25" s="90">
        <v>1</v>
      </c>
      <c r="N25" s="90">
        <v>30</v>
      </c>
      <c r="O25" s="90"/>
      <c r="P25" s="91" t="s">
        <v>171</v>
      </c>
      <c r="Q25" s="121" t="s">
        <v>156</v>
      </c>
      <c r="R25" s="121"/>
      <c r="S25" s="122" t="s">
        <v>143</v>
      </c>
      <c r="T25" s="123"/>
    </row>
    <row r="26" ht="25" customHeight="1" spans="2:20">
      <c r="B26" s="58">
        <v>7</v>
      </c>
      <c r="C26" s="37" t="s">
        <v>148</v>
      </c>
      <c r="D26" s="37"/>
      <c r="E26" s="37"/>
      <c r="F26" s="37"/>
      <c r="G26" s="59">
        <v>190922000006</v>
      </c>
      <c r="H26" s="59"/>
      <c r="I26" s="84" t="s">
        <v>157</v>
      </c>
      <c r="J26" s="84"/>
      <c r="K26" s="85">
        <v>30</v>
      </c>
      <c r="L26" s="85"/>
      <c r="M26" s="86">
        <v>2</v>
      </c>
      <c r="N26" s="86">
        <v>60</v>
      </c>
      <c r="O26" s="86"/>
      <c r="P26" s="87" t="s">
        <v>171</v>
      </c>
      <c r="Q26" s="118" t="s">
        <v>158</v>
      </c>
      <c r="R26" s="118"/>
      <c r="S26" s="119" t="s">
        <v>143</v>
      </c>
      <c r="T26" s="120"/>
    </row>
    <row r="27" ht="25" customHeight="1" spans="2:20">
      <c r="B27" s="60">
        <v>8</v>
      </c>
      <c r="C27" s="62" t="s">
        <v>148</v>
      </c>
      <c r="D27" s="62"/>
      <c r="E27" s="62"/>
      <c r="F27" s="62"/>
      <c r="G27" s="63">
        <v>191013000009</v>
      </c>
      <c r="H27" s="63"/>
      <c r="I27" s="88" t="s">
        <v>159</v>
      </c>
      <c r="J27" s="88"/>
      <c r="K27" s="89">
        <v>30</v>
      </c>
      <c r="L27" s="89"/>
      <c r="M27" s="90">
        <v>1</v>
      </c>
      <c r="N27" s="90">
        <v>30</v>
      </c>
      <c r="O27" s="90"/>
      <c r="P27" s="91" t="s">
        <v>171</v>
      </c>
      <c r="Q27" s="121" t="s">
        <v>160</v>
      </c>
      <c r="R27" s="121"/>
      <c r="S27" s="122" t="s">
        <v>143</v>
      </c>
      <c r="T27" s="123"/>
    </row>
    <row r="28" ht="25" customHeight="1" spans="2:20">
      <c r="B28" s="58">
        <v>9</v>
      </c>
      <c r="C28" s="37" t="s">
        <v>148</v>
      </c>
      <c r="D28" s="37"/>
      <c r="E28" s="37"/>
      <c r="F28" s="37"/>
      <c r="G28" s="59" t="s">
        <v>140</v>
      </c>
      <c r="H28" s="59"/>
      <c r="I28" s="84" t="s">
        <v>157</v>
      </c>
      <c r="J28" s="84"/>
      <c r="K28" s="85">
        <v>30</v>
      </c>
      <c r="L28" s="85"/>
      <c r="M28" s="86">
        <v>1</v>
      </c>
      <c r="N28" s="86">
        <v>30</v>
      </c>
      <c r="O28" s="86"/>
      <c r="P28" s="87" t="s">
        <v>171</v>
      </c>
      <c r="Q28" s="118" t="s">
        <v>161</v>
      </c>
      <c r="R28" s="118"/>
      <c r="S28" s="119" t="s">
        <v>143</v>
      </c>
      <c r="T28" s="120"/>
    </row>
    <row r="29" ht="25" customHeight="1" spans="2:20">
      <c r="B29" s="60">
        <v>10</v>
      </c>
      <c r="C29" s="62" t="s">
        <v>148</v>
      </c>
      <c r="D29" s="62"/>
      <c r="E29" s="62"/>
      <c r="F29" s="62"/>
      <c r="G29" s="63" t="s">
        <v>140</v>
      </c>
      <c r="H29" s="63"/>
      <c r="I29" s="88" t="s">
        <v>157</v>
      </c>
      <c r="J29" s="88"/>
      <c r="K29" s="89">
        <v>30</v>
      </c>
      <c r="L29" s="89"/>
      <c r="M29" s="90">
        <v>1</v>
      </c>
      <c r="N29" s="90">
        <v>30</v>
      </c>
      <c r="O29" s="90"/>
      <c r="P29" s="91" t="s">
        <v>171</v>
      </c>
      <c r="Q29" s="121" t="s">
        <v>162</v>
      </c>
      <c r="R29" s="121"/>
      <c r="S29" s="122" t="s">
        <v>143</v>
      </c>
      <c r="T29" s="123"/>
    </row>
    <row r="30" ht="25" customHeight="1" spans="2:20">
      <c r="B30" s="58">
        <v>11</v>
      </c>
      <c r="C30" s="37" t="s">
        <v>148</v>
      </c>
      <c r="D30" s="37"/>
      <c r="E30" s="37"/>
      <c r="F30" s="37"/>
      <c r="G30" s="59" t="s">
        <v>140</v>
      </c>
      <c r="H30" s="59"/>
      <c r="I30" s="84" t="s">
        <v>157</v>
      </c>
      <c r="J30" s="84"/>
      <c r="K30" s="85">
        <v>30</v>
      </c>
      <c r="L30" s="85"/>
      <c r="M30" s="86">
        <v>1</v>
      </c>
      <c r="N30" s="86">
        <v>30</v>
      </c>
      <c r="O30" s="86"/>
      <c r="P30" s="92" t="s">
        <v>163</v>
      </c>
      <c r="Q30" s="118" t="s">
        <v>164</v>
      </c>
      <c r="R30" s="118"/>
      <c r="S30" s="119" t="s">
        <v>143</v>
      </c>
      <c r="T30" s="120"/>
    </row>
    <row r="31" ht="25" customHeight="1" spans="2:20">
      <c r="B31" s="60">
        <v>12</v>
      </c>
      <c r="C31" s="62" t="s">
        <v>148</v>
      </c>
      <c r="D31" s="62"/>
      <c r="E31" s="62"/>
      <c r="F31" s="62"/>
      <c r="G31" s="63" t="s">
        <v>140</v>
      </c>
      <c r="H31" s="63"/>
      <c r="I31" s="88" t="s">
        <v>157</v>
      </c>
      <c r="J31" s="88"/>
      <c r="K31" s="88">
        <v>30</v>
      </c>
      <c r="L31" s="88"/>
      <c r="M31" s="90">
        <v>1</v>
      </c>
      <c r="N31" s="93">
        <v>30</v>
      </c>
      <c r="O31" s="93"/>
      <c r="P31" s="93" t="s">
        <v>163</v>
      </c>
      <c r="Q31" s="121" t="s">
        <v>165</v>
      </c>
      <c r="R31" s="121"/>
      <c r="S31" s="122" t="s">
        <v>143</v>
      </c>
      <c r="T31" s="123"/>
    </row>
    <row r="32" s="14" customFormat="1" ht="25" customHeight="1" spans="2:21">
      <c r="B32" s="64"/>
      <c r="C32" s="65"/>
      <c r="D32" s="65"/>
      <c r="E32" s="65"/>
      <c r="F32" s="65"/>
      <c r="G32" s="65"/>
      <c r="H32" s="66"/>
      <c r="I32" s="66"/>
      <c r="J32" s="66"/>
      <c r="K32" s="94"/>
      <c r="L32" s="95" t="s">
        <v>166</v>
      </c>
      <c r="M32" s="95"/>
      <c r="N32" s="96">
        <f>SUM(N20:N31)</f>
        <v>75710</v>
      </c>
      <c r="O32" s="96"/>
      <c r="P32" s="97"/>
      <c r="Q32" s="97"/>
      <c r="R32" s="124"/>
      <c r="S32" s="97"/>
      <c r="T32" s="125"/>
      <c r="U32" s="15"/>
    </row>
    <row r="33" ht="25" customHeight="1" spans="2:20">
      <c r="B33" s="67" t="s">
        <v>167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126"/>
    </row>
  </sheetData>
  <mergeCells count="18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V6:W6"/>
    <mergeCell ref="X6:Y6"/>
    <mergeCell ref="Z6:AA6"/>
    <mergeCell ref="AB6:AC6"/>
    <mergeCell ref="AD6:AE6"/>
    <mergeCell ref="B7:C7"/>
    <mergeCell ref="E7:F7"/>
    <mergeCell ref="H7:I7"/>
    <mergeCell ref="J7:K7"/>
    <mergeCell ref="L7:M7"/>
    <mergeCell ref="N7:O7"/>
    <mergeCell ref="P7:Q7"/>
    <mergeCell ref="V7:W7"/>
    <mergeCell ref="X7:Y7"/>
    <mergeCell ref="Z7:AA7"/>
    <mergeCell ref="AB7:AC7"/>
    <mergeCell ref="AD7:AE7"/>
    <mergeCell ref="B8:C8"/>
    <mergeCell ref="E8:F8"/>
    <mergeCell ref="H8:I8"/>
    <mergeCell ref="J8:K8"/>
    <mergeCell ref="L8:M8"/>
    <mergeCell ref="N8:O8"/>
    <mergeCell ref="P8:Q8"/>
    <mergeCell ref="V8:W8"/>
    <mergeCell ref="X8:Y8"/>
    <mergeCell ref="Z8:AA8"/>
    <mergeCell ref="AB8:AC8"/>
    <mergeCell ref="AD8:AE8"/>
    <mergeCell ref="B9:C9"/>
    <mergeCell ref="E9:F9"/>
    <mergeCell ref="H9:I9"/>
    <mergeCell ref="J9:K9"/>
    <mergeCell ref="L9:M9"/>
    <mergeCell ref="N9:O9"/>
    <mergeCell ref="P9:Q9"/>
    <mergeCell ref="V9:W9"/>
    <mergeCell ref="X9:Y9"/>
    <mergeCell ref="Z9:AA9"/>
    <mergeCell ref="AB9:AC9"/>
    <mergeCell ref="AD9:AE9"/>
    <mergeCell ref="E10:F10"/>
    <mergeCell ref="H10:I10"/>
    <mergeCell ref="J10:K10"/>
    <mergeCell ref="L10:M10"/>
    <mergeCell ref="N10:O10"/>
    <mergeCell ref="P10:Q10"/>
    <mergeCell ref="V10:W10"/>
    <mergeCell ref="X10:Y10"/>
    <mergeCell ref="Z10:AA10"/>
    <mergeCell ref="AB10:AC10"/>
    <mergeCell ref="AD10:AE10"/>
    <mergeCell ref="B11:T11"/>
    <mergeCell ref="B12:T12"/>
    <mergeCell ref="F13:I13"/>
    <mergeCell ref="J13:M13"/>
    <mergeCell ref="N13:Q13"/>
    <mergeCell ref="R13:T13"/>
    <mergeCell ref="B15:T15"/>
    <mergeCell ref="F16:I16"/>
    <mergeCell ref="J16:M16"/>
    <mergeCell ref="N16:Q16"/>
    <mergeCell ref="R16:T16"/>
    <mergeCell ref="B17:T17"/>
    <mergeCell ref="B18:T18"/>
    <mergeCell ref="C19:F19"/>
    <mergeCell ref="G19:H19"/>
    <mergeCell ref="I19:J19"/>
    <mergeCell ref="K19:L19"/>
    <mergeCell ref="N19:O19"/>
    <mergeCell ref="Q19:R19"/>
    <mergeCell ref="S19:T19"/>
    <mergeCell ref="C20:F20"/>
    <mergeCell ref="G20:H20"/>
    <mergeCell ref="I20:J20"/>
    <mergeCell ref="K20:L20"/>
    <mergeCell ref="N20:O20"/>
    <mergeCell ref="Q20:R20"/>
    <mergeCell ref="S20:T20"/>
    <mergeCell ref="C21:F21"/>
    <mergeCell ref="G21:H21"/>
    <mergeCell ref="I21:J21"/>
    <mergeCell ref="K21:L21"/>
    <mergeCell ref="N21:O21"/>
    <mergeCell ref="Q21:R21"/>
    <mergeCell ref="S21:T21"/>
    <mergeCell ref="C22:F22"/>
    <mergeCell ref="G22:H22"/>
    <mergeCell ref="I22:J22"/>
    <mergeCell ref="K22:L22"/>
    <mergeCell ref="N22:O22"/>
    <mergeCell ref="Q22:R22"/>
    <mergeCell ref="S22:T22"/>
    <mergeCell ref="C23:F23"/>
    <mergeCell ref="G23:H23"/>
    <mergeCell ref="I23:J23"/>
    <mergeCell ref="K23:L23"/>
    <mergeCell ref="N23:O23"/>
    <mergeCell ref="Q23:R23"/>
    <mergeCell ref="S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C26:F26"/>
    <mergeCell ref="G26:H26"/>
    <mergeCell ref="I26:J26"/>
    <mergeCell ref="K26:L26"/>
    <mergeCell ref="N26:O26"/>
    <mergeCell ref="Q26:R26"/>
    <mergeCell ref="S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L32:M32"/>
    <mergeCell ref="N32:O32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6"/>
  <sheetViews>
    <sheetView tabSelected="1" workbookViewId="0">
      <selection activeCell="A1" sqref="A$1:A$1048576"/>
    </sheetView>
  </sheetViews>
  <sheetFormatPr defaultColWidth="9" defaultRowHeight="13.5" outlineLevelCol="7"/>
  <cols>
    <col min="1" max="1" width="20.625" customWidth="1"/>
    <col min="2" max="2" width="54.375" customWidth="1"/>
  </cols>
  <sheetData>
    <row r="3" ht="25" customHeight="1" spans="1:2">
      <c r="A3" s="1" t="s">
        <v>172</v>
      </c>
      <c r="B3" s="2"/>
    </row>
    <row r="4" ht="30" customHeight="1" spans="1:2">
      <c r="A4" s="3" t="s">
        <v>100</v>
      </c>
      <c r="B4" s="4" t="s">
        <v>108</v>
      </c>
    </row>
    <row r="5" ht="30" customHeight="1" spans="1:2">
      <c r="A5" s="3" t="s">
        <v>173</v>
      </c>
      <c r="B5" s="4" t="s">
        <v>55</v>
      </c>
    </row>
    <row r="6" ht="30" customHeight="1" spans="1:2">
      <c r="A6" s="3" t="s">
        <v>174</v>
      </c>
      <c r="B6" s="5">
        <v>2500</v>
      </c>
    </row>
    <row r="7" ht="30" customHeight="1" spans="1:2">
      <c r="A7" s="3" t="s">
        <v>175</v>
      </c>
      <c r="B7" s="6" t="s">
        <v>176</v>
      </c>
    </row>
    <row r="8" ht="30" customHeight="1" spans="1:2">
      <c r="A8" s="3" t="s">
        <v>177</v>
      </c>
      <c r="B8" s="6" t="s">
        <v>178</v>
      </c>
    </row>
    <row r="9" ht="30" customHeight="1" spans="1:8">
      <c r="A9" s="3" t="s">
        <v>179</v>
      </c>
      <c r="B9" s="6" t="s">
        <v>180</v>
      </c>
      <c r="H9" s="7"/>
    </row>
    <row r="10" ht="30" customHeight="1" spans="1:8">
      <c r="A10" s="8" t="s">
        <v>132</v>
      </c>
      <c r="B10" s="9" t="s">
        <v>181</v>
      </c>
      <c r="H10" s="7"/>
    </row>
    <row r="11" ht="30" customHeight="1" spans="1:2">
      <c r="A11" s="3" t="s">
        <v>182</v>
      </c>
      <c r="B11" s="6">
        <v>401</v>
      </c>
    </row>
    <row r="12" ht="30" customHeight="1" spans="1:2">
      <c r="A12" s="3" t="s">
        <v>183</v>
      </c>
      <c r="B12" s="6" t="s">
        <v>184</v>
      </c>
    </row>
    <row r="13" ht="30" customHeight="1" spans="1:2">
      <c r="A13" s="10" t="s">
        <v>185</v>
      </c>
      <c r="B13" s="6" t="s">
        <v>186</v>
      </c>
    </row>
    <row r="14" ht="30" customHeight="1" spans="1:2">
      <c r="A14" s="10" t="s">
        <v>187</v>
      </c>
      <c r="B14" s="6" t="s">
        <v>186</v>
      </c>
    </row>
    <row r="15" ht="30" customHeight="1" spans="1:2">
      <c r="A15" s="10" t="s">
        <v>188</v>
      </c>
      <c r="B15" s="4" t="s">
        <v>186</v>
      </c>
    </row>
    <row r="16" ht="30" customHeight="1" spans="1:2">
      <c r="A16" s="3" t="s">
        <v>189</v>
      </c>
      <c r="B16" s="6" t="s">
        <v>190</v>
      </c>
    </row>
    <row r="17" ht="30" customHeight="1" spans="1:2">
      <c r="A17" s="3" t="s">
        <v>191</v>
      </c>
      <c r="B17" s="6" t="s">
        <v>192</v>
      </c>
    </row>
    <row r="18" ht="30" customHeight="1" spans="1:2">
      <c r="A18" s="3" t="s">
        <v>193</v>
      </c>
      <c r="B18" s="6" t="s">
        <v>190</v>
      </c>
    </row>
    <row r="19" ht="30" customHeight="1" spans="1:2">
      <c r="A19" s="3" t="s">
        <v>194</v>
      </c>
      <c r="B19" s="6" t="s">
        <v>195</v>
      </c>
    </row>
    <row r="20" ht="25" customHeight="1" spans="1:2">
      <c r="A20" s="11" t="s">
        <v>196</v>
      </c>
      <c r="B20" s="12"/>
    </row>
    <row r="21" ht="25" customHeight="1"/>
    <row r="22" ht="25" customHeight="1"/>
    <row r="23" ht="25" customHeight="1"/>
    <row r="24" ht="25" customHeight="1"/>
    <row r="25" ht="25" customHeight="1"/>
    <row r="26" ht="25" customHeight="1"/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成本列表</vt:lpstr>
      <vt:lpstr>查看</vt:lpstr>
      <vt:lpstr>支付</vt:lpstr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2022-07-14T10:04:48Z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176C1253F7FA47D985E2419379DBAB2D</vt:lpwstr>
  </property>
</Properties>
</file>