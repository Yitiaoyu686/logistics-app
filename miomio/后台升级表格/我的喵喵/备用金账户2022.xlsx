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备用金账户" sheetId="1" r:id="rId1"/>
    <sheet name="备用金申请" sheetId="2" r:id="rId2"/>
    <sheet name="申请备用金" sheetId="3" r:id="rId3"/>
    <sheet name="申请备用金1" sheetId="4" r:id="rId4"/>
    <sheet name="添加订单" sheetId="5" r:id="rId5"/>
  </sheets>
  <definedNames>
    <definedName name="_xlnm._FilterDatabase" localSheetId="2" hidden="1">申请备用金!#REF!</definedName>
    <definedName name="_xlnm._FilterDatabase" localSheetId="3" hidden="1">申请备用金1!#REF!</definedName>
  </definedNames>
  <calcPr calcId="144525"/>
</workbook>
</file>

<file path=xl/sharedStrings.xml><?xml version="1.0" encoding="utf-8"?>
<sst xmlns="http://schemas.openxmlformats.org/spreadsheetml/2006/main" count="525" uniqueCount="190">
  <si>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</si>
  <si>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</si>
  <si>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</si>
  <si>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</si>
  <si>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</si>
  <si>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</si>
  <si>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</si>
  <si>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</si>
  <si>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全部</t>
  </si>
  <si>
    <t>伊科贾站点</t>
  </si>
  <si>
    <t>阿布贾站点</t>
  </si>
  <si>
    <t>卡诺站点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</si>
  <si>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</si>
  <si>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</si>
  <si>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</si>
  <si>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</si>
  <si>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</si>
  <si>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</si>
  <si>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</si>
  <si>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</si>
  <si>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</si>
  <si>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</si>
  <si>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</si>
  <si>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</si>
  <si>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</si>
  <si>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</si>
  <si>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</si>
  <si>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</si>
  <si>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</si>
  <si>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</si>
  <si>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备用金账户</t>
  </si>
  <si>
    <t>备用金申请</t>
  </si>
  <si>
    <t>日期</t>
  </si>
  <si>
    <t>站点</t>
  </si>
  <si>
    <t>类型</t>
  </si>
  <si>
    <t>描述</t>
  </si>
  <si>
    <t>收入NGN</t>
  </si>
  <si>
    <t>支出NGN</t>
  </si>
  <si>
    <t>余额NGN</t>
  </si>
  <si>
    <t>支付途径</t>
  </si>
  <si>
    <t>收入USD</t>
  </si>
  <si>
    <t>支出USD</t>
  </si>
  <si>
    <t>余额USD</t>
  </si>
  <si>
    <t>转账</t>
  </si>
  <si>
    <r>
      <rPr>
        <sz val="9"/>
        <color theme="1"/>
        <rFont val="Microsoft JhengHei"/>
        <charset val="134"/>
      </rPr>
      <t>上月结余转入</t>
    </r>
    <r>
      <rPr>
        <sz val="9"/>
        <color theme="1"/>
        <rFont val="Arial"/>
        <charset val="134"/>
      </rPr>
      <t>Balance</t>
    </r>
  </si>
  <si>
    <t>备用金转入，来自IKEJ STA，折合CNY20,000.00</t>
  </si>
  <si>
    <r>
      <rPr>
        <sz val="8"/>
        <color theme="1"/>
        <rFont val="Arial"/>
        <charset val="134"/>
      </rPr>
      <t xml:space="preserve">OLUSOLA 2077  </t>
    </r>
    <r>
      <rPr>
        <sz val="8"/>
        <color theme="1"/>
        <rFont val="宋体"/>
        <charset val="134"/>
      </rPr>
      <t>查看</t>
    </r>
  </si>
  <si>
    <t>现金</t>
  </si>
  <si>
    <r>
      <rPr>
        <sz val="9"/>
        <color theme="1"/>
        <rFont val="宋体"/>
        <charset val="134"/>
      </rPr>
      <t>支付</t>
    </r>
    <r>
      <rPr>
        <sz val="9"/>
        <color theme="1"/>
        <rFont val="Arial"/>
        <charset val="134"/>
      </rPr>
      <t>JOB123456</t>
    </r>
    <r>
      <rPr>
        <sz val="9"/>
        <color theme="1"/>
        <rFont val="宋体"/>
        <charset val="134"/>
      </rPr>
      <t>，清关费</t>
    </r>
  </si>
  <si>
    <r>
      <rPr>
        <sz val="9"/>
        <color theme="1"/>
        <rFont val="宋体"/>
        <charset val="134"/>
      </rPr>
      <t>支付</t>
    </r>
    <r>
      <rPr>
        <sz val="9"/>
        <color theme="1"/>
        <rFont val="Arial"/>
        <charset val="134"/>
      </rPr>
      <t xml:space="preserve">JOB123456 </t>
    </r>
    <r>
      <rPr>
        <sz val="9"/>
        <color theme="1"/>
        <rFont val="宋体"/>
        <charset val="134"/>
      </rPr>
      <t>，</t>
    </r>
    <r>
      <rPr>
        <sz val="9"/>
        <color theme="1"/>
        <rFont val="Arial"/>
        <charset val="134"/>
      </rPr>
      <t>220203000035</t>
    </r>
    <r>
      <rPr>
        <sz val="9"/>
        <color theme="1"/>
        <rFont val="宋体"/>
        <charset val="134"/>
      </rPr>
      <t>，配送费</t>
    </r>
  </si>
  <si>
    <t>CASH</t>
  </si>
  <si>
    <r>
      <rPr>
        <sz val="9"/>
        <color theme="1"/>
        <rFont val="宋体"/>
        <charset val="134"/>
      </rPr>
      <t>备用金转入，来自</t>
    </r>
    <r>
      <rPr>
        <sz val="9"/>
        <color theme="1"/>
        <rFont val="Arial"/>
        <charset val="134"/>
      </rPr>
      <t>IKEJ STA</t>
    </r>
  </si>
  <si>
    <r>
      <rPr>
        <sz val="9"/>
        <color theme="1"/>
        <rFont val="宋体"/>
        <charset val="134"/>
      </rPr>
      <t>支付</t>
    </r>
    <r>
      <rPr>
        <sz val="9"/>
        <color theme="1"/>
        <rFont val="Arial"/>
        <charset val="134"/>
      </rPr>
      <t>IKEJA STA</t>
    </r>
    <r>
      <rPr>
        <sz val="9"/>
        <color theme="1"/>
        <rFont val="宋体"/>
        <charset val="134"/>
      </rPr>
      <t>，员工工资</t>
    </r>
  </si>
  <si>
    <r>
      <rPr>
        <sz val="9"/>
        <color theme="1"/>
        <rFont val="宋体"/>
        <charset val="134"/>
      </rPr>
      <t>支付</t>
    </r>
    <r>
      <rPr>
        <sz val="9"/>
        <color theme="1"/>
        <rFont val="Arial"/>
        <charset val="134"/>
      </rPr>
      <t>OLATUNDE</t>
    </r>
    <r>
      <rPr>
        <sz val="9"/>
        <color theme="1"/>
        <rFont val="宋体"/>
        <charset val="134"/>
      </rPr>
      <t>，生日蛋糕</t>
    </r>
  </si>
  <si>
    <t>申请人</t>
  </si>
  <si>
    <t>申请金额NGN</t>
  </si>
  <si>
    <t>审批金额 NGN</t>
  </si>
  <si>
    <t>汇率</t>
  </si>
  <si>
    <t>折合CNY</t>
  </si>
  <si>
    <t>申请金额USD</t>
  </si>
  <si>
    <t>审批金额 USD</t>
  </si>
  <si>
    <t>支付状态</t>
  </si>
  <si>
    <t>经理审核</t>
  </si>
  <si>
    <t>操作</t>
  </si>
  <si>
    <r>
      <rPr>
        <sz val="9"/>
        <color theme="1"/>
        <rFont val="Arial"/>
        <charset val="134"/>
      </rPr>
      <t>IKEJ STA</t>
    </r>
    <r>
      <rPr>
        <sz val="9"/>
        <color theme="1"/>
        <rFont val="宋体"/>
        <charset val="134"/>
      </rPr>
      <t>、</t>
    </r>
    <r>
      <rPr>
        <sz val="9"/>
        <color theme="1"/>
        <rFont val="Arial"/>
        <charset val="134"/>
      </rPr>
      <t>OLUSOLA</t>
    </r>
  </si>
  <si>
    <t>未付</t>
  </si>
  <si>
    <t>待审核</t>
  </si>
  <si>
    <t>查看</t>
  </si>
  <si>
    <r>
      <rPr>
        <sz val="9"/>
        <color theme="1"/>
        <rFont val="Arial"/>
        <charset val="134"/>
      </rPr>
      <t xml:space="preserve">ABUJ STA </t>
    </r>
    <r>
      <rPr>
        <sz val="9"/>
        <color theme="1"/>
        <rFont val="宋体"/>
        <charset val="134"/>
      </rPr>
      <t>、</t>
    </r>
    <r>
      <rPr>
        <sz val="9"/>
        <color theme="1"/>
        <rFont val="Arial"/>
        <charset val="134"/>
      </rPr>
      <t>JAMES</t>
    </r>
  </si>
  <si>
    <r>
      <rPr>
        <sz val="8"/>
        <color theme="1"/>
        <rFont val="宋体"/>
        <charset val="134"/>
      </rPr>
      <t>已付</t>
    </r>
    <r>
      <rPr>
        <sz val="8"/>
        <color theme="1"/>
        <rFont val="Arial"/>
        <charset val="134"/>
      </rPr>
      <t xml:space="preserve"> YUEMEI LUO                      2019/8/28 15:01:21  </t>
    </r>
    <r>
      <rPr>
        <sz val="8"/>
        <color theme="1"/>
        <rFont val="宋体"/>
        <charset val="134"/>
      </rPr>
      <t>查看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</si>
  <si>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  CANSAMAO             2019/10/25 23:51:17</t>
    </r>
  </si>
  <si>
    <r>
      <t>已付</t>
    </r>
    <r>
      <rPr>
        <sz val="8"/>
        <color theme="1"/>
        <rFont val="Arial"/>
        <charset val="134"/>
      </rPr>
      <t xml:space="preserve"> YUEMEI LUO                      2019/8/28 15:01:21  </t>
    </r>
    <r>
      <rPr>
        <sz val="8"/>
        <color theme="1"/>
        <rFont val="宋体"/>
        <charset val="134"/>
      </rPr>
      <t>查看</t>
    </r>
  </si>
  <si>
    <t>申请备用金</t>
  </si>
  <si>
    <r>
      <rPr>
        <sz val="9"/>
        <color rgb="FF393939"/>
        <rFont val="宋体"/>
        <charset val="134"/>
      </rPr>
      <t>上日余额</t>
    </r>
    <r>
      <rPr>
        <sz val="9"/>
        <color rgb="FF393939"/>
        <rFont val="Arial"/>
        <charset val="134"/>
      </rPr>
      <t>NGN</t>
    </r>
  </si>
  <si>
    <r>
      <rPr>
        <sz val="9"/>
        <color rgb="FF393939"/>
        <rFont val="宋体"/>
        <charset val="134"/>
      </rPr>
      <t>今日可用余额</t>
    </r>
    <r>
      <rPr>
        <sz val="9"/>
        <color rgb="FF393939"/>
        <rFont val="Arial"/>
        <charset val="134"/>
      </rPr>
      <t>NGN</t>
    </r>
  </si>
  <si>
    <r>
      <rPr>
        <sz val="9"/>
        <color rgb="FF393939"/>
        <rFont val="宋体"/>
        <charset val="134"/>
      </rPr>
      <t>上日余额</t>
    </r>
    <r>
      <rPr>
        <sz val="9"/>
        <color rgb="FF393939"/>
        <rFont val="Arial"/>
        <charset val="134"/>
      </rPr>
      <t>USD</t>
    </r>
  </si>
  <si>
    <r>
      <rPr>
        <sz val="9"/>
        <color rgb="FF393939"/>
        <rFont val="宋体"/>
        <charset val="134"/>
      </rPr>
      <t>今日可用余额</t>
    </r>
    <r>
      <rPr>
        <sz val="9"/>
        <color rgb="FF393939"/>
        <rFont val="Arial"/>
        <charset val="134"/>
      </rPr>
      <t>USD</t>
    </r>
  </si>
  <si>
    <t>选择币种</t>
  </si>
  <si>
    <r>
      <rPr>
        <b/>
        <sz val="9"/>
        <color rgb="FF393939"/>
        <rFont val="Arial"/>
        <charset val="134"/>
      </rPr>
      <t xml:space="preserve">NGN </t>
    </r>
    <r>
      <rPr>
        <b/>
        <sz val="9"/>
        <color rgb="FF393939"/>
        <rFont val="Wingdings"/>
        <charset val="134"/>
      </rPr>
      <t>þ</t>
    </r>
    <r>
      <rPr>
        <b/>
        <sz val="9"/>
        <color rgb="FF393939"/>
        <rFont val="Arial"/>
        <charset val="134"/>
      </rPr>
      <t xml:space="preserve">      USD </t>
    </r>
    <r>
      <rPr>
        <b/>
        <sz val="9"/>
        <color rgb="FF393939"/>
        <rFont val="宋体"/>
        <charset val="134"/>
      </rPr>
      <t>口</t>
    </r>
  </si>
  <si>
    <r>
      <rPr>
        <b/>
        <sz val="9"/>
        <color rgb="FF393939"/>
        <rFont val="宋体"/>
        <charset val="134"/>
      </rPr>
      <t>转账</t>
    </r>
    <r>
      <rPr>
        <b/>
        <sz val="9"/>
        <color rgb="FF393939"/>
        <rFont val="Arial"/>
        <charset val="134"/>
      </rPr>
      <t xml:space="preserve"> </t>
    </r>
    <r>
      <rPr>
        <b/>
        <sz val="9"/>
        <color rgb="FF393939"/>
        <rFont val="宋体"/>
        <charset val="134"/>
      </rPr>
      <t>口</t>
    </r>
    <r>
      <rPr>
        <b/>
        <sz val="9"/>
        <color rgb="FF393939"/>
        <rFont val="Arial"/>
        <charset val="134"/>
      </rPr>
      <t xml:space="preserve">    </t>
    </r>
    <r>
      <rPr>
        <b/>
        <sz val="9"/>
        <color rgb="FF393939"/>
        <rFont val="宋体"/>
        <charset val="134"/>
      </rPr>
      <t>现金</t>
    </r>
    <r>
      <rPr>
        <b/>
        <sz val="9"/>
        <color rgb="FF393939"/>
        <rFont val="Arial"/>
        <charset val="134"/>
      </rPr>
      <t xml:space="preserve"> </t>
    </r>
    <r>
      <rPr>
        <b/>
        <sz val="9"/>
        <color rgb="FF393939"/>
        <rFont val="宋体"/>
        <charset val="134"/>
      </rPr>
      <t>口</t>
    </r>
  </si>
  <si>
    <t>转往站点</t>
  </si>
  <si>
    <t>选择</t>
  </si>
  <si>
    <t>添加订单+</t>
  </si>
  <si>
    <t>JOB</t>
  </si>
  <si>
    <r>
      <rPr>
        <b/>
        <sz val="9"/>
        <color rgb="FF393939"/>
        <rFont val="宋体"/>
        <charset val="134"/>
      </rPr>
      <t>订单号</t>
    </r>
  </si>
  <si>
    <r>
      <rPr>
        <b/>
        <sz val="9"/>
        <color theme="1"/>
        <rFont val="Microsoft JhengHei"/>
        <charset val="134"/>
      </rPr>
      <t>系统应收</t>
    </r>
    <r>
      <rPr>
        <b/>
        <sz val="9"/>
        <color theme="1"/>
        <rFont val="Arial"/>
        <charset val="134"/>
      </rPr>
      <t>NGN</t>
    </r>
  </si>
  <si>
    <r>
      <rPr>
        <b/>
        <sz val="9"/>
        <color theme="1"/>
        <rFont val="Microsoft JhengHei"/>
        <charset val="134"/>
      </rPr>
      <t>实际收入</t>
    </r>
    <r>
      <rPr>
        <b/>
        <sz val="9"/>
        <color theme="1"/>
        <rFont val="Arial"/>
        <charset val="134"/>
      </rPr>
      <t>NGN</t>
    </r>
  </si>
  <si>
    <r>
      <rPr>
        <b/>
        <sz val="9"/>
        <color rgb="FF393939"/>
        <rFont val="宋体"/>
        <charset val="134"/>
      </rPr>
      <t>调动余额</t>
    </r>
    <r>
      <rPr>
        <b/>
        <sz val="9"/>
        <color rgb="FF393939"/>
        <rFont val="Arial"/>
        <charset val="134"/>
      </rPr>
      <t>NGN</t>
    </r>
  </si>
  <si>
    <r>
      <rPr>
        <sz val="9"/>
        <color rgb="FF393939"/>
        <rFont val="宋体"/>
        <charset val="134"/>
      </rPr>
      <t>合计金额</t>
    </r>
    <r>
      <rPr>
        <sz val="9"/>
        <color rgb="FF393939"/>
        <rFont val="Arial"/>
        <charset val="134"/>
      </rPr>
      <t>NGN</t>
    </r>
  </si>
  <si>
    <t>无</t>
  </si>
  <si>
    <r>
      <rPr>
        <sz val="9"/>
        <color rgb="FF393939"/>
        <rFont val="宋体"/>
        <charset val="134"/>
      </rPr>
      <t>折合</t>
    </r>
    <r>
      <rPr>
        <sz val="9"/>
        <color rgb="FF393939"/>
        <rFont val="Arial"/>
        <charset val="134"/>
      </rPr>
      <t>CNY</t>
    </r>
  </si>
  <si>
    <r>
      <rPr>
        <b/>
        <sz val="9"/>
        <color rgb="FF393939"/>
        <rFont val="宋体"/>
        <charset val="134"/>
      </rPr>
      <t>调动金额</t>
    </r>
    <r>
      <rPr>
        <b/>
        <sz val="9"/>
        <color rgb="FF393939"/>
        <rFont val="Arial"/>
        <charset val="134"/>
      </rPr>
      <t>NGN</t>
    </r>
  </si>
  <si>
    <r>
      <rPr>
        <b/>
        <sz val="9"/>
        <color rgb="FF393939"/>
        <rFont val="宋体"/>
        <charset val="134"/>
      </rPr>
      <t>汇率</t>
    </r>
  </si>
  <si>
    <r>
      <rPr>
        <b/>
        <sz val="9"/>
        <color rgb="FF393939"/>
        <rFont val="宋体"/>
        <charset val="134"/>
      </rPr>
      <t>折合</t>
    </r>
    <r>
      <rPr>
        <b/>
        <sz val="9"/>
        <color rgb="FF393939"/>
        <rFont val="Arial"/>
        <charset val="134"/>
      </rPr>
      <t>CNY</t>
    </r>
  </si>
  <si>
    <t>审核日期</t>
  </si>
  <si>
    <r>
      <rPr>
        <sz val="9"/>
        <color rgb="FF393939"/>
        <rFont val="宋体"/>
        <charset val="134"/>
      </rPr>
      <t>收款方名称</t>
    </r>
  </si>
  <si>
    <t>付款方名称</t>
  </si>
  <si>
    <t>付款方财务账号</t>
  </si>
  <si>
    <r>
      <rPr>
        <sz val="9"/>
        <color theme="1"/>
        <rFont val="宋体"/>
        <charset val="134"/>
      </rPr>
      <t>收款方银行</t>
    </r>
  </si>
  <si>
    <t>付款方银行</t>
  </si>
  <si>
    <t>付款方财务审核</t>
  </si>
  <si>
    <r>
      <rPr>
        <sz val="9"/>
        <color theme="1"/>
        <rFont val="宋体"/>
        <charset val="134"/>
      </rPr>
      <t>收款方账号</t>
    </r>
  </si>
  <si>
    <t>付款方账号</t>
  </si>
  <si>
    <r>
      <rPr>
        <sz val="9"/>
        <color rgb="FF393939"/>
        <rFont val="宋体"/>
        <charset val="134"/>
      </rPr>
      <t>金额</t>
    </r>
    <r>
      <rPr>
        <sz val="9"/>
        <color rgb="FF393939"/>
        <rFont val="Arial"/>
        <charset val="134"/>
      </rPr>
      <t>NGN</t>
    </r>
  </si>
  <si>
    <r>
      <rPr>
        <sz val="9"/>
        <color rgb="FF393939"/>
        <rFont val="宋体"/>
        <charset val="134"/>
      </rPr>
      <t>支付金额</t>
    </r>
    <r>
      <rPr>
        <sz val="9"/>
        <color rgb="FF393939"/>
        <rFont val="Arial"/>
        <charset val="134"/>
      </rPr>
      <t>NGN</t>
    </r>
  </si>
  <si>
    <t>收款方财务账号</t>
  </si>
  <si>
    <t>支付凭证</t>
  </si>
  <si>
    <t>上传</t>
  </si>
  <si>
    <t>收付方财务审核</t>
  </si>
  <si>
    <r>
      <rPr>
        <sz val="9"/>
        <color rgb="FF393939"/>
        <rFont val="宋体"/>
        <charset val="134"/>
      </rPr>
      <t>到账状态</t>
    </r>
    <r>
      <rPr>
        <sz val="9"/>
        <color rgb="FF393939"/>
        <rFont val="Arial"/>
        <charset val="134"/>
      </rPr>
      <t>/</t>
    </r>
    <r>
      <rPr>
        <sz val="9"/>
        <color rgb="FF393939"/>
        <rFont val="宋体"/>
        <charset val="134"/>
      </rPr>
      <t>日期</t>
    </r>
  </si>
  <si>
    <t>支付状态/日期</t>
  </si>
  <si>
    <r>
      <rPr>
        <sz val="9"/>
        <color rgb="FF393939"/>
        <rFont val="宋体"/>
        <charset val="134"/>
      </rPr>
      <t>操作账号</t>
    </r>
  </si>
  <si>
    <t>操作账号</t>
  </si>
  <si>
    <r>
      <rPr>
        <b/>
        <sz val="14"/>
        <color theme="0"/>
        <rFont val="宋体"/>
        <charset val="134"/>
      </rPr>
      <t>返回</t>
    </r>
    <r>
      <rPr>
        <b/>
        <sz val="14"/>
        <color theme="0"/>
        <rFont val="Arial"/>
        <charset val="134"/>
      </rPr>
      <t xml:space="preserve"> </t>
    </r>
    <r>
      <rPr>
        <b/>
        <sz val="14"/>
        <color theme="0"/>
        <rFont val="宋体"/>
        <charset val="134"/>
      </rPr>
      <t>提交</t>
    </r>
  </si>
  <si>
    <t>调拔资金</t>
  </si>
  <si>
    <t>IKEJ STA</t>
  </si>
  <si>
    <t>JOB123456</t>
  </si>
  <si>
    <t>191018000005 02</t>
  </si>
  <si>
    <t>191018000005 14</t>
  </si>
  <si>
    <t>191018000005 15</t>
  </si>
  <si>
    <t>191018000005 16</t>
  </si>
  <si>
    <t>191019000025 06</t>
  </si>
  <si>
    <t>JOB123457</t>
  </si>
  <si>
    <t>191019000025 07</t>
  </si>
  <si>
    <t>JOB123458</t>
  </si>
  <si>
    <t>191019000025 08</t>
  </si>
  <si>
    <t>JOB123459</t>
  </si>
  <si>
    <t>191019000025 09</t>
  </si>
  <si>
    <t>JOB123460</t>
  </si>
  <si>
    <t>191019000025 10</t>
  </si>
  <si>
    <t>JOB123461</t>
  </si>
  <si>
    <t>191019000025 11</t>
  </si>
  <si>
    <t>JOB123462</t>
  </si>
  <si>
    <t>191019000025 12</t>
  </si>
  <si>
    <t>JOB123463</t>
  </si>
  <si>
    <t>191019000025 13</t>
  </si>
  <si>
    <t>JOB123464</t>
  </si>
  <si>
    <t>191019000025 14</t>
  </si>
  <si>
    <t>JOB123465</t>
  </si>
  <si>
    <t>191019000025 15</t>
  </si>
  <si>
    <t>JOB123466</t>
  </si>
  <si>
    <t>191019000025 16</t>
  </si>
  <si>
    <t>JOB123467</t>
  </si>
  <si>
    <t>191019000025 17</t>
  </si>
  <si>
    <t>JOB123468</t>
  </si>
  <si>
    <t>191019000025 18</t>
  </si>
  <si>
    <t>SAMPAO</t>
  </si>
  <si>
    <t>ACCESS BANK</t>
  </si>
  <si>
    <r>
      <rPr>
        <sz val="9"/>
        <color rgb="FF0070C0"/>
        <rFont val="宋体"/>
        <charset val="134"/>
      </rPr>
      <t>查看</t>
    </r>
  </si>
  <si>
    <r>
      <rPr>
        <sz val="9"/>
        <color rgb="FF393939"/>
        <rFont val="宋体"/>
        <charset val="134"/>
      </rPr>
      <t>待支付</t>
    </r>
    <r>
      <rPr>
        <sz val="9"/>
        <color rgb="FF393939"/>
        <rFont val="Arial"/>
        <charset val="134"/>
      </rPr>
      <t xml:space="preserve"> 2019/8/28 15:01:22</t>
    </r>
  </si>
  <si>
    <t>CANSAMPAO</t>
  </si>
  <si>
    <t>添加订单</t>
  </si>
  <si>
    <r>
      <rPr>
        <b/>
        <sz val="9"/>
        <color theme="1"/>
        <rFont val="Microsoft JhengHei"/>
        <charset val="134"/>
      </rPr>
      <t>单号</t>
    </r>
  </si>
  <si>
    <t>业务员</t>
  </si>
  <si>
    <t>收件人</t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</si>
  <si>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</si>
  <si>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r>
      <rPr>
        <b/>
        <sz val="9"/>
        <color theme="1"/>
        <rFont val="Microsoft JhengHei"/>
        <charset val="134"/>
      </rPr>
      <t>实际收到</t>
    </r>
    <r>
      <rPr>
        <b/>
        <sz val="9"/>
        <color theme="1"/>
        <rFont val="Arial"/>
        <charset val="134"/>
      </rPr>
      <t>NGN</t>
    </r>
  </si>
  <si>
    <r>
      <rPr>
        <b/>
        <sz val="9"/>
        <color theme="1"/>
        <rFont val="Microsoft JhengHei"/>
        <charset val="134"/>
      </rPr>
      <t>差额</t>
    </r>
    <r>
      <rPr>
        <b/>
        <sz val="9"/>
        <color theme="1"/>
        <rFont val="Arial"/>
        <charset val="134"/>
      </rPr>
      <t>NGN</t>
    </r>
  </si>
  <si>
    <r>
      <rPr>
        <b/>
        <sz val="9"/>
        <color theme="1"/>
        <rFont val="宋体"/>
        <charset val="134"/>
      </rPr>
      <t>操作</t>
    </r>
    <r>
      <rPr>
        <b/>
        <sz val="9"/>
        <color theme="1"/>
        <rFont val="Arial"/>
        <charset val="134"/>
      </rPr>
      <t xml:space="preserve"> </t>
    </r>
    <r>
      <rPr>
        <b/>
        <sz val="9"/>
        <color theme="1"/>
        <rFont val="宋体"/>
        <charset val="134"/>
      </rPr>
      <t>口</t>
    </r>
  </si>
  <si>
    <t>191018000005 01</t>
  </si>
  <si>
    <t>Karena</t>
  </si>
  <si>
    <t>þ</t>
  </si>
  <si>
    <t>箴媄子</t>
  </si>
  <si>
    <t>Tom</t>
  </si>
  <si>
    <r>
      <rPr>
        <sz val="9"/>
        <color theme="1"/>
        <rFont val="Microsoft JhengHei"/>
        <charset val="134"/>
      </rPr>
      <t>敏敏</t>
    </r>
    <r>
      <rPr>
        <sz val="9"/>
        <color theme="1"/>
        <rFont val="Arial"/>
        <charset val="134"/>
      </rPr>
      <t>lena</t>
    </r>
  </si>
  <si>
    <t>Smile</t>
  </si>
  <si>
    <t>191021000001 01</t>
  </si>
  <si>
    <t>良大大</t>
  </si>
  <si>
    <t>191021000003 02</t>
  </si>
  <si>
    <t>光明</t>
  </si>
  <si>
    <t>191021000013 03</t>
  </si>
  <si>
    <t>小莫</t>
  </si>
  <si>
    <t>191021000033 08</t>
  </si>
  <si>
    <t>191022000007 09</t>
  </si>
  <si>
    <t>191022000036 12</t>
  </si>
  <si>
    <t>191023000006 02</t>
  </si>
  <si>
    <t>JOB123469</t>
  </si>
  <si>
    <t>191023000010 04</t>
  </si>
  <si>
    <t>JOB123470</t>
  </si>
  <si>
    <t>191023000011 03</t>
  </si>
  <si>
    <t>JOB123471</t>
  </si>
  <si>
    <t>191023000019 02</t>
  </si>
  <si>
    <t>JOB123472</t>
  </si>
  <si>
    <t>191023000026 01</t>
  </si>
  <si>
    <t>JOB123473</t>
  </si>
  <si>
    <t>191023000028 05</t>
  </si>
  <si>
    <t>NGN90,153.00</t>
  </si>
  <si>
    <t>NGN89,953.00</t>
  </si>
  <si>
    <t>NGN200.00</t>
  </si>
  <si>
    <r>
      <rPr>
        <b/>
        <sz val="12"/>
        <color theme="0"/>
        <rFont val="Microsoft JhengHei"/>
        <charset val="134"/>
      </rPr>
      <t>返回</t>
    </r>
    <r>
      <rPr>
        <b/>
        <sz val="12"/>
        <color theme="0"/>
        <rFont val="Arial"/>
        <charset val="134"/>
      </rPr>
      <t xml:space="preserve"> </t>
    </r>
    <r>
      <rPr>
        <b/>
        <sz val="12"/>
        <color theme="0"/>
        <rFont val="Microsoft JhengHei"/>
        <charset val="134"/>
      </rPr>
      <t>提交</t>
    </r>
  </si>
</sst>
</file>

<file path=xl/styles.xml><?xml version="1.0" encoding="utf-8"?>
<styleSheet xmlns="http://schemas.openxmlformats.org/spreadsheetml/2006/main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,##0.00_ "/>
    <numFmt numFmtId="178" formatCode="0.00_ "/>
    <numFmt numFmtId="179" formatCode="yyyy/m/d\ h:mm;@"/>
    <numFmt numFmtId="180" formatCode="[$-409]dd\-mmm\-yy;@"/>
  </numFmts>
  <fonts count="53">
    <font>
      <sz val="11"/>
      <color theme="1"/>
      <name val="宋体"/>
      <charset val="134"/>
      <scheme val="minor"/>
    </font>
    <font>
      <sz val="9"/>
      <color theme="1"/>
      <name val="Microsoft JhengHei"/>
      <charset val="134"/>
    </font>
    <font>
      <b/>
      <sz val="12"/>
      <color theme="0"/>
      <name val="Microsoft JhengHei"/>
      <charset val="134"/>
    </font>
    <font>
      <b/>
      <sz val="14"/>
      <color theme="0"/>
      <name val="Microsoft JhengHei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b/>
      <sz val="9"/>
      <color theme="1"/>
      <name val="Microsoft JhengHei"/>
      <charset val="134"/>
    </font>
    <font>
      <sz val="9"/>
      <color theme="1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Arial"/>
      <charset val="134"/>
    </font>
    <font>
      <sz val="10"/>
      <color theme="1"/>
      <name val="宋体"/>
      <charset val="134"/>
      <scheme val="minor"/>
    </font>
    <font>
      <sz val="9"/>
      <color theme="1"/>
      <name val="Wingdings"/>
      <charset val="134"/>
    </font>
    <font>
      <sz val="11"/>
      <color theme="1"/>
      <name val="Arial"/>
      <charset val="134"/>
    </font>
    <font>
      <b/>
      <sz val="14"/>
      <color theme="0"/>
      <name val="宋体"/>
      <charset val="134"/>
    </font>
    <font>
      <sz val="9"/>
      <color rgb="FF393939"/>
      <name val="Arial"/>
      <charset val="134"/>
    </font>
    <font>
      <b/>
      <sz val="10"/>
      <color rgb="FF393939"/>
      <name val="Arial"/>
      <charset val="134"/>
    </font>
    <font>
      <sz val="8"/>
      <color rgb="FF393939"/>
      <name val="Arial"/>
      <charset val="134"/>
    </font>
    <font>
      <sz val="9"/>
      <color rgb="FF393939"/>
      <name val="宋体"/>
      <charset val="134"/>
    </font>
    <font>
      <b/>
      <sz val="9"/>
      <color rgb="FF393939"/>
      <name val="Arial"/>
      <charset val="134"/>
    </font>
    <font>
      <b/>
      <sz val="9"/>
      <color rgb="FF393939"/>
      <name val="宋体"/>
      <charset val="134"/>
    </font>
    <font>
      <sz val="9"/>
      <color rgb="FF0070C0"/>
      <name val="宋体"/>
      <charset val="134"/>
    </font>
    <font>
      <b/>
      <sz val="11"/>
      <color rgb="FF393939"/>
      <name val="Arial"/>
      <charset val="134"/>
    </font>
    <font>
      <sz val="9"/>
      <color theme="1"/>
      <name val="宋体"/>
      <charset val="134"/>
    </font>
    <font>
      <sz val="9"/>
      <color rgb="FF0070C0"/>
      <name val="Arial"/>
      <charset val="134"/>
    </font>
    <font>
      <b/>
      <sz val="14"/>
      <color theme="0"/>
      <name val="Arial"/>
      <charset val="134"/>
    </font>
    <font>
      <sz val="10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宋体"/>
      <charset val="134"/>
      <scheme val="minor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b/>
      <sz val="10"/>
      <color theme="1"/>
      <name val="Arial"/>
      <charset val="134"/>
    </font>
    <font>
      <sz val="8"/>
      <color theme="1"/>
      <name val="宋体"/>
      <charset val="134"/>
    </font>
    <font>
      <sz val="8"/>
      <color theme="1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color rgb="FF393939"/>
      <name val="Wingdings"/>
      <charset val="134"/>
    </font>
  </fonts>
  <fills count="3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theme="2" tint="-0.1"/>
      </top>
      <bottom/>
      <diagonal/>
    </border>
    <border>
      <left/>
      <right/>
      <top style="thin">
        <color theme="2" tint="-0.1"/>
      </top>
      <bottom/>
      <diagonal/>
    </border>
    <border>
      <left/>
      <right style="thin">
        <color auto="1"/>
      </right>
      <top style="thin">
        <color theme="2" tint="-0.1"/>
      </top>
      <bottom/>
      <diagonal/>
    </border>
    <border>
      <left style="thin">
        <color auto="1"/>
      </left>
      <right/>
      <top/>
      <bottom style="thin">
        <color theme="2" tint="-0.1"/>
      </bottom>
      <diagonal/>
    </border>
    <border>
      <left/>
      <right/>
      <top/>
      <bottom style="thin">
        <color theme="2" tint="-0.1"/>
      </bottom>
      <diagonal/>
    </border>
    <border>
      <left/>
      <right style="thin">
        <color auto="1"/>
      </right>
      <top/>
      <bottom style="thin">
        <color theme="2" tint="-0.1"/>
      </bottom>
      <diagonal/>
    </border>
    <border>
      <left style="thin">
        <color theme="2" tint="-0.1"/>
      </left>
      <right/>
      <top/>
      <bottom/>
      <diagonal/>
    </border>
    <border>
      <left/>
      <right style="thin">
        <color theme="2" tint="-0.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13" borderId="18" applyNumberFormat="0" applyFont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45" fillId="17" borderId="21" applyNumberFormat="0" applyAlignment="0" applyProtection="0">
      <alignment vertical="center"/>
    </xf>
    <xf numFmtId="0" fontId="46" fillId="17" borderId="17" applyNumberFormat="0" applyAlignment="0" applyProtection="0">
      <alignment vertical="center"/>
    </xf>
    <xf numFmtId="0" fontId="47" fillId="18" borderId="22" applyNumberFormat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</cellStyleXfs>
  <cellXfs count="16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176" fontId="7" fillId="4" borderId="0" xfId="0" applyNumberFormat="1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177" fontId="7" fillId="4" borderId="0" xfId="0" applyNumberFormat="1" applyFont="1" applyFill="1" applyBorder="1" applyAlignment="1">
      <alignment horizontal="center" vertical="center"/>
    </xf>
    <xf numFmtId="177" fontId="7" fillId="4" borderId="0" xfId="0" applyNumberFormat="1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/>
    </xf>
    <xf numFmtId="177" fontId="8" fillId="3" borderId="3" xfId="0" applyNumberFormat="1" applyFont="1" applyFill="1" applyBorder="1" applyAlignment="1">
      <alignment vertical="center" wrapText="1"/>
    </xf>
    <xf numFmtId="177" fontId="8" fillId="3" borderId="0" xfId="0" applyNumberFormat="1" applyFont="1" applyFill="1" applyBorder="1" applyAlignment="1">
      <alignment vertical="center" wrapText="1"/>
    </xf>
    <xf numFmtId="177" fontId="8" fillId="3" borderId="0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 wrapText="1"/>
    </xf>
    <xf numFmtId="177" fontId="11" fillId="4" borderId="7" xfId="0" applyNumberFormat="1" applyFont="1" applyFill="1" applyBorder="1" applyAlignment="1">
      <alignment horizontal="center" vertical="center" wrapText="1"/>
    </xf>
    <xf numFmtId="177" fontId="8" fillId="3" borderId="7" xfId="0" applyNumberFormat="1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1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178" fontId="14" fillId="3" borderId="3" xfId="0" applyNumberFormat="1" applyFont="1" applyFill="1" applyBorder="1" applyAlignment="1">
      <alignment horizontal="center" vertical="center"/>
    </xf>
    <xf numFmtId="177" fontId="15" fillId="4" borderId="0" xfId="0" applyNumberFormat="1" applyFont="1" applyFill="1" applyBorder="1" applyAlignment="1">
      <alignment horizontal="left" vertical="center"/>
    </xf>
    <xf numFmtId="179" fontId="16" fillId="4" borderId="7" xfId="0" applyNumberFormat="1" applyFont="1" applyFill="1" applyBorder="1" applyAlignment="1">
      <alignment horizontal="center" vertical="center"/>
    </xf>
    <xf numFmtId="178" fontId="14" fillId="3" borderId="9" xfId="0" applyNumberFormat="1" applyFont="1" applyFill="1" applyBorder="1" applyAlignment="1">
      <alignment horizontal="center" vertical="center"/>
    </xf>
    <xf numFmtId="177" fontId="15" fillId="4" borderId="10" xfId="0" applyNumberFormat="1" applyFont="1" applyFill="1" applyBorder="1" applyAlignment="1">
      <alignment horizontal="left" vertical="center"/>
    </xf>
    <xf numFmtId="179" fontId="16" fillId="4" borderId="11" xfId="0" applyNumberFormat="1" applyFont="1" applyFill="1" applyBorder="1" applyAlignment="1">
      <alignment horizontal="center" vertical="center"/>
    </xf>
    <xf numFmtId="178" fontId="17" fillId="3" borderId="3" xfId="0" applyNumberFormat="1" applyFont="1" applyFill="1" applyBorder="1" applyAlignment="1">
      <alignment horizontal="center" vertical="center"/>
    </xf>
    <xf numFmtId="178" fontId="17" fillId="3" borderId="9" xfId="0" applyNumberFormat="1" applyFont="1" applyFill="1" applyBorder="1" applyAlignment="1">
      <alignment horizontal="center" vertical="center"/>
    </xf>
    <xf numFmtId="178" fontId="18" fillId="4" borderId="10" xfId="0" applyNumberFormat="1" applyFont="1" applyFill="1" applyBorder="1" applyAlignment="1">
      <alignment horizontal="left" vertical="center"/>
    </xf>
    <xf numFmtId="178" fontId="18" fillId="4" borderId="11" xfId="0" applyNumberFormat="1" applyFont="1" applyFill="1" applyBorder="1" applyAlignment="1">
      <alignment horizontal="left" vertical="center"/>
    </xf>
    <xf numFmtId="178" fontId="19" fillId="4" borderId="10" xfId="0" applyNumberFormat="1" applyFont="1" applyFill="1" applyBorder="1" applyAlignment="1">
      <alignment horizontal="left" vertical="center"/>
    </xf>
    <xf numFmtId="178" fontId="20" fillId="3" borderId="9" xfId="0" applyNumberFormat="1" applyFont="1" applyFill="1" applyBorder="1" applyAlignment="1">
      <alignment horizontal="center" vertical="center"/>
    </xf>
    <xf numFmtId="178" fontId="18" fillId="3" borderId="10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178" fontId="19" fillId="3" borderId="11" xfId="0" applyNumberFormat="1" applyFont="1" applyFill="1" applyBorder="1" applyAlignment="1">
      <alignment horizontal="center" vertical="center"/>
    </xf>
    <xf numFmtId="178" fontId="20" fillId="3" borderId="3" xfId="0" applyNumberFormat="1" applyFont="1" applyFill="1" applyBorder="1" applyAlignment="1">
      <alignment horizontal="center" vertical="center"/>
    </xf>
    <xf numFmtId="176" fontId="14" fillId="4" borderId="0" xfId="0" applyNumberFormat="1" applyFont="1" applyFill="1" applyBorder="1" applyAlignment="1">
      <alignment horizontal="center" vertical="center" wrapText="1"/>
    </xf>
    <xf numFmtId="177" fontId="7" fillId="4" borderId="7" xfId="0" applyNumberFormat="1" applyFont="1" applyFill="1" applyBorder="1" applyAlignment="1">
      <alignment horizontal="center" vertical="center" wrapText="1"/>
    </xf>
    <xf numFmtId="178" fontId="17" fillId="3" borderId="12" xfId="0" applyNumberFormat="1" applyFont="1" applyFill="1" applyBorder="1" applyAlignment="1">
      <alignment horizontal="center" vertical="center"/>
    </xf>
    <xf numFmtId="177" fontId="14" fillId="3" borderId="13" xfId="0" applyNumberFormat="1" applyFont="1" applyFill="1" applyBorder="1" applyAlignment="1">
      <alignment vertical="center"/>
    </xf>
    <xf numFmtId="177" fontId="21" fillId="3" borderId="13" xfId="0" applyNumberFormat="1" applyFont="1" applyFill="1" applyBorder="1" applyAlignment="1">
      <alignment horizontal="center" vertical="center"/>
    </xf>
    <xf numFmtId="177" fontId="21" fillId="3" borderId="14" xfId="0" applyNumberFormat="1" applyFont="1" applyFill="1" applyBorder="1" applyAlignment="1">
      <alignment horizontal="center" vertical="center"/>
    </xf>
    <xf numFmtId="177" fontId="18" fillId="3" borderId="0" xfId="0" applyNumberFormat="1" applyFont="1" applyFill="1" applyBorder="1" applyAlignment="1">
      <alignment horizontal="center" vertical="center"/>
    </xf>
    <xf numFmtId="177" fontId="19" fillId="3" borderId="0" xfId="0" applyNumberFormat="1" applyFont="1" applyFill="1" applyBorder="1" applyAlignment="1">
      <alignment horizontal="center" vertical="center"/>
    </xf>
    <xf numFmtId="177" fontId="19" fillId="3" borderId="7" xfId="0" applyNumberFormat="1" applyFont="1" applyFill="1" applyBorder="1" applyAlignment="1">
      <alignment horizontal="center" vertical="center"/>
    </xf>
    <xf numFmtId="177" fontId="14" fillId="4" borderId="0" xfId="0" applyNumberFormat="1" applyFont="1" applyFill="1" applyBorder="1" applyAlignment="1">
      <alignment horizontal="center" vertical="center"/>
    </xf>
    <xf numFmtId="177" fontId="17" fillId="4" borderId="0" xfId="0" applyNumberFormat="1" applyFont="1" applyFill="1" applyBorder="1" applyAlignment="1">
      <alignment horizontal="center" vertical="center"/>
    </xf>
    <xf numFmtId="177" fontId="17" fillId="4" borderId="7" xfId="0" applyNumberFormat="1" applyFont="1" applyFill="1" applyBorder="1" applyAlignment="1">
      <alignment horizontal="center" vertical="center"/>
    </xf>
    <xf numFmtId="178" fontId="14" fillId="4" borderId="10" xfId="0" applyNumberFormat="1" applyFont="1" applyFill="1" applyBorder="1" applyAlignment="1">
      <alignment horizontal="left" vertical="center" wrapText="1"/>
    </xf>
    <xf numFmtId="0" fontId="22" fillId="3" borderId="10" xfId="0" applyFont="1" applyFill="1" applyBorder="1" applyAlignment="1">
      <alignment horizontal="center" vertical="center" wrapText="1"/>
    </xf>
    <xf numFmtId="178" fontId="17" fillId="4" borderId="10" xfId="0" applyNumberFormat="1" applyFont="1" applyFill="1" applyBorder="1" applyAlignment="1">
      <alignment horizontal="left" vertical="center" wrapText="1"/>
    </xf>
    <xf numFmtId="178" fontId="17" fillId="3" borderId="10" xfId="0" applyNumberFormat="1" applyFont="1" applyFill="1" applyBorder="1" applyAlignment="1">
      <alignment horizontal="center" vertical="center"/>
    </xf>
    <xf numFmtId="178" fontId="17" fillId="4" borderId="11" xfId="0" applyNumberFormat="1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 wrapText="1"/>
    </xf>
    <xf numFmtId="178" fontId="14" fillId="4" borderId="0" xfId="0" applyNumberFormat="1" applyFont="1" applyFill="1" applyBorder="1" applyAlignment="1">
      <alignment horizontal="left" vertical="center"/>
    </xf>
    <xf numFmtId="0" fontId="22" fillId="3" borderId="0" xfId="0" applyFont="1" applyFill="1" applyBorder="1" applyAlignment="1">
      <alignment horizontal="center" vertical="center" wrapText="1"/>
    </xf>
    <xf numFmtId="178" fontId="17" fillId="4" borderId="0" xfId="0" applyNumberFormat="1" applyFont="1" applyFill="1" applyBorder="1" applyAlignment="1">
      <alignment horizontal="left" vertical="center"/>
    </xf>
    <xf numFmtId="178" fontId="17" fillId="4" borderId="7" xfId="0" applyNumberFormat="1" applyFont="1" applyFill="1" applyBorder="1" applyAlignment="1">
      <alignment horizontal="left" vertical="center"/>
    </xf>
    <xf numFmtId="176" fontId="14" fillId="4" borderId="0" xfId="0" applyNumberFormat="1" applyFont="1" applyFill="1" applyBorder="1" applyAlignment="1">
      <alignment horizontal="left" vertical="center"/>
    </xf>
    <xf numFmtId="176" fontId="17" fillId="4" borderId="0" xfId="0" applyNumberFormat="1" applyFont="1" applyFill="1" applyBorder="1" applyAlignment="1">
      <alignment horizontal="left" vertical="center"/>
    </xf>
    <xf numFmtId="176" fontId="17" fillId="4" borderId="7" xfId="0" applyNumberFormat="1" applyFont="1" applyFill="1" applyBorder="1" applyAlignment="1">
      <alignment horizontal="left" vertical="center"/>
    </xf>
    <xf numFmtId="177" fontId="7" fillId="4" borderId="0" xfId="0" applyNumberFormat="1" applyFont="1" applyFill="1" applyBorder="1" applyAlignment="1">
      <alignment horizontal="left" vertical="center"/>
    </xf>
    <xf numFmtId="178" fontId="14" fillId="3" borderId="0" xfId="0" applyNumberFormat="1" applyFont="1" applyFill="1" applyBorder="1" applyAlignment="1">
      <alignment horizontal="center" vertical="center"/>
    </xf>
    <xf numFmtId="179" fontId="23" fillId="4" borderId="0" xfId="0" applyNumberFormat="1" applyFont="1" applyFill="1" applyBorder="1" applyAlignment="1">
      <alignment horizontal="left" vertical="center"/>
    </xf>
    <xf numFmtId="178" fontId="17" fillId="3" borderId="0" xfId="0" applyNumberFormat="1" applyFont="1" applyFill="1" applyBorder="1" applyAlignment="1">
      <alignment horizontal="center" vertical="center"/>
    </xf>
    <xf numFmtId="179" fontId="17" fillId="4" borderId="0" xfId="0" applyNumberFormat="1" applyFont="1" applyFill="1" applyBorder="1" applyAlignment="1">
      <alignment horizontal="left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177" fontId="17" fillId="3" borderId="13" xfId="0" applyNumberFormat="1" applyFont="1" applyFill="1" applyBorder="1" applyAlignment="1">
      <alignment horizontal="center" vertical="center"/>
    </xf>
    <xf numFmtId="177" fontId="1" fillId="4" borderId="0" xfId="0" applyNumberFormat="1" applyFont="1" applyFill="1" applyBorder="1" applyAlignment="1">
      <alignment horizontal="left" vertical="center"/>
    </xf>
    <xf numFmtId="179" fontId="20" fillId="4" borderId="0" xfId="0" applyNumberFormat="1" applyFont="1" applyFill="1" applyBorder="1" applyAlignment="1">
      <alignment horizontal="left" vertical="center"/>
    </xf>
    <xf numFmtId="179" fontId="14" fillId="4" borderId="7" xfId="0" applyNumberFormat="1" applyFont="1" applyFill="1" applyBorder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6" fillId="5" borderId="0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26" fillId="5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177" fontId="25" fillId="0" borderId="0" xfId="8" applyNumberFormat="1" applyFont="1" applyFill="1" applyBorder="1" applyAlignment="1">
      <alignment horizontal="center" vertical="center"/>
    </xf>
    <xf numFmtId="180" fontId="29" fillId="2" borderId="1" xfId="0" applyNumberFormat="1" applyFont="1" applyFill="1" applyBorder="1" applyAlignment="1">
      <alignment horizontal="center" vertical="center" wrapText="1"/>
    </xf>
    <xf numFmtId="180" fontId="29" fillId="2" borderId="2" xfId="0" applyNumberFormat="1" applyFont="1" applyFill="1" applyBorder="1" applyAlignment="1">
      <alignment horizontal="center" vertical="center" wrapText="1"/>
    </xf>
    <xf numFmtId="179" fontId="7" fillId="3" borderId="3" xfId="0" applyNumberFormat="1" applyFont="1" applyFill="1" applyBorder="1" applyAlignment="1">
      <alignment horizontal="center" vertical="center"/>
    </xf>
    <xf numFmtId="180" fontId="7" fillId="3" borderId="0" xfId="0" applyNumberFormat="1" applyFont="1" applyFill="1" applyBorder="1" applyAlignment="1">
      <alignment horizontal="center" vertical="center"/>
    </xf>
    <xf numFmtId="180" fontId="22" fillId="3" borderId="15" xfId="0" applyNumberFormat="1" applyFont="1" applyFill="1" applyBorder="1" applyAlignment="1">
      <alignment horizontal="center" vertical="center"/>
    </xf>
    <xf numFmtId="177" fontId="7" fillId="3" borderId="15" xfId="8" applyNumberFormat="1" applyFont="1" applyFill="1" applyBorder="1" applyAlignment="1">
      <alignment horizontal="center" vertical="center"/>
    </xf>
    <xf numFmtId="177" fontId="7" fillId="3" borderId="0" xfId="8" applyNumberFormat="1" applyFont="1" applyFill="1" applyBorder="1" applyAlignment="1">
      <alignment horizontal="center" vertical="center"/>
    </xf>
    <xf numFmtId="177" fontId="7" fillId="3" borderId="0" xfId="0" applyNumberFormat="1" applyFont="1" applyFill="1" applyBorder="1" applyAlignment="1">
      <alignment horizontal="center" vertical="center"/>
    </xf>
    <xf numFmtId="177" fontId="7" fillId="3" borderId="16" xfId="8" applyNumberFormat="1" applyFont="1" applyFill="1" applyBorder="1" applyAlignment="1">
      <alignment horizontal="center" vertical="center"/>
    </xf>
    <xf numFmtId="179" fontId="7" fillId="4" borderId="3" xfId="0" applyNumberFormat="1" applyFont="1" applyFill="1" applyBorder="1" applyAlignment="1">
      <alignment horizontal="center" vertical="center"/>
    </xf>
    <xf numFmtId="180" fontId="7" fillId="4" borderId="0" xfId="0" applyNumberFormat="1" applyFont="1" applyFill="1" applyBorder="1" applyAlignment="1">
      <alignment horizontal="center" vertical="center"/>
    </xf>
    <xf numFmtId="180" fontId="7" fillId="4" borderId="15" xfId="0" applyNumberFormat="1" applyFont="1" applyFill="1" applyBorder="1" applyAlignment="1">
      <alignment horizontal="center" vertical="center"/>
    </xf>
    <xf numFmtId="177" fontId="7" fillId="4" borderId="15" xfId="0" applyNumberFormat="1" applyFont="1" applyFill="1" applyBorder="1" applyAlignment="1">
      <alignment horizontal="center" vertical="center"/>
    </xf>
    <xf numFmtId="177" fontId="7" fillId="4" borderId="0" xfId="8" applyNumberFormat="1" applyFont="1" applyFill="1" applyBorder="1" applyAlignment="1">
      <alignment horizontal="center" vertical="center"/>
    </xf>
    <xf numFmtId="177" fontId="7" fillId="4" borderId="16" xfId="8" applyNumberFormat="1" applyFont="1" applyFill="1" applyBorder="1" applyAlignment="1">
      <alignment horizontal="center" vertical="center"/>
    </xf>
    <xf numFmtId="177" fontId="7" fillId="3" borderId="15" xfId="0" applyNumberFormat="1" applyFont="1" applyFill="1" applyBorder="1" applyAlignment="1">
      <alignment horizontal="center" vertical="center"/>
    </xf>
    <xf numFmtId="180" fontId="22" fillId="4" borderId="15" xfId="0" applyNumberFormat="1" applyFont="1" applyFill="1" applyBorder="1" applyAlignment="1">
      <alignment horizontal="center" vertical="center"/>
    </xf>
    <xf numFmtId="177" fontId="7" fillId="3" borderId="3" xfId="8" applyNumberFormat="1" applyFont="1" applyFill="1" applyBorder="1" applyAlignment="1">
      <alignment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177" fontId="30" fillId="3" borderId="15" xfId="8" applyNumberFormat="1" applyFont="1" applyFill="1" applyBorder="1" applyAlignment="1">
      <alignment horizontal="center" vertical="center"/>
    </xf>
    <xf numFmtId="177" fontId="30" fillId="3" borderId="0" xfId="8" applyNumberFormat="1" applyFont="1" applyFill="1" applyBorder="1" applyAlignment="1">
      <alignment horizontal="center" vertical="center"/>
    </xf>
    <xf numFmtId="177" fontId="30" fillId="3" borderId="16" xfId="8" applyNumberFormat="1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180" fontId="29" fillId="2" borderId="6" xfId="0" applyNumberFormat="1" applyFont="1" applyFill="1" applyBorder="1" applyAlignment="1">
      <alignment horizontal="center" vertical="center" wrapText="1"/>
    </xf>
    <xf numFmtId="177" fontId="7" fillId="3" borderId="16" xfId="0" applyNumberFormat="1" applyFont="1" applyFill="1" applyBorder="1" applyAlignment="1">
      <alignment horizontal="center" vertical="center"/>
    </xf>
    <xf numFmtId="177" fontId="31" fillId="3" borderId="0" xfId="0" applyNumberFormat="1" applyFont="1" applyFill="1" applyBorder="1" applyAlignment="1">
      <alignment horizontal="center" vertical="center" wrapText="1"/>
    </xf>
    <xf numFmtId="177" fontId="31" fillId="3" borderId="15" xfId="8" applyNumberFormat="1" applyFont="1" applyFill="1" applyBorder="1" applyAlignment="1">
      <alignment horizontal="center" vertical="center"/>
    </xf>
    <xf numFmtId="177" fontId="22" fillId="3" borderId="7" xfId="0" applyNumberFormat="1" applyFont="1" applyFill="1" applyBorder="1" applyAlignment="1">
      <alignment horizontal="center" vertical="center"/>
    </xf>
    <xf numFmtId="177" fontId="32" fillId="4" borderId="0" xfId="0" applyNumberFormat="1" applyFont="1" applyFill="1" applyBorder="1" applyAlignment="1">
      <alignment horizontal="center" vertical="center" wrapText="1"/>
    </xf>
    <xf numFmtId="177" fontId="32" fillId="4" borderId="15" xfId="8" applyNumberFormat="1" applyFont="1" applyFill="1" applyBorder="1" applyAlignment="1">
      <alignment horizontal="center" vertical="center" wrapText="1"/>
    </xf>
    <xf numFmtId="177" fontId="22" fillId="4" borderId="7" xfId="8" applyNumberFormat="1" applyFont="1" applyFill="1" applyBorder="1" applyAlignment="1">
      <alignment horizontal="center" vertical="center"/>
    </xf>
    <xf numFmtId="177" fontId="32" fillId="3" borderId="0" xfId="0" applyNumberFormat="1" applyFont="1" applyFill="1" applyBorder="1" applyAlignment="1">
      <alignment horizontal="center" vertical="center" wrapText="1"/>
    </xf>
    <xf numFmtId="177" fontId="32" fillId="3" borderId="15" xfId="8" applyNumberFormat="1" applyFont="1" applyFill="1" applyBorder="1" applyAlignment="1">
      <alignment horizontal="center" vertical="center" wrapText="1"/>
    </xf>
    <xf numFmtId="177" fontId="31" fillId="4" borderId="0" xfId="0" applyNumberFormat="1" applyFont="1" applyFill="1" applyBorder="1" applyAlignment="1">
      <alignment horizontal="center" vertical="center" wrapText="1"/>
    </xf>
    <xf numFmtId="177" fontId="31" fillId="3" borderId="15" xfId="8" applyNumberFormat="1" applyFont="1" applyFill="1" applyBorder="1" applyAlignment="1">
      <alignment horizontal="center" vertical="center" wrapText="1"/>
    </xf>
    <xf numFmtId="177" fontId="32" fillId="3" borderId="0" xfId="8" applyNumberFormat="1" applyFont="1" applyFill="1" applyBorder="1" applyAlignment="1">
      <alignment horizontal="center" vertical="center"/>
    </xf>
    <xf numFmtId="177" fontId="1" fillId="3" borderId="7" xfId="8" applyNumberFormat="1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1" fillId="3" borderId="0" xfId="0" applyFont="1" applyFill="1" applyBorder="1" applyAlignment="1">
      <alignment horizontal="center" vertical="center"/>
    </xf>
    <xf numFmtId="180" fontId="1" fillId="3" borderId="15" xfId="0" applyNumberFormat="1" applyFont="1" applyFill="1" applyBorder="1" applyAlignment="1">
      <alignment horizontal="left" vertical="center"/>
    </xf>
    <xf numFmtId="180" fontId="7" fillId="3" borderId="0" xfId="0" applyNumberFormat="1" applyFont="1" applyFill="1" applyBorder="1" applyAlignment="1">
      <alignment horizontal="left" vertical="center"/>
    </xf>
    <xf numFmtId="180" fontId="1" fillId="4" borderId="15" xfId="0" applyNumberFormat="1" applyFont="1" applyFill="1" applyBorder="1" applyAlignment="1">
      <alignment horizontal="left" vertical="center"/>
    </xf>
    <xf numFmtId="180" fontId="7" fillId="4" borderId="0" xfId="0" applyNumberFormat="1" applyFont="1" applyFill="1" applyBorder="1" applyAlignment="1">
      <alignment horizontal="left" vertical="center"/>
    </xf>
    <xf numFmtId="1" fontId="22" fillId="3" borderId="15" xfId="0" applyNumberFormat="1" applyFont="1" applyFill="1" applyBorder="1" applyAlignment="1">
      <alignment horizontal="left" vertical="center"/>
    </xf>
    <xf numFmtId="1" fontId="7" fillId="3" borderId="0" xfId="0" applyNumberFormat="1" applyFont="1" applyFill="1" applyBorder="1" applyAlignment="1">
      <alignment horizontal="left" vertical="center"/>
    </xf>
    <xf numFmtId="1" fontId="22" fillId="4" borderId="15" xfId="0" applyNumberFormat="1" applyFont="1" applyFill="1" applyBorder="1" applyAlignment="1">
      <alignment horizontal="left" vertical="center"/>
    </xf>
    <xf numFmtId="1" fontId="7" fillId="4" borderId="0" xfId="0" applyNumberFormat="1" applyFont="1" applyFill="1" applyBorder="1" applyAlignment="1">
      <alignment horizontal="left" vertical="center"/>
    </xf>
    <xf numFmtId="1" fontId="7" fillId="3" borderId="15" xfId="0" applyNumberFormat="1" applyFont="1" applyFill="1" applyBorder="1" applyAlignment="1">
      <alignment horizontal="left" vertical="center"/>
    </xf>
    <xf numFmtId="1" fontId="7" fillId="4" borderId="15" xfId="0" applyNumberFormat="1" applyFont="1" applyFill="1" applyBorder="1" applyAlignment="1">
      <alignment horizontal="left" vertical="center"/>
    </xf>
    <xf numFmtId="177" fontId="7" fillId="4" borderId="15" xfId="8" applyNumberFormat="1" applyFont="1" applyFill="1" applyBorder="1" applyAlignment="1">
      <alignment horizontal="center" vertical="center"/>
    </xf>
    <xf numFmtId="177" fontId="7" fillId="3" borderId="0" xfId="8" applyNumberFormat="1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177" fontId="4" fillId="3" borderId="15" xfId="8" applyNumberFormat="1" applyFont="1" applyFill="1" applyBorder="1" applyAlignment="1">
      <alignment horizontal="center" vertical="center"/>
    </xf>
    <xf numFmtId="177" fontId="4" fillId="3" borderId="0" xfId="8" applyNumberFormat="1" applyFont="1" applyFill="1" applyBorder="1" applyAlignment="1">
      <alignment horizontal="center" vertical="center"/>
    </xf>
    <xf numFmtId="177" fontId="7" fillId="3" borderId="7" xfId="8" applyNumberFormat="1" applyFont="1" applyFill="1" applyBorder="1" applyAlignment="1">
      <alignment horizontal="center" vertical="center"/>
    </xf>
    <xf numFmtId="177" fontId="32" fillId="4" borderId="0" xfId="8" applyNumberFormat="1" applyFont="1" applyFill="1" applyBorder="1" applyAlignment="1">
      <alignment horizontal="center" vertical="center"/>
    </xf>
    <xf numFmtId="177" fontId="7" fillId="4" borderId="7" xfId="8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tabSelected="1" topLeftCell="A7" workbookViewId="0">
      <selection activeCell="H25" sqref="H25"/>
    </sheetView>
  </sheetViews>
  <sheetFormatPr defaultColWidth="9" defaultRowHeight="13.5"/>
  <cols>
    <col min="1" max="1" width="18.625" style="86" customWidth="1"/>
    <col min="2" max="3" width="15.625" style="86" customWidth="1"/>
    <col min="4" max="5" width="18.625" style="86" customWidth="1"/>
    <col min="6" max="13" width="15.625" style="86" customWidth="1"/>
    <col min="14" max="16366" width="9" style="86"/>
  </cols>
  <sheetData>
    <row r="1" ht="25" customHeight="1"/>
    <row r="2" ht="25" customHeight="1" spans="1:8">
      <c r="A2" s="87" t="s">
        <v>0</v>
      </c>
      <c r="B2" s="88" t="s">
        <v>1</v>
      </c>
      <c r="C2" s="88" t="s">
        <v>2</v>
      </c>
      <c r="D2" s="88" t="s">
        <v>3</v>
      </c>
      <c r="F2" s="89"/>
      <c r="G2" s="89"/>
      <c r="H2" s="89"/>
    </row>
    <row r="3" ht="25" customHeight="1" spans="1:8">
      <c r="A3" s="87" t="s">
        <v>4</v>
      </c>
      <c r="B3" s="90" t="s">
        <v>5</v>
      </c>
      <c r="C3" s="90" t="s">
        <v>6</v>
      </c>
      <c r="D3" s="90" t="s">
        <v>7</v>
      </c>
      <c r="F3" s="91"/>
      <c r="G3" s="91"/>
      <c r="H3" s="89"/>
    </row>
    <row r="4" ht="25" customHeight="1" spans="1:8">
      <c r="A4" s="92" t="s">
        <v>8</v>
      </c>
      <c r="B4" s="93" t="s">
        <v>9</v>
      </c>
      <c r="C4" s="92" t="s">
        <v>10</v>
      </c>
      <c r="D4" s="92" t="s">
        <v>11</v>
      </c>
      <c r="F4" s="94"/>
      <c r="G4" s="94"/>
      <c r="H4" s="94"/>
    </row>
    <row r="5" ht="25" customHeight="1"/>
    <row r="6" ht="25" customHeight="1" spans="1:9">
      <c r="A6" s="95" t="s">
        <v>12</v>
      </c>
      <c r="B6" s="96" t="s">
        <v>13</v>
      </c>
      <c r="C6" s="96" t="s">
        <v>14</v>
      </c>
      <c r="D6" s="96" t="s">
        <v>15</v>
      </c>
      <c r="E6" s="96" t="s">
        <v>16</v>
      </c>
      <c r="F6" s="96" t="s">
        <v>17</v>
      </c>
      <c r="G6" s="96" t="s">
        <v>18</v>
      </c>
      <c r="H6" s="96" t="s">
        <v>19</v>
      </c>
      <c r="I6" s="96" t="s">
        <v>20</v>
      </c>
    </row>
    <row r="7" s="85" customFormat="1" ht="25" customHeight="1" spans="1:9">
      <c r="A7" s="95" t="s">
        <v>21</v>
      </c>
      <c r="B7" s="96" t="s">
        <v>22</v>
      </c>
      <c r="C7" s="96" t="s">
        <v>23</v>
      </c>
      <c r="D7" s="96" t="s">
        <v>24</v>
      </c>
      <c r="E7" s="96" t="s">
        <v>25</v>
      </c>
      <c r="F7" s="96" t="s">
        <v>26</v>
      </c>
      <c r="G7" s="96" t="s">
        <v>27</v>
      </c>
      <c r="H7" s="96" t="s">
        <v>28</v>
      </c>
      <c r="I7" s="96" t="s">
        <v>29</v>
      </c>
    </row>
    <row r="8" ht="25" customHeight="1"/>
    <row r="9" ht="25" customHeight="1" spans="1:5">
      <c r="A9" s="139" t="s">
        <v>30</v>
      </c>
      <c r="B9" s="140" t="s">
        <v>31</v>
      </c>
      <c r="C9" s="140"/>
      <c r="D9" s="141"/>
      <c r="E9" s="141"/>
    </row>
    <row r="10" ht="30" customHeight="1" spans="1:13">
      <c r="A10" s="99" t="s">
        <v>32</v>
      </c>
      <c r="B10" s="100" t="s">
        <v>33</v>
      </c>
      <c r="C10" s="100" t="s">
        <v>34</v>
      </c>
      <c r="D10" s="100" t="s">
        <v>35</v>
      </c>
      <c r="E10" s="100"/>
      <c r="F10" s="100" t="s">
        <v>36</v>
      </c>
      <c r="G10" s="100" t="s">
        <v>37</v>
      </c>
      <c r="H10" s="100" t="s">
        <v>38</v>
      </c>
      <c r="I10" s="100" t="s">
        <v>39</v>
      </c>
      <c r="J10" s="100" t="s">
        <v>40</v>
      </c>
      <c r="K10" s="100" t="s">
        <v>41</v>
      </c>
      <c r="L10" s="100" t="s">
        <v>42</v>
      </c>
      <c r="M10" s="124" t="s">
        <v>39</v>
      </c>
    </row>
    <row r="11" ht="25" customHeight="1" spans="1:13">
      <c r="A11" s="101">
        <v>43763.9939467593</v>
      </c>
      <c r="B11" s="142" t="s">
        <v>9</v>
      </c>
      <c r="C11" s="103" t="s">
        <v>43</v>
      </c>
      <c r="D11" s="143" t="s">
        <v>44</v>
      </c>
      <c r="E11" s="144"/>
      <c r="F11" s="104"/>
      <c r="G11" s="106"/>
      <c r="H11" s="105">
        <v>2643446</v>
      </c>
      <c r="I11" s="105"/>
      <c r="J11" s="104"/>
      <c r="K11" s="106"/>
      <c r="L11" s="105">
        <v>500000</v>
      </c>
      <c r="M11" s="159"/>
    </row>
    <row r="12" ht="25" customHeight="1" spans="1:13">
      <c r="A12" s="108">
        <v>43764.9939467593</v>
      </c>
      <c r="B12" s="16" t="s">
        <v>10</v>
      </c>
      <c r="C12" s="110" t="s">
        <v>43</v>
      </c>
      <c r="D12" s="145" t="s">
        <v>45</v>
      </c>
      <c r="E12" s="146"/>
      <c r="F12" s="111">
        <v>2000000</v>
      </c>
      <c r="G12" s="112"/>
      <c r="H12" s="112">
        <f t="shared" ref="H12:H30" si="0">H11+F12-G12</f>
        <v>4643446</v>
      </c>
      <c r="I12" s="160" t="s">
        <v>46</v>
      </c>
      <c r="J12" s="111"/>
      <c r="K12" s="112"/>
      <c r="L12" s="112">
        <f t="shared" ref="L12:L46" si="1">L11+J12-K12</f>
        <v>500000</v>
      </c>
      <c r="M12" s="161"/>
    </row>
    <row r="13" ht="25" customHeight="1" spans="1:13">
      <c r="A13" s="101">
        <v>43765.9939467593</v>
      </c>
      <c r="B13" s="142" t="s">
        <v>9</v>
      </c>
      <c r="C13" s="103" t="s">
        <v>47</v>
      </c>
      <c r="D13" s="147" t="s">
        <v>48</v>
      </c>
      <c r="E13" s="148"/>
      <c r="F13" s="114"/>
      <c r="G13" s="105">
        <v>1100000</v>
      </c>
      <c r="H13" s="105">
        <f t="shared" si="0"/>
        <v>3543446</v>
      </c>
      <c r="I13" s="136" t="s">
        <v>46</v>
      </c>
      <c r="J13" s="114"/>
      <c r="K13" s="105"/>
      <c r="L13" s="105">
        <f t="shared" si="1"/>
        <v>500000</v>
      </c>
      <c r="M13" s="159"/>
    </row>
    <row r="14" ht="25" customHeight="1" spans="1:13">
      <c r="A14" s="108">
        <v>43766.9939467593</v>
      </c>
      <c r="B14" s="16" t="s">
        <v>9</v>
      </c>
      <c r="C14" s="115" t="s">
        <v>47</v>
      </c>
      <c r="D14" s="149" t="s">
        <v>49</v>
      </c>
      <c r="E14" s="150"/>
      <c r="F14" s="111"/>
      <c r="G14" s="112">
        <v>900000</v>
      </c>
      <c r="H14" s="112">
        <f t="shared" si="0"/>
        <v>2643446</v>
      </c>
      <c r="I14" s="160" t="s">
        <v>46</v>
      </c>
      <c r="J14" s="111"/>
      <c r="K14" s="112"/>
      <c r="L14" s="112">
        <f t="shared" si="1"/>
        <v>500000</v>
      </c>
      <c r="M14" s="161"/>
    </row>
    <row r="15" ht="25" customHeight="1" spans="1:13">
      <c r="A15" s="101">
        <v>43767.9939467593</v>
      </c>
      <c r="B15" s="142" t="s">
        <v>9</v>
      </c>
      <c r="C15" s="103" t="s">
        <v>43</v>
      </c>
      <c r="D15" s="151"/>
      <c r="E15" s="148"/>
      <c r="F15" s="114"/>
      <c r="G15" s="105"/>
      <c r="H15" s="105">
        <f t="shared" si="0"/>
        <v>2643446</v>
      </c>
      <c r="I15" s="136"/>
      <c r="J15" s="114">
        <v>4000</v>
      </c>
      <c r="K15" s="105"/>
      <c r="L15" s="105">
        <f t="shared" si="1"/>
        <v>504000</v>
      </c>
      <c r="M15" s="159" t="s">
        <v>50</v>
      </c>
    </row>
    <row r="16" ht="25" customHeight="1" spans="1:13">
      <c r="A16" s="108">
        <v>43768.9939467593</v>
      </c>
      <c r="B16" s="16" t="s">
        <v>9</v>
      </c>
      <c r="C16" s="110" t="s">
        <v>43</v>
      </c>
      <c r="D16" s="152"/>
      <c r="E16" s="150"/>
      <c r="F16" s="153"/>
      <c r="G16" s="14"/>
      <c r="H16" s="112">
        <f t="shared" si="0"/>
        <v>2643446</v>
      </c>
      <c r="I16" s="160"/>
      <c r="J16" s="153">
        <v>225</v>
      </c>
      <c r="K16" s="14"/>
      <c r="L16" s="112">
        <f t="shared" si="1"/>
        <v>504225</v>
      </c>
      <c r="M16" s="161" t="s">
        <v>50</v>
      </c>
    </row>
    <row r="17" ht="25" customHeight="1" spans="1:13">
      <c r="A17" s="101">
        <v>43769.9939467593</v>
      </c>
      <c r="B17" s="142" t="s">
        <v>9</v>
      </c>
      <c r="C17" s="103" t="s">
        <v>43</v>
      </c>
      <c r="D17" s="151"/>
      <c r="E17" s="148"/>
      <c r="F17" s="104"/>
      <c r="G17" s="106"/>
      <c r="H17" s="105">
        <f t="shared" si="0"/>
        <v>2643446</v>
      </c>
      <c r="I17" s="136"/>
      <c r="J17" s="104"/>
      <c r="K17" s="106">
        <v>190446</v>
      </c>
      <c r="L17" s="105">
        <f t="shared" si="1"/>
        <v>313779</v>
      </c>
      <c r="M17" s="159"/>
    </row>
    <row r="18" ht="25" customHeight="1" spans="1:13">
      <c r="A18" s="108">
        <v>43770.9939467593</v>
      </c>
      <c r="B18" s="16" t="s">
        <v>9</v>
      </c>
      <c r="C18" s="110" t="s">
        <v>43</v>
      </c>
      <c r="D18" s="152" t="s">
        <v>51</v>
      </c>
      <c r="E18" s="150"/>
      <c r="F18" s="153">
        <v>10000000</v>
      </c>
      <c r="G18" s="14"/>
      <c r="H18" s="112">
        <f t="shared" si="0"/>
        <v>12643446</v>
      </c>
      <c r="I18" s="160" t="s">
        <v>46</v>
      </c>
      <c r="J18" s="153">
        <v>8000</v>
      </c>
      <c r="K18" s="14"/>
      <c r="L18" s="112">
        <f t="shared" si="1"/>
        <v>321779</v>
      </c>
      <c r="M18" s="161"/>
    </row>
    <row r="19" ht="25" customHeight="1" spans="1:13">
      <c r="A19" s="101">
        <v>43771.9939467593</v>
      </c>
      <c r="B19" s="142" t="s">
        <v>9</v>
      </c>
      <c r="C19" s="103" t="s">
        <v>43</v>
      </c>
      <c r="D19" s="151"/>
      <c r="E19" s="148"/>
      <c r="F19" s="104"/>
      <c r="G19" s="106">
        <v>929700</v>
      </c>
      <c r="H19" s="105">
        <f t="shared" si="0"/>
        <v>11713746</v>
      </c>
      <c r="I19" s="136" t="s">
        <v>46</v>
      </c>
      <c r="J19" s="104"/>
      <c r="K19" s="106">
        <v>25000</v>
      </c>
      <c r="L19" s="105">
        <f t="shared" si="1"/>
        <v>296779</v>
      </c>
      <c r="M19" s="159"/>
    </row>
    <row r="20" ht="25" customHeight="1" spans="1:13">
      <c r="A20" s="108">
        <v>43772.9939467593</v>
      </c>
      <c r="B20" s="16" t="s">
        <v>9</v>
      </c>
      <c r="C20" s="110" t="s">
        <v>43</v>
      </c>
      <c r="D20" s="149" t="s">
        <v>52</v>
      </c>
      <c r="E20" s="150"/>
      <c r="F20" s="153"/>
      <c r="G20" s="14">
        <v>4426548</v>
      </c>
      <c r="H20" s="112">
        <f t="shared" si="0"/>
        <v>7287198</v>
      </c>
      <c r="I20" s="160" t="s">
        <v>46</v>
      </c>
      <c r="J20" s="153"/>
      <c r="K20" s="14">
        <v>93000</v>
      </c>
      <c r="L20" s="112">
        <f t="shared" si="1"/>
        <v>203779</v>
      </c>
      <c r="M20" s="161"/>
    </row>
    <row r="21" ht="25" customHeight="1" spans="1:13">
      <c r="A21" s="101">
        <v>43773.9939467593</v>
      </c>
      <c r="B21" s="142" t="s">
        <v>9</v>
      </c>
      <c r="C21" s="103" t="s">
        <v>43</v>
      </c>
      <c r="D21" s="151"/>
      <c r="E21" s="148"/>
      <c r="F21" s="104"/>
      <c r="G21" s="106">
        <v>15000</v>
      </c>
      <c r="H21" s="105">
        <f t="shared" si="0"/>
        <v>7272198</v>
      </c>
      <c r="I21" s="136" t="s">
        <v>46</v>
      </c>
      <c r="J21" s="104"/>
      <c r="K21" s="106">
        <v>15000</v>
      </c>
      <c r="L21" s="105">
        <f t="shared" si="1"/>
        <v>188779</v>
      </c>
      <c r="M21" s="159"/>
    </row>
    <row r="22" ht="25" customHeight="1" spans="1:13">
      <c r="A22" s="108">
        <v>43774.9939467593</v>
      </c>
      <c r="B22" s="16" t="s">
        <v>9</v>
      </c>
      <c r="C22" s="110" t="s">
        <v>43</v>
      </c>
      <c r="D22" s="152"/>
      <c r="E22" s="150"/>
      <c r="F22" s="153"/>
      <c r="G22" s="14"/>
      <c r="H22" s="112">
        <f t="shared" si="0"/>
        <v>7272198</v>
      </c>
      <c r="I22" s="160"/>
      <c r="J22" s="153">
        <v>3565</v>
      </c>
      <c r="K22" s="14"/>
      <c r="L22" s="112">
        <f t="shared" si="1"/>
        <v>192344</v>
      </c>
      <c r="M22" s="161"/>
    </row>
    <row r="23" ht="25" customHeight="1" spans="1:13">
      <c r="A23" s="101">
        <v>43775.9939467593</v>
      </c>
      <c r="B23" s="142" t="s">
        <v>9</v>
      </c>
      <c r="C23" s="103" t="s">
        <v>43</v>
      </c>
      <c r="D23" s="147" t="s">
        <v>53</v>
      </c>
      <c r="E23" s="148"/>
      <c r="F23" s="104"/>
      <c r="G23" s="106">
        <v>57000</v>
      </c>
      <c r="H23" s="105">
        <f t="shared" si="0"/>
        <v>7215198</v>
      </c>
      <c r="I23" s="136" t="s">
        <v>46</v>
      </c>
      <c r="J23" s="104"/>
      <c r="K23" s="106">
        <v>57000</v>
      </c>
      <c r="L23" s="105">
        <f t="shared" si="1"/>
        <v>135344</v>
      </c>
      <c r="M23" s="159"/>
    </row>
    <row r="24" ht="25" customHeight="1" spans="1:13">
      <c r="A24" s="108">
        <v>43776.9939467593</v>
      </c>
      <c r="B24" s="16" t="s">
        <v>9</v>
      </c>
      <c r="C24" s="110" t="s">
        <v>43</v>
      </c>
      <c r="D24" s="152"/>
      <c r="E24" s="150"/>
      <c r="F24" s="153"/>
      <c r="G24" s="14"/>
      <c r="H24" s="112">
        <f t="shared" si="0"/>
        <v>7215198</v>
      </c>
      <c r="I24" s="160"/>
      <c r="J24" s="153">
        <v>1000</v>
      </c>
      <c r="K24" s="14"/>
      <c r="L24" s="112">
        <f t="shared" si="1"/>
        <v>136344</v>
      </c>
      <c r="M24" s="161"/>
    </row>
    <row r="25" ht="25" customHeight="1" spans="1:13">
      <c r="A25" s="101">
        <v>43777.9939467593</v>
      </c>
      <c r="B25" s="142" t="s">
        <v>9</v>
      </c>
      <c r="C25" s="103" t="s">
        <v>43</v>
      </c>
      <c r="D25" s="151"/>
      <c r="E25" s="148"/>
      <c r="F25" s="104"/>
      <c r="G25" s="106">
        <v>1</v>
      </c>
      <c r="H25" s="105">
        <f t="shared" si="0"/>
        <v>7215197</v>
      </c>
      <c r="I25" s="136" t="s">
        <v>46</v>
      </c>
      <c r="J25" s="104">
        <v>1120</v>
      </c>
      <c r="K25" s="106"/>
      <c r="L25" s="105">
        <f t="shared" si="1"/>
        <v>137464</v>
      </c>
      <c r="M25" s="159"/>
    </row>
    <row r="26" ht="25" customHeight="1" spans="1:13">
      <c r="A26" s="108">
        <v>43778.9939467593</v>
      </c>
      <c r="B26" s="16" t="s">
        <v>9</v>
      </c>
      <c r="C26" s="110" t="s">
        <v>43</v>
      </c>
      <c r="D26" s="152"/>
      <c r="E26" s="150"/>
      <c r="F26" s="153"/>
      <c r="G26" s="112">
        <v>1020341</v>
      </c>
      <c r="H26" s="112">
        <f t="shared" si="0"/>
        <v>6194856</v>
      </c>
      <c r="I26" s="160" t="s">
        <v>46</v>
      </c>
      <c r="J26" s="153"/>
      <c r="K26" s="112">
        <v>60000</v>
      </c>
      <c r="L26" s="112">
        <f t="shared" si="1"/>
        <v>77464</v>
      </c>
      <c r="M26" s="161"/>
    </row>
    <row r="27" ht="25" customHeight="1" spans="1:13">
      <c r="A27" s="101">
        <v>43779.9939467593</v>
      </c>
      <c r="B27" s="142" t="s">
        <v>9</v>
      </c>
      <c r="C27" s="103" t="s">
        <v>43</v>
      </c>
      <c r="D27" s="151"/>
      <c r="E27" s="148"/>
      <c r="F27" s="104"/>
      <c r="G27" s="105">
        <v>1020342</v>
      </c>
      <c r="H27" s="105">
        <f t="shared" si="0"/>
        <v>5174514</v>
      </c>
      <c r="I27" s="136" t="s">
        <v>46</v>
      </c>
      <c r="J27" s="104"/>
      <c r="K27" s="105"/>
      <c r="L27" s="105">
        <f t="shared" si="1"/>
        <v>77464</v>
      </c>
      <c r="M27" s="159"/>
    </row>
    <row r="28" ht="25" customHeight="1" spans="1:13">
      <c r="A28" s="108">
        <v>43780.9939467593</v>
      </c>
      <c r="B28" s="16" t="s">
        <v>9</v>
      </c>
      <c r="C28" s="110" t="s">
        <v>43</v>
      </c>
      <c r="D28" s="152"/>
      <c r="E28" s="150"/>
      <c r="F28" s="153"/>
      <c r="G28" s="112">
        <v>1020343</v>
      </c>
      <c r="H28" s="112">
        <f t="shared" si="0"/>
        <v>4154171</v>
      </c>
      <c r="I28" s="160" t="s">
        <v>46</v>
      </c>
      <c r="J28" s="153"/>
      <c r="K28" s="112"/>
      <c r="L28" s="112">
        <f t="shared" si="1"/>
        <v>77464</v>
      </c>
      <c r="M28" s="161"/>
    </row>
    <row r="29" ht="25" customHeight="1" spans="1:13">
      <c r="A29" s="101">
        <v>43781.9939467593</v>
      </c>
      <c r="B29" s="142" t="s">
        <v>9</v>
      </c>
      <c r="C29" s="103" t="s">
        <v>43</v>
      </c>
      <c r="D29" s="151"/>
      <c r="E29" s="148"/>
      <c r="F29" s="104"/>
      <c r="G29" s="105">
        <v>1020344</v>
      </c>
      <c r="H29" s="105">
        <f t="shared" si="0"/>
        <v>3133827</v>
      </c>
      <c r="I29" s="136" t="s">
        <v>46</v>
      </c>
      <c r="J29" s="104"/>
      <c r="K29" s="105"/>
      <c r="L29" s="105">
        <f t="shared" si="1"/>
        <v>77464</v>
      </c>
      <c r="M29" s="159"/>
    </row>
    <row r="30" ht="25" customHeight="1" spans="1:13">
      <c r="A30" s="108">
        <v>43782.9939467593</v>
      </c>
      <c r="B30" s="16" t="s">
        <v>9</v>
      </c>
      <c r="C30" s="110" t="s">
        <v>43</v>
      </c>
      <c r="D30" s="152"/>
      <c r="E30" s="150"/>
      <c r="F30" s="153"/>
      <c r="G30" s="112">
        <v>1020345</v>
      </c>
      <c r="H30" s="112">
        <f t="shared" si="0"/>
        <v>2113482</v>
      </c>
      <c r="I30" s="160" t="s">
        <v>46</v>
      </c>
      <c r="J30" s="153"/>
      <c r="K30" s="112"/>
      <c r="L30" s="112">
        <f t="shared" si="1"/>
        <v>77464</v>
      </c>
      <c r="M30" s="161"/>
    </row>
    <row r="31" ht="25" customHeight="1" spans="1:13">
      <c r="A31" s="116"/>
      <c r="B31" s="154"/>
      <c r="C31" s="118"/>
      <c r="D31" s="155"/>
      <c r="E31" s="156"/>
      <c r="F31" s="157">
        <f>SUM(F11:F26)</f>
        <v>12000000</v>
      </c>
      <c r="G31" s="158">
        <f>SUM(G11:G30)</f>
        <v>12529964</v>
      </c>
      <c r="H31" s="158">
        <v>1923036</v>
      </c>
      <c r="I31" s="105"/>
      <c r="J31" s="157">
        <f>SUM(J11:J30)</f>
        <v>17910</v>
      </c>
      <c r="K31" s="158">
        <f>SUM(K11:K30)</f>
        <v>440446</v>
      </c>
      <c r="L31" s="158">
        <f>SUM(L11:L30)</f>
        <v>5321936</v>
      </c>
      <c r="M31" s="137"/>
    </row>
    <row r="32" ht="30" customHeight="1" spans="1:13">
      <c r="A32" s="122"/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38"/>
    </row>
  </sheetData>
  <mergeCells count="21"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topLeftCell="A2" workbookViewId="0">
      <selection activeCell="F13" sqref="F13"/>
    </sheetView>
  </sheetViews>
  <sheetFormatPr defaultColWidth="9" defaultRowHeight="13.5"/>
  <cols>
    <col min="1" max="2" width="18.625" style="86" customWidth="1"/>
    <col min="3" max="11" width="15.625" style="86" customWidth="1"/>
    <col min="12" max="14" width="18.625" style="86" customWidth="1"/>
    <col min="15" max="16367" width="9" style="86"/>
  </cols>
  <sheetData>
    <row r="1" ht="25" customHeight="1"/>
    <row r="2" ht="25" customHeight="1" spans="1:11">
      <c r="A2" s="87" t="s">
        <v>0</v>
      </c>
      <c r="B2" s="88" t="s">
        <v>1</v>
      </c>
      <c r="C2" s="88" t="s">
        <v>2</v>
      </c>
      <c r="D2" s="88" t="s">
        <v>3</v>
      </c>
      <c r="G2" s="89"/>
      <c r="H2" s="89"/>
      <c r="I2" s="89"/>
      <c r="K2" s="89"/>
    </row>
    <row r="3" ht="25" customHeight="1" spans="1:11">
      <c r="A3" s="87" t="s">
        <v>4</v>
      </c>
      <c r="B3" s="90" t="s">
        <v>5</v>
      </c>
      <c r="C3" s="90" t="s">
        <v>6</v>
      </c>
      <c r="D3" s="90" t="s">
        <v>7</v>
      </c>
      <c r="G3" s="91"/>
      <c r="H3" s="91"/>
      <c r="I3" s="91"/>
      <c r="K3" s="91"/>
    </row>
    <row r="4" ht="25" customHeight="1" spans="1:11">
      <c r="A4" s="92" t="s">
        <v>8</v>
      </c>
      <c r="B4" s="93" t="s">
        <v>9</v>
      </c>
      <c r="C4" s="92" t="s">
        <v>10</v>
      </c>
      <c r="D4" s="92" t="s">
        <v>11</v>
      </c>
      <c r="G4" s="94"/>
      <c r="H4" s="94"/>
      <c r="I4" s="94"/>
      <c r="K4" s="94"/>
    </row>
    <row r="5" ht="25" customHeight="1"/>
    <row r="6" ht="25" customHeight="1" spans="1:9">
      <c r="A6" s="95" t="s">
        <v>12</v>
      </c>
      <c r="B6" s="96" t="s">
        <v>13</v>
      </c>
      <c r="C6" s="96" t="s">
        <v>14</v>
      </c>
      <c r="D6" s="96" t="s">
        <v>15</v>
      </c>
      <c r="E6" s="96" t="s">
        <v>16</v>
      </c>
      <c r="F6" s="96" t="s">
        <v>17</v>
      </c>
      <c r="G6" s="96" t="s">
        <v>18</v>
      </c>
      <c r="H6" s="96" t="s">
        <v>19</v>
      </c>
      <c r="I6" s="96" t="s">
        <v>20</v>
      </c>
    </row>
    <row r="7" s="85" customFormat="1" ht="25" customHeight="1" spans="1:9">
      <c r="A7" s="95" t="s">
        <v>21</v>
      </c>
      <c r="B7" s="96" t="s">
        <v>22</v>
      </c>
      <c r="C7" s="96" t="s">
        <v>23</v>
      </c>
      <c r="D7" s="96" t="s">
        <v>24</v>
      </c>
      <c r="E7" s="96" t="s">
        <v>25</v>
      </c>
      <c r="F7" s="96" t="s">
        <v>26</v>
      </c>
      <c r="G7" s="96" t="s">
        <v>27</v>
      </c>
      <c r="H7" s="96" t="s">
        <v>28</v>
      </c>
      <c r="I7" s="96" t="s">
        <v>29</v>
      </c>
    </row>
    <row r="8" ht="25" customHeight="1"/>
    <row r="9" ht="25" customHeight="1" spans="1:11">
      <c r="A9" s="97" t="s">
        <v>31</v>
      </c>
      <c r="B9" s="97"/>
      <c r="C9" s="97"/>
      <c r="D9" s="98"/>
      <c r="E9" s="98"/>
      <c r="F9" s="98"/>
      <c r="G9" s="98"/>
      <c r="H9" s="98"/>
      <c r="I9" s="98"/>
      <c r="J9" s="98"/>
      <c r="K9" s="98"/>
    </row>
    <row r="10" ht="30" customHeight="1" spans="1:14">
      <c r="A10" s="99" t="s">
        <v>32</v>
      </c>
      <c r="B10" s="100" t="s">
        <v>54</v>
      </c>
      <c r="C10" s="100" t="s">
        <v>34</v>
      </c>
      <c r="D10" s="100" t="s">
        <v>55</v>
      </c>
      <c r="E10" s="100" t="s">
        <v>56</v>
      </c>
      <c r="F10" s="100" t="s">
        <v>57</v>
      </c>
      <c r="G10" s="100" t="s">
        <v>58</v>
      </c>
      <c r="H10" s="100" t="s">
        <v>59</v>
      </c>
      <c r="I10" s="100" t="s">
        <v>60</v>
      </c>
      <c r="J10" s="100" t="s">
        <v>57</v>
      </c>
      <c r="K10" s="100" t="s">
        <v>58</v>
      </c>
      <c r="L10" s="100" t="s">
        <v>61</v>
      </c>
      <c r="M10" s="100" t="s">
        <v>62</v>
      </c>
      <c r="N10" s="124" t="s">
        <v>63</v>
      </c>
    </row>
    <row r="11" ht="25" customHeight="1" spans="1:14">
      <c r="A11" s="101">
        <v>43763.9939467593</v>
      </c>
      <c r="B11" s="102" t="s">
        <v>64</v>
      </c>
      <c r="C11" s="103" t="s">
        <v>43</v>
      </c>
      <c r="D11" s="104">
        <f>2800000-156554</f>
        <v>2643446</v>
      </c>
      <c r="E11" s="105">
        <f>2800000-156554</f>
        <v>2643446</v>
      </c>
      <c r="F11" s="106">
        <v>101.5</v>
      </c>
      <c r="G11" s="107">
        <v>26043.8</v>
      </c>
      <c r="H11" s="105"/>
      <c r="I11" s="105"/>
      <c r="J11" s="105"/>
      <c r="K11" s="125"/>
      <c r="L11" s="126" t="s">
        <v>65</v>
      </c>
      <c r="M11" s="127" t="s">
        <v>66</v>
      </c>
      <c r="N11" s="128" t="s">
        <v>67</v>
      </c>
    </row>
    <row r="12" ht="25" customHeight="1" spans="1:14">
      <c r="A12" s="108">
        <v>43764.9939467593</v>
      </c>
      <c r="B12" s="109" t="s">
        <v>68</v>
      </c>
      <c r="C12" s="110" t="s">
        <v>43</v>
      </c>
      <c r="D12" s="111">
        <v>2500000</v>
      </c>
      <c r="E12" s="14">
        <v>2500000</v>
      </c>
      <c r="F12" s="112">
        <v>102</v>
      </c>
      <c r="G12" s="113">
        <v>24509.8</v>
      </c>
      <c r="H12" s="112"/>
      <c r="I12" s="112"/>
      <c r="J12" s="112"/>
      <c r="K12" s="113"/>
      <c r="L12" s="129" t="s">
        <v>69</v>
      </c>
      <c r="M12" s="130" t="s">
        <v>70</v>
      </c>
      <c r="N12" s="131" t="s">
        <v>67</v>
      </c>
    </row>
    <row r="13" ht="25" customHeight="1" spans="1:14">
      <c r="A13" s="101">
        <v>43765.9939467593</v>
      </c>
      <c r="B13" s="102" t="s">
        <v>64</v>
      </c>
      <c r="C13" s="103" t="s">
        <v>47</v>
      </c>
      <c r="D13" s="114"/>
      <c r="E13" s="106"/>
      <c r="F13" s="105"/>
      <c r="G13" s="107"/>
      <c r="H13" s="105">
        <v>13500</v>
      </c>
      <c r="I13" s="105">
        <v>13500</v>
      </c>
      <c r="J13" s="105">
        <v>6.75</v>
      </c>
      <c r="K13" s="107">
        <v>91125</v>
      </c>
      <c r="L13" s="132" t="s">
        <v>69</v>
      </c>
      <c r="M13" s="133" t="s">
        <v>70</v>
      </c>
      <c r="N13" s="128" t="s">
        <v>67</v>
      </c>
    </row>
    <row r="14" ht="25" customHeight="1" spans="1:14">
      <c r="A14" s="108">
        <v>43766.9939467593</v>
      </c>
      <c r="B14" s="109" t="s">
        <v>68</v>
      </c>
      <c r="C14" s="115" t="s">
        <v>47</v>
      </c>
      <c r="D14" s="111">
        <v>2500000</v>
      </c>
      <c r="E14" s="14">
        <v>2500000</v>
      </c>
      <c r="F14" s="112">
        <v>103</v>
      </c>
      <c r="G14" s="113">
        <v>24271.84</v>
      </c>
      <c r="H14" s="112"/>
      <c r="I14" s="112"/>
      <c r="J14" s="112"/>
      <c r="K14" s="113"/>
      <c r="L14" s="129" t="s">
        <v>69</v>
      </c>
      <c r="M14" s="130" t="s">
        <v>70</v>
      </c>
      <c r="N14" s="131" t="s">
        <v>67</v>
      </c>
    </row>
    <row r="15" ht="25" customHeight="1" spans="1:14">
      <c r="A15" s="101">
        <v>43767.9939467593</v>
      </c>
      <c r="B15" s="102" t="s">
        <v>64</v>
      </c>
      <c r="C15" s="103" t="s">
        <v>43</v>
      </c>
      <c r="D15" s="104">
        <f>2800000-156554</f>
        <v>2643446</v>
      </c>
      <c r="E15" s="105">
        <f>2800000-156554</f>
        <v>2643446</v>
      </c>
      <c r="F15" s="106">
        <v>101</v>
      </c>
      <c r="G15" s="107">
        <v>26172.73</v>
      </c>
      <c r="H15" s="105"/>
      <c r="I15" s="105"/>
      <c r="J15" s="105"/>
      <c r="K15" s="125"/>
      <c r="L15" s="126" t="s">
        <v>65</v>
      </c>
      <c r="M15" s="127" t="s">
        <v>66</v>
      </c>
      <c r="N15" s="128" t="s">
        <v>67</v>
      </c>
    </row>
    <row r="16" ht="25" customHeight="1" spans="1:14">
      <c r="A16" s="108">
        <v>43768.9939467593</v>
      </c>
      <c r="B16" s="109" t="s">
        <v>68</v>
      </c>
      <c r="C16" s="110" t="s">
        <v>43</v>
      </c>
      <c r="D16" s="111">
        <v>2500000</v>
      </c>
      <c r="E16" s="14">
        <v>2500000</v>
      </c>
      <c r="F16" s="112">
        <v>110</v>
      </c>
      <c r="G16" s="113">
        <v>22727.27</v>
      </c>
      <c r="H16" s="112"/>
      <c r="I16" s="112"/>
      <c r="J16" s="112"/>
      <c r="K16" s="113"/>
      <c r="L16" s="134" t="s">
        <v>71</v>
      </c>
      <c r="M16" s="130" t="s">
        <v>70</v>
      </c>
      <c r="N16" s="131" t="s">
        <v>67</v>
      </c>
    </row>
    <row r="17" ht="25" customHeight="1" spans="1:14">
      <c r="A17" s="101">
        <v>43769.9939467593</v>
      </c>
      <c r="B17" s="102" t="s">
        <v>64</v>
      </c>
      <c r="C17" s="103" t="s">
        <v>43</v>
      </c>
      <c r="D17" s="114"/>
      <c r="E17" s="106"/>
      <c r="F17" s="105"/>
      <c r="G17" s="107"/>
      <c r="H17" s="105">
        <v>13501</v>
      </c>
      <c r="I17" s="105">
        <v>13501</v>
      </c>
      <c r="J17" s="105">
        <v>6.75</v>
      </c>
      <c r="K17" s="107">
        <v>91131.75</v>
      </c>
      <c r="L17" s="132" t="s">
        <v>69</v>
      </c>
      <c r="M17" s="133" t="s">
        <v>70</v>
      </c>
      <c r="N17" s="128" t="s">
        <v>67</v>
      </c>
    </row>
    <row r="18" ht="25" customHeight="1" spans="1:14">
      <c r="A18" s="108">
        <v>43770.9939467593</v>
      </c>
      <c r="B18" s="109" t="s">
        <v>68</v>
      </c>
      <c r="C18" s="110" t="s">
        <v>43</v>
      </c>
      <c r="D18" s="111">
        <v>2500000</v>
      </c>
      <c r="E18" s="14">
        <v>2500000</v>
      </c>
      <c r="F18" s="112">
        <v>95</v>
      </c>
      <c r="G18" s="113">
        <v>26315.79</v>
      </c>
      <c r="H18" s="112"/>
      <c r="I18" s="112"/>
      <c r="J18" s="112"/>
      <c r="K18" s="113"/>
      <c r="L18" s="129" t="s">
        <v>69</v>
      </c>
      <c r="M18" s="130" t="s">
        <v>70</v>
      </c>
      <c r="N18" s="131" t="s">
        <v>67</v>
      </c>
    </row>
    <row r="19" ht="25" customHeight="1" spans="1:14">
      <c r="A19" s="101">
        <v>43771.9939467593</v>
      </c>
      <c r="B19" s="102" t="s">
        <v>64</v>
      </c>
      <c r="C19" s="103" t="s">
        <v>43</v>
      </c>
      <c r="D19" s="104">
        <f>2800000-156554</f>
        <v>2643446</v>
      </c>
      <c r="E19" s="105">
        <f>2800000-156554</f>
        <v>2643446</v>
      </c>
      <c r="F19" s="106">
        <v>101.5</v>
      </c>
      <c r="G19" s="107">
        <v>26043.8</v>
      </c>
      <c r="H19" s="105"/>
      <c r="I19" s="105"/>
      <c r="J19" s="105"/>
      <c r="K19" s="125"/>
      <c r="L19" s="132" t="s">
        <v>69</v>
      </c>
      <c r="M19" s="133" t="s">
        <v>70</v>
      </c>
      <c r="N19" s="128" t="s">
        <v>67</v>
      </c>
    </row>
    <row r="20" ht="25" customHeight="1" spans="1:14">
      <c r="A20" s="108">
        <v>43772.9939467593</v>
      </c>
      <c r="B20" s="109" t="s">
        <v>68</v>
      </c>
      <c r="C20" s="110" t="s">
        <v>43</v>
      </c>
      <c r="D20" s="111">
        <v>2500000</v>
      </c>
      <c r="E20" s="14">
        <v>2500000</v>
      </c>
      <c r="F20" s="112">
        <v>102</v>
      </c>
      <c r="G20" s="113">
        <v>24509.8</v>
      </c>
      <c r="H20" s="112"/>
      <c r="I20" s="112"/>
      <c r="J20" s="112"/>
      <c r="K20" s="113"/>
      <c r="L20" s="129" t="s">
        <v>69</v>
      </c>
      <c r="M20" s="130" t="s">
        <v>70</v>
      </c>
      <c r="N20" s="131" t="s">
        <v>67</v>
      </c>
    </row>
    <row r="21" ht="25" customHeight="1" spans="1:14">
      <c r="A21" s="101">
        <v>43773.9939467593</v>
      </c>
      <c r="B21" s="102" t="s">
        <v>64</v>
      </c>
      <c r="C21" s="103" t="s">
        <v>43</v>
      </c>
      <c r="D21" s="114"/>
      <c r="E21" s="106"/>
      <c r="F21" s="105"/>
      <c r="G21" s="107"/>
      <c r="H21" s="105">
        <v>13500</v>
      </c>
      <c r="I21" s="105">
        <v>13500</v>
      </c>
      <c r="J21" s="105">
        <v>6.75</v>
      </c>
      <c r="K21" s="107">
        <v>91125</v>
      </c>
      <c r="L21" s="126" t="s">
        <v>71</v>
      </c>
      <c r="M21" s="133" t="s">
        <v>70</v>
      </c>
      <c r="N21" s="128" t="s">
        <v>67</v>
      </c>
    </row>
    <row r="22" ht="25" customHeight="1" spans="1:14">
      <c r="A22" s="108">
        <v>43774.9939467593</v>
      </c>
      <c r="B22" s="109" t="s">
        <v>68</v>
      </c>
      <c r="C22" s="110" t="s">
        <v>43</v>
      </c>
      <c r="D22" s="111">
        <v>2500000</v>
      </c>
      <c r="E22" s="14">
        <v>2500000</v>
      </c>
      <c r="F22" s="112">
        <v>103</v>
      </c>
      <c r="G22" s="113">
        <v>24271.84</v>
      </c>
      <c r="H22" s="112"/>
      <c r="I22" s="112"/>
      <c r="J22" s="112"/>
      <c r="K22" s="113"/>
      <c r="L22" s="129" t="s">
        <v>69</v>
      </c>
      <c r="M22" s="130" t="s">
        <v>70</v>
      </c>
      <c r="N22" s="131" t="s">
        <v>67</v>
      </c>
    </row>
    <row r="23" ht="25" customHeight="1" spans="1:14">
      <c r="A23" s="101">
        <v>43775.9939467593</v>
      </c>
      <c r="B23" s="102" t="s">
        <v>64</v>
      </c>
      <c r="C23" s="103" t="s">
        <v>43</v>
      </c>
      <c r="D23" s="104">
        <f>2800000-156554</f>
        <v>2643446</v>
      </c>
      <c r="E23" s="105">
        <f>2800000-156554</f>
        <v>2643446</v>
      </c>
      <c r="F23" s="106">
        <v>101</v>
      </c>
      <c r="G23" s="107">
        <v>26172.73</v>
      </c>
      <c r="H23" s="105"/>
      <c r="I23" s="105"/>
      <c r="J23" s="105"/>
      <c r="K23" s="125"/>
      <c r="L23" s="132" t="s">
        <v>69</v>
      </c>
      <c r="M23" s="135" t="s">
        <v>70</v>
      </c>
      <c r="N23" s="128" t="s">
        <v>67</v>
      </c>
    </row>
    <row r="24" ht="25" customHeight="1" spans="1:14">
      <c r="A24" s="108">
        <v>43776.9939467593</v>
      </c>
      <c r="B24" s="109" t="s">
        <v>68</v>
      </c>
      <c r="C24" s="110" t="s">
        <v>43</v>
      </c>
      <c r="D24" s="111">
        <v>2500000</v>
      </c>
      <c r="E24" s="14">
        <v>2500000</v>
      </c>
      <c r="F24" s="112">
        <v>110</v>
      </c>
      <c r="G24" s="113">
        <v>22727.27</v>
      </c>
      <c r="H24" s="112"/>
      <c r="I24" s="112"/>
      <c r="J24" s="112"/>
      <c r="K24" s="113"/>
      <c r="L24" s="129" t="s">
        <v>69</v>
      </c>
      <c r="M24" s="130" t="s">
        <v>70</v>
      </c>
      <c r="N24" s="131" t="s">
        <v>67</v>
      </c>
    </row>
    <row r="25" ht="25" customHeight="1" spans="1:14">
      <c r="A25" s="101">
        <v>43777.9939467593</v>
      </c>
      <c r="B25" s="102" t="s">
        <v>64</v>
      </c>
      <c r="C25" s="103" t="s">
        <v>43</v>
      </c>
      <c r="D25" s="114"/>
      <c r="E25" s="106"/>
      <c r="F25" s="105"/>
      <c r="G25" s="107"/>
      <c r="H25" s="105">
        <v>13500</v>
      </c>
      <c r="I25" s="105">
        <v>13500</v>
      </c>
      <c r="J25" s="105">
        <v>6.75</v>
      </c>
      <c r="K25" s="107">
        <v>91125</v>
      </c>
      <c r="L25" s="132" t="s">
        <v>69</v>
      </c>
      <c r="M25" s="133" t="s">
        <v>70</v>
      </c>
      <c r="N25" s="128" t="s">
        <v>67</v>
      </c>
    </row>
    <row r="26" ht="25" customHeight="1" spans="1:14">
      <c r="A26" s="108">
        <v>43778.9939467593</v>
      </c>
      <c r="B26" s="109" t="s">
        <v>68</v>
      </c>
      <c r="C26" s="110" t="s">
        <v>43</v>
      </c>
      <c r="D26" s="111">
        <v>2500000</v>
      </c>
      <c r="E26" s="14">
        <v>2500000</v>
      </c>
      <c r="F26" s="112">
        <v>95</v>
      </c>
      <c r="G26" s="113">
        <v>26315.79</v>
      </c>
      <c r="H26" s="112"/>
      <c r="I26" s="112"/>
      <c r="J26" s="112"/>
      <c r="K26" s="113"/>
      <c r="L26" s="129" t="s">
        <v>69</v>
      </c>
      <c r="M26" s="130" t="s">
        <v>70</v>
      </c>
      <c r="N26" s="131" t="s">
        <v>67</v>
      </c>
    </row>
    <row r="27" ht="25" customHeight="1" spans="1:14">
      <c r="A27" s="101">
        <v>43779.9939467593</v>
      </c>
      <c r="B27" s="102" t="s">
        <v>64</v>
      </c>
      <c r="C27" s="103" t="s">
        <v>43</v>
      </c>
      <c r="D27" s="104">
        <f>2800000-156554</f>
        <v>2643446</v>
      </c>
      <c r="E27" s="105">
        <f>2800000-156554</f>
        <v>2643446</v>
      </c>
      <c r="F27" s="106">
        <v>101.5</v>
      </c>
      <c r="G27" s="107">
        <v>26043.8</v>
      </c>
      <c r="H27" s="105"/>
      <c r="I27" s="105"/>
      <c r="J27" s="105"/>
      <c r="K27" s="125"/>
      <c r="L27" s="132" t="s">
        <v>69</v>
      </c>
      <c r="M27" s="133" t="s">
        <v>70</v>
      </c>
      <c r="N27" s="128" t="s">
        <v>67</v>
      </c>
    </row>
    <row r="28" ht="25" customHeight="1" spans="1:14">
      <c r="A28" s="108">
        <v>43780.9939467593</v>
      </c>
      <c r="B28" s="109" t="s">
        <v>68</v>
      </c>
      <c r="C28" s="110" t="s">
        <v>43</v>
      </c>
      <c r="D28" s="111">
        <v>2500000</v>
      </c>
      <c r="E28" s="14">
        <v>2500000</v>
      </c>
      <c r="F28" s="112">
        <v>102</v>
      </c>
      <c r="G28" s="113">
        <v>24509.8</v>
      </c>
      <c r="H28" s="112"/>
      <c r="I28" s="112"/>
      <c r="J28" s="112"/>
      <c r="K28" s="113"/>
      <c r="L28" s="129" t="s">
        <v>69</v>
      </c>
      <c r="M28" s="130" t="s">
        <v>70</v>
      </c>
      <c r="N28" s="131" t="s">
        <v>67</v>
      </c>
    </row>
    <row r="29" ht="25" customHeight="1" spans="1:14">
      <c r="A29" s="101">
        <v>43781.9939467593</v>
      </c>
      <c r="B29" s="102" t="s">
        <v>64</v>
      </c>
      <c r="C29" s="103" t="s">
        <v>43</v>
      </c>
      <c r="D29" s="114"/>
      <c r="E29" s="106"/>
      <c r="F29" s="105"/>
      <c r="G29" s="107"/>
      <c r="H29" s="105">
        <v>13500</v>
      </c>
      <c r="I29" s="105">
        <v>13500</v>
      </c>
      <c r="J29" s="105">
        <v>6.75</v>
      </c>
      <c r="K29" s="107">
        <v>91125</v>
      </c>
      <c r="L29" s="132" t="s">
        <v>69</v>
      </c>
      <c r="M29" s="133" t="s">
        <v>70</v>
      </c>
      <c r="N29" s="128" t="s">
        <v>67</v>
      </c>
    </row>
    <row r="30" ht="25" customHeight="1" spans="1:14">
      <c r="A30" s="108">
        <v>43782.9939467593</v>
      </c>
      <c r="B30" s="109" t="s">
        <v>68</v>
      </c>
      <c r="C30" s="110" t="s">
        <v>43</v>
      </c>
      <c r="D30" s="111">
        <v>2500000</v>
      </c>
      <c r="E30" s="14">
        <v>2500000</v>
      </c>
      <c r="F30" s="112">
        <v>103</v>
      </c>
      <c r="G30" s="113">
        <v>24271.84</v>
      </c>
      <c r="H30" s="112"/>
      <c r="I30" s="112"/>
      <c r="J30" s="112"/>
      <c r="K30" s="113"/>
      <c r="L30" s="129" t="s">
        <v>69</v>
      </c>
      <c r="M30" s="130" t="s">
        <v>70</v>
      </c>
      <c r="N30" s="131" t="s">
        <v>67</v>
      </c>
    </row>
    <row r="31" ht="25" customHeight="1" spans="1:14">
      <c r="A31" s="116"/>
      <c r="B31" s="117"/>
      <c r="C31" s="118"/>
      <c r="D31" s="119">
        <f t="shared" ref="D31:I31" si="0">SUM(D11:D30)</f>
        <v>38217230</v>
      </c>
      <c r="E31" s="120">
        <f t="shared" si="0"/>
        <v>38217230</v>
      </c>
      <c r="F31" s="120"/>
      <c r="G31" s="121">
        <f t="shared" si="0"/>
        <v>374907.9</v>
      </c>
      <c r="H31" s="120">
        <f t="shared" si="0"/>
        <v>67501</v>
      </c>
      <c r="I31" s="120">
        <f t="shared" si="0"/>
        <v>67501</v>
      </c>
      <c r="J31" s="120"/>
      <c r="K31" s="121">
        <f>SUM(K11:K30)</f>
        <v>455631.75</v>
      </c>
      <c r="L31" s="136"/>
      <c r="M31" s="104"/>
      <c r="N31" s="137"/>
    </row>
    <row r="32" ht="30" customHeight="1" spans="1:14">
      <c r="A32" s="122"/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38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22"/>
  <sheetViews>
    <sheetView workbookViewId="0">
      <selection activeCell="G13" sqref="G13:H14"/>
    </sheetView>
  </sheetViews>
  <sheetFormatPr defaultColWidth="9" defaultRowHeight="14.25" outlineLevelCol="7"/>
  <cols>
    <col min="3" max="3" width="25.625" style="28" customWidth="1"/>
    <col min="4" max="8" width="25.625" customWidth="1"/>
  </cols>
  <sheetData>
    <row r="3" ht="25" customHeight="1" spans="3:8">
      <c r="C3" s="29" t="s">
        <v>72</v>
      </c>
      <c r="D3" s="30"/>
      <c r="E3" s="30"/>
      <c r="F3" s="30"/>
      <c r="G3" s="30"/>
      <c r="H3" s="31"/>
    </row>
    <row r="4" ht="25" customHeight="1" spans="3:8">
      <c r="C4" s="32" t="s">
        <v>73</v>
      </c>
      <c r="D4" s="33">
        <v>2234555</v>
      </c>
      <c r="E4" s="33"/>
      <c r="F4" s="33"/>
      <c r="G4" s="33"/>
      <c r="H4" s="34">
        <v>43705.6259490741</v>
      </c>
    </row>
    <row r="5" ht="25" customHeight="1" spans="3:8">
      <c r="C5" s="32" t="s">
        <v>74</v>
      </c>
      <c r="D5" s="33">
        <v>5234500</v>
      </c>
      <c r="E5" s="33"/>
      <c r="F5" s="33"/>
      <c r="G5" s="33"/>
      <c r="H5" s="34">
        <v>43705.6259490741</v>
      </c>
    </row>
    <row r="6" ht="25" customHeight="1" spans="3:8">
      <c r="C6" s="39" t="s">
        <v>75</v>
      </c>
      <c r="D6" s="36">
        <v>2234555</v>
      </c>
      <c r="E6" s="36"/>
      <c r="F6" s="36"/>
      <c r="G6" s="36"/>
      <c r="H6" s="37">
        <v>43705.6259490741</v>
      </c>
    </row>
    <row r="7" ht="25" customHeight="1" spans="3:8">
      <c r="C7" s="38" t="s">
        <v>76</v>
      </c>
      <c r="D7" s="33">
        <v>5234500</v>
      </c>
      <c r="E7" s="33"/>
      <c r="F7" s="33"/>
      <c r="G7" s="33"/>
      <c r="H7" s="34">
        <v>43705.6259490741</v>
      </c>
    </row>
    <row r="8" ht="25" customHeight="1" spans="3:8">
      <c r="C8" s="39" t="s">
        <v>77</v>
      </c>
      <c r="D8" s="40" t="s">
        <v>78</v>
      </c>
      <c r="E8" s="40"/>
      <c r="F8" s="40"/>
      <c r="G8" s="40"/>
      <c r="H8" s="41"/>
    </row>
    <row r="9" ht="25" customHeight="1" spans="3:8">
      <c r="C9" s="39" t="s">
        <v>34</v>
      </c>
      <c r="D9" s="42" t="s">
        <v>79</v>
      </c>
      <c r="E9" s="40"/>
      <c r="F9" s="40"/>
      <c r="G9" s="40"/>
      <c r="H9" s="41"/>
    </row>
    <row r="10" ht="25" customHeight="1" spans="3:8">
      <c r="C10" s="39" t="s">
        <v>80</v>
      </c>
      <c r="D10" s="42" t="s">
        <v>81</v>
      </c>
      <c r="E10" s="40"/>
      <c r="F10" s="40"/>
      <c r="G10" s="40"/>
      <c r="H10" s="41"/>
    </row>
    <row r="11" ht="25" customHeight="1" spans="3:8">
      <c r="C11" s="43" t="s">
        <v>82</v>
      </c>
      <c r="D11" s="44" t="s">
        <v>83</v>
      </c>
      <c r="E11" s="44" t="s">
        <v>84</v>
      </c>
      <c r="F11" s="45" t="s">
        <v>85</v>
      </c>
      <c r="G11" s="45" t="s">
        <v>86</v>
      </c>
      <c r="H11" s="46" t="s">
        <v>87</v>
      </c>
    </row>
    <row r="12" ht="25" customHeight="1" spans="3:8">
      <c r="C12" s="50" t="s">
        <v>88</v>
      </c>
      <c r="D12" s="81" t="s">
        <v>89</v>
      </c>
      <c r="E12" s="81" t="s">
        <v>89</v>
      </c>
      <c r="F12" s="52">
        <v>0</v>
      </c>
      <c r="G12" s="52">
        <v>0</v>
      </c>
      <c r="H12" s="53">
        <v>0</v>
      </c>
    </row>
    <row r="13" ht="25" customHeight="1" spans="3:8">
      <c r="C13" s="32" t="s">
        <v>90</v>
      </c>
      <c r="D13" s="54" t="s">
        <v>91</v>
      </c>
      <c r="E13" s="54" t="s">
        <v>92</v>
      </c>
      <c r="F13" s="54" t="s">
        <v>93</v>
      </c>
      <c r="G13" s="55" t="s">
        <v>62</v>
      </c>
      <c r="H13" s="56" t="s">
        <v>94</v>
      </c>
    </row>
    <row r="14" ht="25" customHeight="1" spans="3:8">
      <c r="C14" s="32"/>
      <c r="D14" s="57">
        <v>39884700</v>
      </c>
      <c r="E14" s="58" t="s">
        <v>89</v>
      </c>
      <c r="F14" s="58" t="s">
        <v>89</v>
      </c>
      <c r="G14" s="58" t="s">
        <v>89</v>
      </c>
      <c r="H14" s="59" t="s">
        <v>89</v>
      </c>
    </row>
    <row r="15" ht="25" customHeight="1" spans="3:8">
      <c r="C15" s="35" t="s">
        <v>95</v>
      </c>
      <c r="D15" s="62" t="s">
        <v>81</v>
      </c>
      <c r="E15" s="61" t="s">
        <v>96</v>
      </c>
      <c r="F15" s="62" t="s">
        <v>89</v>
      </c>
      <c r="G15" s="63" t="s">
        <v>97</v>
      </c>
      <c r="H15" s="64" t="s">
        <v>89</v>
      </c>
    </row>
    <row r="16" ht="25" customHeight="1" spans="3:8">
      <c r="C16" s="65" t="s">
        <v>98</v>
      </c>
      <c r="D16" s="68" t="s">
        <v>81</v>
      </c>
      <c r="E16" s="67" t="s">
        <v>99</v>
      </c>
      <c r="F16" s="68" t="s">
        <v>89</v>
      </c>
      <c r="G16" s="67" t="s">
        <v>100</v>
      </c>
      <c r="H16" s="69" t="s">
        <v>89</v>
      </c>
    </row>
    <row r="17" ht="25" customHeight="1" spans="3:8">
      <c r="C17" s="65" t="s">
        <v>101</v>
      </c>
      <c r="D17" s="71" t="s">
        <v>81</v>
      </c>
      <c r="E17" s="67" t="s">
        <v>102</v>
      </c>
      <c r="F17" s="71" t="s">
        <v>89</v>
      </c>
      <c r="G17" s="67" t="s">
        <v>94</v>
      </c>
      <c r="H17" s="69" t="s">
        <v>89</v>
      </c>
    </row>
    <row r="18" ht="25" customHeight="1" spans="3:8">
      <c r="C18" s="38" t="s">
        <v>103</v>
      </c>
      <c r="D18" s="82">
        <v>0</v>
      </c>
      <c r="E18" s="74" t="s">
        <v>104</v>
      </c>
      <c r="F18" s="71" t="s">
        <v>89</v>
      </c>
      <c r="G18" s="67" t="s">
        <v>105</v>
      </c>
      <c r="H18" s="69" t="s">
        <v>89</v>
      </c>
    </row>
    <row r="19" ht="25" customHeight="1" spans="3:8">
      <c r="C19" s="38" t="s">
        <v>106</v>
      </c>
      <c r="D19" s="83" t="s">
        <v>107</v>
      </c>
      <c r="E19" s="76" t="s">
        <v>106</v>
      </c>
      <c r="F19" s="71" t="s">
        <v>89</v>
      </c>
      <c r="G19" s="67" t="s">
        <v>108</v>
      </c>
      <c r="H19" s="69" t="s">
        <v>89</v>
      </c>
    </row>
    <row r="20" ht="25" customHeight="1" spans="3:8">
      <c r="C20" s="38" t="s">
        <v>109</v>
      </c>
      <c r="D20" s="77" t="s">
        <v>81</v>
      </c>
      <c r="E20" s="76" t="s">
        <v>110</v>
      </c>
      <c r="F20" s="71" t="s">
        <v>89</v>
      </c>
      <c r="G20" s="76" t="s">
        <v>94</v>
      </c>
      <c r="H20" s="69" t="s">
        <v>89</v>
      </c>
    </row>
    <row r="21" ht="25" customHeight="1" spans="3:8">
      <c r="C21" s="32" t="s">
        <v>111</v>
      </c>
      <c r="D21" s="68" t="s">
        <v>89</v>
      </c>
      <c r="E21" s="76" t="s">
        <v>112</v>
      </c>
      <c r="F21" s="71" t="s">
        <v>89</v>
      </c>
      <c r="G21" s="76"/>
      <c r="H21" s="84"/>
    </row>
    <row r="22" ht="25" customHeight="1" spans="3:8">
      <c r="C22" s="78" t="s">
        <v>113</v>
      </c>
      <c r="D22" s="79"/>
      <c r="E22" s="79"/>
      <c r="F22" s="79"/>
      <c r="G22" s="79"/>
      <c r="H22" s="80"/>
    </row>
  </sheetData>
  <mergeCells count="3">
    <mergeCell ref="D8:H8"/>
    <mergeCell ref="C22:H22"/>
    <mergeCell ref="C13:C14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39"/>
  <sheetViews>
    <sheetView workbookViewId="0">
      <selection activeCell="E34" sqref="E34"/>
    </sheetView>
  </sheetViews>
  <sheetFormatPr defaultColWidth="9" defaultRowHeight="14.25" outlineLevelCol="7"/>
  <cols>
    <col min="3" max="3" width="25.625" style="28" customWidth="1"/>
    <col min="4" max="8" width="25.625" customWidth="1"/>
  </cols>
  <sheetData>
    <row r="3" ht="25" customHeight="1" spans="3:8">
      <c r="C3" s="29" t="s">
        <v>114</v>
      </c>
      <c r="D3" s="30"/>
      <c r="E3" s="30"/>
      <c r="F3" s="30"/>
      <c r="G3" s="30"/>
      <c r="H3" s="31"/>
    </row>
    <row r="4" ht="25" customHeight="1" spans="3:8">
      <c r="C4" s="32" t="s">
        <v>73</v>
      </c>
      <c r="D4" s="33">
        <v>2234555</v>
      </c>
      <c r="E4" s="33"/>
      <c r="F4" s="33"/>
      <c r="G4" s="33"/>
      <c r="H4" s="34">
        <v>43705.6259490741</v>
      </c>
    </row>
    <row r="5" ht="25" customHeight="1" spans="3:8">
      <c r="C5" s="32" t="s">
        <v>74</v>
      </c>
      <c r="D5" s="33">
        <v>5234500</v>
      </c>
      <c r="E5" s="33"/>
      <c r="F5" s="33"/>
      <c r="G5" s="33"/>
      <c r="H5" s="34">
        <v>43705.6259490741</v>
      </c>
    </row>
    <row r="6" ht="25" customHeight="1" spans="3:8">
      <c r="C6" s="35" t="s">
        <v>75</v>
      </c>
      <c r="D6" s="36">
        <v>2234555</v>
      </c>
      <c r="E6" s="36"/>
      <c r="F6" s="36"/>
      <c r="G6" s="36"/>
      <c r="H6" s="37">
        <v>43705.6259490741</v>
      </c>
    </row>
    <row r="7" ht="25" customHeight="1" spans="3:8">
      <c r="C7" s="38" t="s">
        <v>76</v>
      </c>
      <c r="D7" s="33">
        <v>5234500</v>
      </c>
      <c r="E7" s="33"/>
      <c r="F7" s="33"/>
      <c r="G7" s="33"/>
      <c r="H7" s="34">
        <v>43705.6259490741</v>
      </c>
    </row>
    <row r="8" ht="25" customHeight="1" spans="3:8">
      <c r="C8" s="39" t="s">
        <v>77</v>
      </c>
      <c r="D8" s="40" t="s">
        <v>78</v>
      </c>
      <c r="E8" s="40"/>
      <c r="F8" s="40"/>
      <c r="G8" s="40"/>
      <c r="H8" s="41"/>
    </row>
    <row r="9" ht="25" customHeight="1" spans="3:8">
      <c r="C9" s="39" t="s">
        <v>34</v>
      </c>
      <c r="D9" s="42" t="s">
        <v>79</v>
      </c>
      <c r="E9" s="40"/>
      <c r="F9" s="40"/>
      <c r="G9" s="40"/>
      <c r="H9" s="41"/>
    </row>
    <row r="10" ht="25" customHeight="1" spans="3:8">
      <c r="C10" s="39" t="s">
        <v>80</v>
      </c>
      <c r="D10" s="40" t="s">
        <v>115</v>
      </c>
      <c r="E10" s="40"/>
      <c r="F10" s="40"/>
      <c r="G10" s="40"/>
      <c r="H10" s="41"/>
    </row>
    <row r="11" ht="25" customHeight="1" spans="3:8">
      <c r="C11" s="43" t="s">
        <v>82</v>
      </c>
      <c r="D11" s="44" t="s">
        <v>83</v>
      </c>
      <c r="E11" s="44" t="s">
        <v>84</v>
      </c>
      <c r="F11" s="45" t="s">
        <v>85</v>
      </c>
      <c r="G11" s="45" t="s">
        <v>86</v>
      </c>
      <c r="H11" s="46" t="s">
        <v>91</v>
      </c>
    </row>
    <row r="12" ht="20" customHeight="1" spans="3:8">
      <c r="C12" s="47"/>
      <c r="D12" s="48" t="s">
        <v>116</v>
      </c>
      <c r="E12" s="12" t="s">
        <v>117</v>
      </c>
      <c r="F12" s="15">
        <v>5000</v>
      </c>
      <c r="G12" s="15">
        <v>4800</v>
      </c>
      <c r="H12" s="49">
        <v>4800</v>
      </c>
    </row>
    <row r="13" ht="20" customHeight="1" spans="3:8">
      <c r="C13" s="47"/>
      <c r="D13" s="48" t="s">
        <v>116</v>
      </c>
      <c r="E13" s="12" t="s">
        <v>118</v>
      </c>
      <c r="F13" s="15">
        <v>5001</v>
      </c>
      <c r="G13" s="15">
        <v>5001</v>
      </c>
      <c r="H13" s="49">
        <v>5001</v>
      </c>
    </row>
    <row r="14" ht="20" customHeight="1" spans="3:8">
      <c r="C14" s="47"/>
      <c r="D14" s="48" t="s">
        <v>116</v>
      </c>
      <c r="E14" s="12" t="s">
        <v>119</v>
      </c>
      <c r="F14" s="15">
        <v>5002</v>
      </c>
      <c r="G14" s="15">
        <v>5002</v>
      </c>
      <c r="H14" s="49">
        <v>5002</v>
      </c>
    </row>
    <row r="15" ht="20" customHeight="1" spans="3:8">
      <c r="C15" s="47"/>
      <c r="D15" s="48" t="s">
        <v>116</v>
      </c>
      <c r="E15" s="12" t="s">
        <v>120</v>
      </c>
      <c r="F15" s="15">
        <v>5003</v>
      </c>
      <c r="G15" s="15">
        <v>5003</v>
      </c>
      <c r="H15" s="49">
        <v>5003</v>
      </c>
    </row>
    <row r="16" ht="20" customHeight="1" spans="3:8">
      <c r="C16" s="47"/>
      <c r="D16" s="48" t="s">
        <v>116</v>
      </c>
      <c r="E16" s="12" t="s">
        <v>121</v>
      </c>
      <c r="F16" s="15">
        <v>5000000</v>
      </c>
      <c r="G16" s="15">
        <v>5000000</v>
      </c>
      <c r="H16" s="49">
        <v>5000000</v>
      </c>
    </row>
    <row r="17" ht="20" customHeight="1" spans="3:8">
      <c r="C17" s="47"/>
      <c r="D17" s="48" t="s">
        <v>122</v>
      </c>
      <c r="E17" s="12" t="s">
        <v>123</v>
      </c>
      <c r="F17" s="15">
        <v>5000000</v>
      </c>
      <c r="G17" s="15">
        <v>5000000</v>
      </c>
      <c r="H17" s="49">
        <v>5000000</v>
      </c>
    </row>
    <row r="18" ht="20" customHeight="1" spans="3:8">
      <c r="C18" s="47"/>
      <c r="D18" s="48" t="s">
        <v>124</v>
      </c>
      <c r="E18" s="12" t="s">
        <v>125</v>
      </c>
      <c r="F18" s="15">
        <v>5000000</v>
      </c>
      <c r="G18" s="15">
        <v>5000000</v>
      </c>
      <c r="H18" s="49">
        <v>5000000</v>
      </c>
    </row>
    <row r="19" ht="20" customHeight="1" spans="3:8">
      <c r="C19" s="47"/>
      <c r="D19" s="48" t="s">
        <v>126</v>
      </c>
      <c r="E19" s="12" t="s">
        <v>127</v>
      </c>
      <c r="F19" s="15">
        <v>5007</v>
      </c>
      <c r="G19" s="15">
        <v>5007</v>
      </c>
      <c r="H19" s="49">
        <v>5007</v>
      </c>
    </row>
    <row r="20" ht="20" customHeight="1" spans="3:8">
      <c r="C20" s="47"/>
      <c r="D20" s="48" t="s">
        <v>128</v>
      </c>
      <c r="E20" s="12" t="s">
        <v>129</v>
      </c>
      <c r="F20" s="15">
        <v>5400000</v>
      </c>
      <c r="G20" s="15">
        <v>5400000</v>
      </c>
      <c r="H20" s="49">
        <v>5400000</v>
      </c>
    </row>
    <row r="21" ht="20" customHeight="1" spans="3:8">
      <c r="C21" s="47"/>
      <c r="D21" s="48" t="s">
        <v>130</v>
      </c>
      <c r="E21" s="12" t="s">
        <v>131</v>
      </c>
      <c r="F21" s="15">
        <v>4909</v>
      </c>
      <c r="G21" s="15">
        <v>4909</v>
      </c>
      <c r="H21" s="49">
        <v>4909</v>
      </c>
    </row>
    <row r="22" ht="20" customHeight="1" spans="3:8">
      <c r="C22" s="47"/>
      <c r="D22" s="48" t="s">
        <v>132</v>
      </c>
      <c r="E22" s="12" t="s">
        <v>133</v>
      </c>
      <c r="F22" s="15">
        <v>4440000</v>
      </c>
      <c r="G22" s="15">
        <v>4440000</v>
      </c>
      <c r="H22" s="49">
        <v>4440000</v>
      </c>
    </row>
    <row r="23" ht="20" customHeight="1" spans="3:8">
      <c r="C23" s="47"/>
      <c r="D23" s="48" t="s">
        <v>134</v>
      </c>
      <c r="E23" s="12" t="s">
        <v>135</v>
      </c>
      <c r="F23" s="15">
        <v>4947</v>
      </c>
      <c r="G23" s="15">
        <v>4947</v>
      </c>
      <c r="H23" s="49">
        <v>4947</v>
      </c>
    </row>
    <row r="24" ht="20" customHeight="1" spans="3:8">
      <c r="C24" s="47"/>
      <c r="D24" s="48" t="s">
        <v>136</v>
      </c>
      <c r="E24" s="12" t="s">
        <v>137</v>
      </c>
      <c r="F24" s="15">
        <v>5000000</v>
      </c>
      <c r="G24" s="15">
        <v>5000000</v>
      </c>
      <c r="H24" s="49">
        <v>5000000</v>
      </c>
    </row>
    <row r="25" ht="20" customHeight="1" spans="3:8">
      <c r="C25" s="47"/>
      <c r="D25" s="48" t="s">
        <v>138</v>
      </c>
      <c r="E25" s="12" t="s">
        <v>139</v>
      </c>
      <c r="F25" s="15">
        <v>5000000</v>
      </c>
      <c r="G25" s="15">
        <v>5000000</v>
      </c>
      <c r="H25" s="49">
        <v>5000000</v>
      </c>
    </row>
    <row r="26" ht="20" customHeight="1" spans="3:8">
      <c r="C26" s="47"/>
      <c r="D26" s="48" t="s">
        <v>140</v>
      </c>
      <c r="E26" s="12" t="s">
        <v>141</v>
      </c>
      <c r="F26" s="15">
        <v>5000000</v>
      </c>
      <c r="G26" s="15">
        <v>5000000</v>
      </c>
      <c r="H26" s="49">
        <v>5000000</v>
      </c>
    </row>
    <row r="27" ht="20" customHeight="1" spans="3:8">
      <c r="C27" s="47"/>
      <c r="D27" s="48" t="s">
        <v>142</v>
      </c>
      <c r="E27" s="12" t="s">
        <v>143</v>
      </c>
      <c r="F27" s="15">
        <v>5015</v>
      </c>
      <c r="G27" s="15">
        <v>5015</v>
      </c>
      <c r="H27" s="49">
        <v>5015</v>
      </c>
    </row>
    <row r="28" ht="20" customHeight="1" spans="3:8">
      <c r="C28" s="47"/>
      <c r="D28" s="48" t="s">
        <v>144</v>
      </c>
      <c r="E28" s="12" t="s">
        <v>145</v>
      </c>
      <c r="F28" s="15">
        <v>5016</v>
      </c>
      <c r="G28" s="15">
        <v>5016</v>
      </c>
      <c r="H28" s="49">
        <v>5016</v>
      </c>
    </row>
    <row r="29" ht="25" customHeight="1" spans="3:8">
      <c r="C29" s="50" t="s">
        <v>88</v>
      </c>
      <c r="D29" s="51"/>
      <c r="E29" s="51"/>
      <c r="F29" s="52">
        <f t="shared" ref="F29:H29" si="0">SUM(F12:F28)</f>
        <v>39884900</v>
      </c>
      <c r="G29" s="52">
        <f t="shared" si="0"/>
        <v>39884700</v>
      </c>
      <c r="H29" s="53">
        <f t="shared" si="0"/>
        <v>39884700</v>
      </c>
    </row>
    <row r="30" ht="25" customHeight="1" spans="3:8">
      <c r="C30" s="32" t="s">
        <v>90</v>
      </c>
      <c r="D30" s="54" t="s">
        <v>91</v>
      </c>
      <c r="E30" s="54" t="s">
        <v>92</v>
      </c>
      <c r="F30" s="54" t="s">
        <v>93</v>
      </c>
      <c r="G30" s="55" t="s">
        <v>62</v>
      </c>
      <c r="H30" s="56" t="s">
        <v>94</v>
      </c>
    </row>
    <row r="31" ht="25" customHeight="1" spans="3:8">
      <c r="C31" s="32"/>
      <c r="D31" s="57">
        <v>39884700</v>
      </c>
      <c r="E31" s="57">
        <v>101.5</v>
      </c>
      <c r="F31" s="57">
        <v>392952.71</v>
      </c>
      <c r="G31" s="58" t="s">
        <v>89</v>
      </c>
      <c r="H31" s="59" t="s">
        <v>89</v>
      </c>
    </row>
    <row r="32" ht="25" customHeight="1" spans="3:8">
      <c r="C32" s="35" t="s">
        <v>95</v>
      </c>
      <c r="D32" s="60" t="s">
        <v>146</v>
      </c>
      <c r="E32" s="61" t="s">
        <v>96</v>
      </c>
      <c r="F32" s="62" t="s">
        <v>89</v>
      </c>
      <c r="G32" s="63" t="s">
        <v>97</v>
      </c>
      <c r="H32" s="64" t="s">
        <v>89</v>
      </c>
    </row>
    <row r="33" ht="25" customHeight="1" spans="3:8">
      <c r="C33" s="65" t="s">
        <v>98</v>
      </c>
      <c r="D33" s="66" t="s">
        <v>147</v>
      </c>
      <c r="E33" s="67" t="s">
        <v>99</v>
      </c>
      <c r="F33" s="68" t="s">
        <v>89</v>
      </c>
      <c r="G33" s="67" t="s">
        <v>100</v>
      </c>
      <c r="H33" s="69" t="s">
        <v>89</v>
      </c>
    </row>
    <row r="34" ht="25" customHeight="1" spans="3:8">
      <c r="C34" s="65" t="s">
        <v>101</v>
      </c>
      <c r="D34" s="70">
        <v>90120231</v>
      </c>
      <c r="E34" s="67" t="s">
        <v>102</v>
      </c>
      <c r="F34" s="71" t="s">
        <v>89</v>
      </c>
      <c r="G34" s="67" t="s">
        <v>94</v>
      </c>
      <c r="H34" s="72" t="s">
        <v>89</v>
      </c>
    </row>
    <row r="35" ht="25" customHeight="1" spans="3:8">
      <c r="C35" s="38" t="s">
        <v>103</v>
      </c>
      <c r="D35" s="73">
        <v>39880100</v>
      </c>
      <c r="E35" s="74" t="s">
        <v>104</v>
      </c>
      <c r="F35" s="71" t="s">
        <v>89</v>
      </c>
      <c r="G35" s="67" t="s">
        <v>105</v>
      </c>
      <c r="H35" s="72" t="s">
        <v>89</v>
      </c>
    </row>
    <row r="36" ht="25" customHeight="1" spans="3:8">
      <c r="C36" s="38" t="s">
        <v>106</v>
      </c>
      <c r="D36" s="75" t="s">
        <v>148</v>
      </c>
      <c r="E36" s="76" t="s">
        <v>106</v>
      </c>
      <c r="F36" s="71" t="s">
        <v>89</v>
      </c>
      <c r="G36" s="67" t="s">
        <v>108</v>
      </c>
      <c r="H36" s="72" t="s">
        <v>89</v>
      </c>
    </row>
    <row r="37" ht="25" customHeight="1" spans="3:8">
      <c r="C37" s="38" t="s">
        <v>109</v>
      </c>
      <c r="D37" s="77" t="s">
        <v>149</v>
      </c>
      <c r="E37" s="76" t="s">
        <v>110</v>
      </c>
      <c r="F37" s="71" t="s">
        <v>89</v>
      </c>
      <c r="G37" s="76" t="s">
        <v>94</v>
      </c>
      <c r="H37" s="72" t="s">
        <v>89</v>
      </c>
    </row>
    <row r="38" ht="25" customHeight="1" spans="3:8">
      <c r="C38" s="32" t="s">
        <v>111</v>
      </c>
      <c r="D38" s="66" t="s">
        <v>150</v>
      </c>
      <c r="E38" s="76" t="s">
        <v>112</v>
      </c>
      <c r="F38" s="71" t="s">
        <v>89</v>
      </c>
      <c r="G38" s="76"/>
      <c r="H38" s="72"/>
    </row>
    <row r="39" ht="25" customHeight="1" spans="3:8">
      <c r="C39" s="78" t="s">
        <v>113</v>
      </c>
      <c r="D39" s="79"/>
      <c r="E39" s="79"/>
      <c r="F39" s="79"/>
      <c r="G39" s="79"/>
      <c r="H39" s="80"/>
    </row>
  </sheetData>
  <mergeCells count="4">
    <mergeCell ref="D8:H8"/>
    <mergeCell ref="C39:H39"/>
    <mergeCell ref="C11:C28"/>
    <mergeCell ref="C30:C31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25"/>
  <sheetViews>
    <sheetView workbookViewId="0">
      <selection activeCell="B31" sqref="B31"/>
    </sheetView>
  </sheetViews>
  <sheetFormatPr defaultColWidth="9" defaultRowHeight="13.5"/>
  <cols>
    <col min="1" max="1" width="9" style="3"/>
    <col min="2" max="2" width="15.625" style="3" customWidth="1"/>
    <col min="3" max="9" width="20.625" style="3" customWidth="1"/>
    <col min="10" max="10" width="15.625" style="3" customWidth="1"/>
    <col min="11" max="16384" width="9" style="3"/>
  </cols>
  <sheetData>
    <row r="3" ht="30" customHeight="1" spans="2:10">
      <c r="B3" s="4" t="s">
        <v>151</v>
      </c>
      <c r="C3" s="5"/>
      <c r="D3" s="5"/>
      <c r="E3" s="5"/>
      <c r="F3" s="5"/>
      <c r="G3" s="5"/>
      <c r="H3" s="5"/>
      <c r="I3" s="5"/>
      <c r="J3" s="23"/>
    </row>
    <row r="4" s="1" customFormat="1" ht="30" customHeight="1" spans="2:10">
      <c r="B4" s="6" t="s">
        <v>83</v>
      </c>
      <c r="C4" s="7" t="s">
        <v>152</v>
      </c>
      <c r="D4" s="8" t="s">
        <v>153</v>
      </c>
      <c r="E4" s="8" t="s">
        <v>154</v>
      </c>
      <c r="F4" s="9" t="s">
        <v>155</v>
      </c>
      <c r="G4" s="7" t="s">
        <v>85</v>
      </c>
      <c r="H4" s="10" t="s">
        <v>156</v>
      </c>
      <c r="I4" s="7" t="s">
        <v>157</v>
      </c>
      <c r="J4" s="24" t="s">
        <v>158</v>
      </c>
    </row>
    <row r="5" ht="20" customHeight="1" spans="2:10">
      <c r="B5" s="11" t="s">
        <v>116</v>
      </c>
      <c r="C5" s="12" t="s">
        <v>159</v>
      </c>
      <c r="D5" s="12" t="s">
        <v>146</v>
      </c>
      <c r="E5" s="13" t="s">
        <v>160</v>
      </c>
      <c r="F5" s="14">
        <v>1</v>
      </c>
      <c r="G5" s="15">
        <v>5000</v>
      </c>
      <c r="H5" s="15">
        <v>4800</v>
      </c>
      <c r="I5" s="15">
        <v>200</v>
      </c>
      <c r="J5" s="25" t="s">
        <v>161</v>
      </c>
    </row>
    <row r="6" ht="20" customHeight="1" spans="2:10">
      <c r="B6" s="11" t="s">
        <v>122</v>
      </c>
      <c r="C6" s="12" t="s">
        <v>117</v>
      </c>
      <c r="D6" s="12" t="s">
        <v>146</v>
      </c>
      <c r="E6" s="16" t="s">
        <v>162</v>
      </c>
      <c r="F6" s="14">
        <v>2</v>
      </c>
      <c r="G6" s="15">
        <v>5001</v>
      </c>
      <c r="H6" s="15">
        <v>5001</v>
      </c>
      <c r="I6" s="15">
        <v>0</v>
      </c>
      <c r="J6" s="25" t="s">
        <v>161</v>
      </c>
    </row>
    <row r="7" ht="20" customHeight="1" spans="2:10">
      <c r="B7" s="11" t="s">
        <v>124</v>
      </c>
      <c r="C7" s="12" t="s">
        <v>118</v>
      </c>
      <c r="D7" s="12" t="s">
        <v>146</v>
      </c>
      <c r="E7" s="13" t="s">
        <v>163</v>
      </c>
      <c r="F7" s="14">
        <v>3</v>
      </c>
      <c r="G7" s="15">
        <v>5002</v>
      </c>
      <c r="H7" s="15">
        <v>5002</v>
      </c>
      <c r="I7" s="15">
        <v>0</v>
      </c>
      <c r="J7" s="25" t="s">
        <v>161</v>
      </c>
    </row>
    <row r="8" ht="20" customHeight="1" spans="2:10">
      <c r="B8" s="11" t="s">
        <v>126</v>
      </c>
      <c r="C8" s="12" t="s">
        <v>119</v>
      </c>
      <c r="D8" s="12" t="s">
        <v>146</v>
      </c>
      <c r="E8" s="13" t="s">
        <v>160</v>
      </c>
      <c r="F8" s="14">
        <v>4</v>
      </c>
      <c r="G8" s="15">
        <v>5003</v>
      </c>
      <c r="H8" s="15">
        <v>5003</v>
      </c>
      <c r="I8" s="15">
        <v>0</v>
      </c>
      <c r="J8" s="25" t="s">
        <v>161</v>
      </c>
    </row>
    <row r="9" ht="20" customHeight="1" spans="2:10">
      <c r="B9" s="11" t="s">
        <v>128</v>
      </c>
      <c r="C9" s="12" t="s">
        <v>120</v>
      </c>
      <c r="D9" s="12" t="s">
        <v>146</v>
      </c>
      <c r="E9" s="16" t="s">
        <v>164</v>
      </c>
      <c r="F9" s="14">
        <v>5</v>
      </c>
      <c r="G9" s="15">
        <v>5004</v>
      </c>
      <c r="H9" s="15">
        <v>5004</v>
      </c>
      <c r="I9" s="15">
        <v>0</v>
      </c>
      <c r="J9" s="25" t="s">
        <v>161</v>
      </c>
    </row>
    <row r="10" ht="20" customHeight="1" spans="2:10">
      <c r="B10" s="11" t="s">
        <v>130</v>
      </c>
      <c r="C10" s="12" t="s">
        <v>121</v>
      </c>
      <c r="D10" s="12" t="s">
        <v>146</v>
      </c>
      <c r="E10" s="13" t="s">
        <v>165</v>
      </c>
      <c r="F10" s="14">
        <v>6</v>
      </c>
      <c r="G10" s="15">
        <v>5005</v>
      </c>
      <c r="H10" s="15">
        <v>5005</v>
      </c>
      <c r="I10" s="15">
        <v>0</v>
      </c>
      <c r="J10" s="25" t="s">
        <v>161</v>
      </c>
    </row>
    <row r="11" ht="20" customHeight="1" spans="2:10">
      <c r="B11" s="11" t="s">
        <v>132</v>
      </c>
      <c r="C11" s="12" t="s">
        <v>166</v>
      </c>
      <c r="D11" s="12" t="s">
        <v>146</v>
      </c>
      <c r="E11" s="16" t="s">
        <v>167</v>
      </c>
      <c r="F11" s="14">
        <v>7</v>
      </c>
      <c r="G11" s="15">
        <v>5006</v>
      </c>
      <c r="H11" s="15">
        <v>5006</v>
      </c>
      <c r="I11" s="15">
        <v>0</v>
      </c>
      <c r="J11" s="25" t="s">
        <v>161</v>
      </c>
    </row>
    <row r="12" ht="20" customHeight="1" spans="2:10">
      <c r="B12" s="11" t="s">
        <v>134</v>
      </c>
      <c r="C12" s="12" t="s">
        <v>168</v>
      </c>
      <c r="D12" s="12" t="s">
        <v>146</v>
      </c>
      <c r="E12" s="16" t="s">
        <v>169</v>
      </c>
      <c r="F12" s="14">
        <v>8</v>
      </c>
      <c r="G12" s="15">
        <v>5007</v>
      </c>
      <c r="H12" s="15">
        <v>5007</v>
      </c>
      <c r="I12" s="15">
        <v>0</v>
      </c>
      <c r="J12" s="25" t="s">
        <v>161</v>
      </c>
    </row>
    <row r="13" ht="20" customHeight="1" spans="2:10">
      <c r="B13" s="11" t="s">
        <v>136</v>
      </c>
      <c r="C13" s="12" t="s">
        <v>170</v>
      </c>
      <c r="D13" s="12" t="s">
        <v>146</v>
      </c>
      <c r="E13" s="16" t="s">
        <v>171</v>
      </c>
      <c r="F13" s="14">
        <v>9</v>
      </c>
      <c r="G13" s="15">
        <v>5008</v>
      </c>
      <c r="H13" s="15">
        <v>5008</v>
      </c>
      <c r="I13" s="15">
        <v>0</v>
      </c>
      <c r="J13" s="25" t="s">
        <v>161</v>
      </c>
    </row>
    <row r="14" ht="20" customHeight="1" spans="2:10">
      <c r="B14" s="11" t="s">
        <v>138</v>
      </c>
      <c r="C14" s="12" t="s">
        <v>172</v>
      </c>
      <c r="D14" s="12" t="s">
        <v>146</v>
      </c>
      <c r="E14" s="13" t="s">
        <v>160</v>
      </c>
      <c r="F14" s="14">
        <v>10</v>
      </c>
      <c r="G14" s="15">
        <v>5009</v>
      </c>
      <c r="H14" s="15">
        <v>5009</v>
      </c>
      <c r="I14" s="15">
        <v>0</v>
      </c>
      <c r="J14" s="25" t="s">
        <v>161</v>
      </c>
    </row>
    <row r="15" ht="20" customHeight="1" spans="2:10">
      <c r="B15" s="11" t="s">
        <v>140</v>
      </c>
      <c r="C15" s="12" t="s">
        <v>173</v>
      </c>
      <c r="D15" s="12" t="s">
        <v>146</v>
      </c>
      <c r="E15" s="13" t="s">
        <v>160</v>
      </c>
      <c r="F15" s="14">
        <v>11</v>
      </c>
      <c r="G15" s="15">
        <v>5010</v>
      </c>
      <c r="H15" s="15">
        <v>5010</v>
      </c>
      <c r="I15" s="15">
        <v>0</v>
      </c>
      <c r="J15" s="25" t="s">
        <v>161</v>
      </c>
    </row>
    <row r="16" ht="20" customHeight="1" spans="2:10">
      <c r="B16" s="11" t="s">
        <v>142</v>
      </c>
      <c r="C16" s="12" t="s">
        <v>174</v>
      </c>
      <c r="D16" s="12" t="s">
        <v>146</v>
      </c>
      <c r="E16" s="16" t="s">
        <v>162</v>
      </c>
      <c r="F16" s="14">
        <v>12</v>
      </c>
      <c r="G16" s="15">
        <v>5011</v>
      </c>
      <c r="H16" s="15">
        <v>5011</v>
      </c>
      <c r="I16" s="15">
        <v>0</v>
      </c>
      <c r="J16" s="25" t="s">
        <v>161</v>
      </c>
    </row>
    <row r="17" ht="20" customHeight="1" spans="2:10">
      <c r="B17" s="11" t="s">
        <v>144</v>
      </c>
      <c r="C17" s="12" t="s">
        <v>175</v>
      </c>
      <c r="D17" s="12" t="s">
        <v>146</v>
      </c>
      <c r="E17" s="13" t="s">
        <v>163</v>
      </c>
      <c r="F17" s="14">
        <v>13</v>
      </c>
      <c r="G17" s="15">
        <v>5012</v>
      </c>
      <c r="H17" s="15">
        <v>5012</v>
      </c>
      <c r="I17" s="15">
        <v>0</v>
      </c>
      <c r="J17" s="25" t="s">
        <v>161</v>
      </c>
    </row>
    <row r="18" ht="20" customHeight="1" spans="2:10">
      <c r="B18" s="11" t="s">
        <v>176</v>
      </c>
      <c r="C18" s="12" t="s">
        <v>177</v>
      </c>
      <c r="D18" s="12" t="s">
        <v>146</v>
      </c>
      <c r="E18" s="13" t="s">
        <v>160</v>
      </c>
      <c r="F18" s="14">
        <v>14</v>
      </c>
      <c r="G18" s="15">
        <v>5013</v>
      </c>
      <c r="H18" s="15">
        <v>5013</v>
      </c>
      <c r="I18" s="15">
        <v>0</v>
      </c>
      <c r="J18" s="25" t="s">
        <v>161</v>
      </c>
    </row>
    <row r="19" ht="20" customHeight="1" spans="2:10">
      <c r="B19" s="11" t="s">
        <v>178</v>
      </c>
      <c r="C19" s="12" t="s">
        <v>179</v>
      </c>
      <c r="D19" s="12" t="s">
        <v>146</v>
      </c>
      <c r="E19" s="16" t="s">
        <v>164</v>
      </c>
      <c r="F19" s="14">
        <v>15</v>
      </c>
      <c r="G19" s="15">
        <v>5014</v>
      </c>
      <c r="H19" s="15">
        <v>5014</v>
      </c>
      <c r="I19" s="15">
        <v>0</v>
      </c>
      <c r="J19" s="25" t="s">
        <v>161</v>
      </c>
    </row>
    <row r="20" ht="20" customHeight="1" spans="2:10">
      <c r="B20" s="11" t="s">
        <v>180</v>
      </c>
      <c r="C20" s="12" t="s">
        <v>181</v>
      </c>
      <c r="D20" s="12" t="s">
        <v>146</v>
      </c>
      <c r="E20" s="13" t="s">
        <v>160</v>
      </c>
      <c r="F20" s="14">
        <v>16</v>
      </c>
      <c r="G20" s="15">
        <v>5015</v>
      </c>
      <c r="H20" s="15">
        <v>5015</v>
      </c>
      <c r="I20" s="15">
        <v>0</v>
      </c>
      <c r="J20" s="25" t="s">
        <v>161</v>
      </c>
    </row>
    <row r="21" ht="20" customHeight="1" spans="2:10">
      <c r="B21" s="11" t="s">
        <v>182</v>
      </c>
      <c r="C21" s="12" t="s">
        <v>183</v>
      </c>
      <c r="D21" s="12" t="s">
        <v>146</v>
      </c>
      <c r="E21" s="13" t="s">
        <v>160</v>
      </c>
      <c r="F21" s="14">
        <v>17</v>
      </c>
      <c r="G21" s="15">
        <v>5016</v>
      </c>
      <c r="H21" s="15">
        <v>5016</v>
      </c>
      <c r="I21" s="15">
        <v>0</v>
      </c>
      <c r="J21" s="25" t="s">
        <v>161</v>
      </c>
    </row>
    <row r="22" ht="20" customHeight="1" spans="2:10">
      <c r="B22" s="11" t="s">
        <v>184</v>
      </c>
      <c r="C22" s="12" t="s">
        <v>185</v>
      </c>
      <c r="D22" s="12" t="s">
        <v>146</v>
      </c>
      <c r="E22" s="16" t="s">
        <v>162</v>
      </c>
      <c r="F22" s="14">
        <v>18</v>
      </c>
      <c r="G22" s="15">
        <v>5017</v>
      </c>
      <c r="H22" s="15">
        <v>5017</v>
      </c>
      <c r="I22" s="15">
        <v>0</v>
      </c>
      <c r="J22" s="25" t="s">
        <v>161</v>
      </c>
    </row>
    <row r="23" ht="30" customHeight="1" spans="2:10">
      <c r="B23" s="17"/>
      <c r="C23" s="18"/>
      <c r="D23" s="18"/>
      <c r="E23" s="18"/>
      <c r="F23" s="18"/>
      <c r="G23" s="19" t="s">
        <v>186</v>
      </c>
      <c r="H23" s="19" t="s">
        <v>187</v>
      </c>
      <c r="I23" s="19" t="s">
        <v>188</v>
      </c>
      <c r="J23" s="26"/>
    </row>
    <row r="24" s="2" customFormat="1" ht="30" customHeight="1" spans="2:10">
      <c r="B24" s="20" t="s">
        <v>189</v>
      </c>
      <c r="C24" s="21"/>
      <c r="D24" s="21"/>
      <c r="E24" s="21"/>
      <c r="F24" s="21"/>
      <c r="G24" s="21"/>
      <c r="H24" s="21"/>
      <c r="I24" s="21"/>
      <c r="J24" s="27"/>
    </row>
    <row r="25" spans="2:9">
      <c r="B25" s="22"/>
      <c r="C25" s="22"/>
      <c r="D25" s="22"/>
      <c r="E25" s="22"/>
      <c r="F25" s="22"/>
      <c r="G25" s="22"/>
      <c r="H25" s="22"/>
      <c r="I25" s="22"/>
    </row>
  </sheetData>
  <mergeCells count="3">
    <mergeCell ref="B3:J3"/>
    <mergeCell ref="B24:J24"/>
    <mergeCell ref="B25:I2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备用金账户</vt:lpstr>
      <vt:lpstr>备用金申请</vt:lpstr>
      <vt:lpstr>申请备用金</vt:lpstr>
      <vt:lpstr>申请备用金1</vt:lpstr>
      <vt:lpstr>添加订单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2020-01-14T05:52:00Z</dcterms:created>
  <dcterms:modified xsi:type="dcterms:W3CDTF">2022-08-17T04:00:48Z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2052-11.1.0.12302</vt:lpwstr>
  </property>
  <property fmtid="{D5CDD505-2E9C-101B-9397-08002B2CF9AE}" pid="3" name="ICV">
    <vt:lpwstr>7F4FE7D229774D3B937AE836D26D2B53</vt:lpwstr>
  </property>
</Properties>
</file>