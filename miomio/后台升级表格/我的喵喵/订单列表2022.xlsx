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列表" sheetId="1" r:id="rId1"/>
    <sheet name="展列表开" sheetId="4" r:id="rId2"/>
    <sheet name="订单详情" sheetId="5" r:id="rId3"/>
    <sheet name="订单详情-展开" sheetId="6" r:id="rId4"/>
    <sheet name="订单详情-展开-子状态" sheetId="7" r:id="rId5"/>
    <sheet name="价格-日期" sheetId="9" r:id="rId6"/>
    <sheet name="价格显示" sheetId="10" r:id="rId7"/>
    <sheet name="创建订单" sheetId="8" r:id="rId8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G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M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comments2.xml><?xml version="1.0" encoding="utf-8"?>
<comments xmlns="http://schemas.openxmlformats.org/spreadsheetml/2006/main">
  <authors>
    <author>SamPao</author>
  </authors>
  <commentList>
    <comment ref="C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D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名字15字符内，如果超过20字符侧隐藏起来，当鼠标移到该处时全部显示出来
</t>
        </r>
      </text>
    </comment>
    <comment ref="G6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描述限制25字符内，如果超过20字符侧隐藏起来，当鼠标移到该处时全部显示出来</t>
        </r>
      </text>
    </comment>
    <comment ref="L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鼠标移到此处显示中英文全称
</t>
        </r>
      </text>
    </comment>
  </commentList>
</comments>
</file>

<file path=xl/comments3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18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1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4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2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2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comments5.xml><?xml version="1.0" encoding="utf-8"?>
<comments xmlns="http://schemas.openxmlformats.org/spreadsheetml/2006/main">
  <authors>
    <author>SamPao</author>
  </authors>
  <commentList>
    <comment ref="B4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点击用户名称可以显示最近发运的5个订单，点击订单号可查询详情</t>
        </r>
      </text>
    </comment>
    <comment ref="P32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只显示18字符，超过时移至这里浮显，前端备注可以选择录入也可以手动录入</t>
        </r>
      </text>
    </comment>
    <comment ref="E3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鼠标移至此处显示删除原因</t>
        </r>
      </text>
    </comment>
  </commentList>
</comments>
</file>

<file path=xl/sharedStrings.xml><?xml version="1.0" encoding="utf-8"?>
<sst xmlns="http://schemas.openxmlformats.org/spreadsheetml/2006/main" count="1251" uniqueCount="312">
  <si>
    <t>全部</t>
  </si>
  <si>
    <t>尼日利亚</t>
  </si>
  <si>
    <t>加纳</t>
  </si>
  <si>
    <t>几内亚</t>
  </si>
  <si>
    <t>中国</t>
  </si>
  <si>
    <t>拉各斯</t>
  </si>
  <si>
    <t>卡诺</t>
  </si>
  <si>
    <t>阿布贾</t>
  </si>
  <si>
    <t>奥尼查</t>
  </si>
  <si>
    <t>伊科贾站点</t>
  </si>
  <si>
    <t>电脑村站点</t>
  </si>
  <si>
    <t>维岛站点</t>
  </si>
  <si>
    <t>贸易展会站点</t>
  </si>
  <si>
    <t>选择起始日期</t>
  </si>
  <si>
    <t>选择结束日期</t>
  </si>
  <si>
    <t>选择服务类型</t>
  </si>
  <si>
    <t>选择支付方式</t>
  </si>
  <si>
    <t>选择支付状态</t>
  </si>
  <si>
    <t>选择业用户</t>
  </si>
  <si>
    <t>选择业务员</t>
  </si>
  <si>
    <t>创建订单</t>
  </si>
  <si>
    <r>
      <rPr>
        <b/>
        <sz val="9"/>
        <color theme="1"/>
        <rFont val="宋体"/>
        <charset val="134"/>
      </rPr>
      <t>输入订单号</t>
    </r>
    <r>
      <rPr>
        <b/>
        <sz val="9"/>
        <color theme="1"/>
        <rFont val="Arial"/>
        <charset val="134"/>
      </rPr>
      <t>JOB</t>
    </r>
    <r>
      <rPr>
        <b/>
        <sz val="9"/>
        <color theme="1"/>
        <rFont val="宋体"/>
        <charset val="134"/>
      </rPr>
      <t>集装号快递单号提单号电话字段收发货人名字可查询</t>
    </r>
  </si>
  <si>
    <t>序号</t>
  </si>
  <si>
    <t>运单号</t>
  </si>
  <si>
    <t>用户</t>
  </si>
  <si>
    <t>业务员</t>
  </si>
  <si>
    <t>线路</t>
  </si>
  <si>
    <t>服务类型</t>
  </si>
  <si>
    <t>说明</t>
  </si>
  <si>
    <t>计费重量Kg</t>
  </si>
  <si>
    <t>件数</t>
  </si>
  <si>
    <t>币种</t>
  </si>
  <si>
    <t>应收</t>
  </si>
  <si>
    <t>支付方式/状态</t>
  </si>
  <si>
    <t>物流状态</t>
  </si>
  <si>
    <t>更新日期</t>
  </si>
  <si>
    <t>Karena</t>
  </si>
  <si>
    <t>CAN.CHN→LOS.NGA</t>
  </si>
  <si>
    <t>特快</t>
  </si>
  <si>
    <t>普货</t>
  </si>
  <si>
    <t>CNY</t>
  </si>
  <si>
    <t>到付  已付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</si>
  <si>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   20191025 23:51</t>
    </r>
  </si>
  <si>
    <t>20191025 23:51</t>
  </si>
  <si>
    <t>箴媄子</t>
  </si>
  <si>
    <t>非普货</t>
  </si>
  <si>
    <t>CC  PAID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</si>
  <si>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            20191025 23:51</t>
    </r>
  </si>
  <si>
    <t>20191025 23:50</t>
  </si>
  <si>
    <t>Tom</t>
  </si>
  <si>
    <t>USD</t>
  </si>
  <si>
    <t>到付/已付</t>
  </si>
  <si>
    <t>20191025 23:29</t>
  </si>
  <si>
    <t>CC  UNPAID</t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</si>
  <si>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            20191025 23:51</t>
    </r>
  </si>
  <si>
    <t>20191025 23:23</t>
  </si>
  <si>
    <r>
      <rPr>
        <sz val="9"/>
        <color theme="1"/>
        <rFont val="Microsoft JhengHei"/>
        <charset val="134"/>
      </rPr>
      <t>敏敏</t>
    </r>
    <r>
      <rPr>
        <sz val="9"/>
        <color theme="1"/>
        <rFont val="Arial"/>
        <charset val="134"/>
      </rPr>
      <t>lena</t>
    </r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</si>
  <si>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            20191025 23:51</t>
    </r>
  </si>
  <si>
    <t>20191025 22:31</t>
  </si>
  <si>
    <t>Smile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</si>
  <si>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            20191025 23:51</t>
    </r>
  </si>
  <si>
    <t>20191025 22:19</t>
  </si>
  <si>
    <t>良大大</t>
  </si>
  <si>
    <t>20191025 21:42</t>
  </si>
  <si>
    <t>光明</t>
  </si>
  <si>
    <t>20191025 21:09</t>
  </si>
  <si>
    <t>小莫</t>
  </si>
  <si>
    <t>20191025 21:08</t>
  </si>
  <si>
    <t>普快</t>
  </si>
  <si>
    <t>20191025 21:00</t>
  </si>
  <si>
    <t>支付方式</t>
  </si>
  <si>
    <t>支付状态</t>
  </si>
  <si>
    <t>订单日期</t>
  </si>
  <si>
    <t>到付</t>
  </si>
  <si>
    <t>已付</t>
  </si>
  <si>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IKEJ STA</t>
    </r>
  </si>
  <si>
    <t>预付</t>
  </si>
  <si>
    <t>未付</t>
  </si>
  <si>
    <r>
      <rPr>
        <sz val="9"/>
        <color theme="1"/>
        <rFont val="宋体"/>
        <charset val="134"/>
      </rPr>
      <t>待入库</t>
    </r>
    <r>
      <rPr>
        <sz val="9"/>
        <color theme="1"/>
        <rFont val="Arial"/>
        <charset val="134"/>
      </rPr>
      <t xml:space="preserve"> HAIZ STA</t>
    </r>
  </si>
  <si>
    <r>
      <rPr>
        <sz val="9"/>
        <color theme="0"/>
        <rFont val="宋体"/>
        <charset val="134"/>
      </rPr>
      <t>已完成</t>
    </r>
    <r>
      <rPr>
        <sz val="9"/>
        <color theme="0"/>
        <rFont val="Arial"/>
        <charset val="134"/>
      </rPr>
      <t xml:space="preserve"> IKEJ STA</t>
    </r>
  </si>
  <si>
    <t>2341234567890 001</t>
  </si>
  <si>
    <t>2341234567890 002</t>
  </si>
  <si>
    <t>2341234567890 003</t>
  </si>
  <si>
    <t>2341234567890 004</t>
  </si>
  <si>
    <t>2341234567890 005</t>
  </si>
  <si>
    <t>2341234567890 006</t>
  </si>
  <si>
    <t>2341234567890 007</t>
  </si>
  <si>
    <t>2341234567890 008</t>
  </si>
  <si>
    <t>2341234567890 009</t>
  </si>
  <si>
    <r>
      <rPr>
        <sz val="9"/>
        <color rgb="FFFF0000"/>
        <rFont val="宋体"/>
        <charset val="134"/>
      </rPr>
      <t>待入库</t>
    </r>
    <r>
      <rPr>
        <sz val="9"/>
        <color rgb="FFFF0000"/>
        <rFont val="Arial"/>
        <charset val="134"/>
      </rPr>
      <t xml:space="preserve"> HAIZ STA</t>
    </r>
  </si>
  <si>
    <t>-</t>
  </si>
  <si>
    <t>订单详情</t>
  </si>
  <si>
    <r>
      <rPr>
        <b/>
        <sz val="11"/>
        <color theme="1"/>
        <rFont val="宋体"/>
        <charset val="134"/>
      </rPr>
      <t>业务员</t>
    </r>
    <r>
      <rPr>
        <b/>
        <sz val="11"/>
        <color theme="1"/>
        <rFont val="Arial"/>
        <charset val="134"/>
      </rPr>
      <t>:SAMPAO</t>
    </r>
  </si>
  <si>
    <r>
      <rPr>
        <sz val="9"/>
        <color theme="1"/>
        <rFont val="Microsoft JhengHei"/>
        <charset val="134"/>
      </rPr>
      <t>下单日期</t>
    </r>
    <r>
      <rPr>
        <sz val="9"/>
        <color theme="1"/>
        <rFont val="Arial"/>
        <charset val="134"/>
      </rPr>
      <t>2019/8/28 15:01:22</t>
    </r>
  </si>
  <si>
    <r>
      <rPr>
        <sz val="9"/>
        <color theme="1"/>
        <rFont val="宋体"/>
        <charset val="134"/>
      </rPr>
      <t>入库日期：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</si>
  <si>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支付方式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到付</t>
    </r>
  </si>
  <si>
    <r>
      <rPr>
        <sz val="9"/>
        <color theme="1"/>
        <rFont val="Microsoft JhengHei"/>
        <charset val="134"/>
      </rPr>
      <t>支付状态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未付</t>
    </r>
  </si>
  <si>
    <r>
      <rPr>
        <sz val="9"/>
        <color theme="1"/>
        <rFont val="Microsoft JhengHei"/>
        <charset val="134"/>
      </rPr>
      <t>支付途径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微信</t>
    </r>
  </si>
  <si>
    <r>
      <rPr>
        <sz val="9"/>
        <color theme="1"/>
        <rFont val="宋体"/>
        <charset val="134"/>
      </rPr>
      <t>支付日期：</t>
    </r>
    <r>
      <rPr>
        <sz val="9"/>
        <color theme="1"/>
        <rFont val="Arial"/>
        <charset val="134"/>
      </rPr>
      <t>2019/10/18 20:30:00</t>
    </r>
  </si>
  <si>
    <r>
      <rPr>
        <sz val="9"/>
        <color theme="1"/>
        <rFont val="Microsoft JhengHei"/>
        <charset val="134"/>
      </rPr>
      <t>用户</t>
    </r>
    <r>
      <rPr>
        <sz val="9"/>
        <color theme="1"/>
        <rFont val="Arial"/>
        <charset val="134"/>
      </rPr>
      <t>:JohnnyAmy</t>
    </r>
  </si>
  <si>
    <r>
      <rPr>
        <sz val="9"/>
        <color theme="1"/>
        <rFont val="Microsoft JhengHei"/>
        <charset val="134"/>
      </rPr>
      <t>公司</t>
    </r>
    <r>
      <rPr>
        <sz val="9"/>
        <color theme="1"/>
        <rFont val="Arial"/>
        <charset val="134"/>
      </rPr>
      <t xml:space="preserve"> :Guangzhou Mailmail International Fowarding CO.,LTD</t>
    </r>
  </si>
  <si>
    <r>
      <rPr>
        <sz val="9"/>
        <color theme="1"/>
        <rFont val="Microsoft JhengHei"/>
        <charset val="134"/>
      </rPr>
      <t>邮箱</t>
    </r>
    <r>
      <rPr>
        <sz val="9"/>
        <color theme="1"/>
        <rFont val="Arial"/>
        <charset val="134"/>
      </rPr>
      <t>:Sampao@mailmailexp.com</t>
    </r>
  </si>
  <si>
    <r>
      <rPr>
        <sz val="9"/>
        <color theme="1"/>
        <rFont val="宋体"/>
        <charset val="134"/>
      </rPr>
      <t>电话：</t>
    </r>
    <r>
      <rPr>
        <sz val="9"/>
        <color theme="1"/>
        <rFont val="Arial"/>
        <charset val="134"/>
      </rPr>
      <t>+86 13570217212</t>
    </r>
  </si>
  <si>
    <t>发票信息：广州喵喵国际货运代理有限公司广州分公司</t>
  </si>
  <si>
    <r>
      <rPr>
        <sz val="9"/>
        <color theme="1"/>
        <rFont val="Microsoft JhengHei"/>
        <charset val="134"/>
      </rPr>
      <t>信用代码</t>
    </r>
    <r>
      <rPr>
        <sz val="9"/>
        <color theme="1"/>
        <rFont val="Arial"/>
        <charset val="134"/>
      </rPr>
      <t>:91440101MA59OXOJLW</t>
    </r>
  </si>
  <si>
    <t>联系人：李先生</t>
  </si>
  <si>
    <r>
      <rPr>
        <sz val="9"/>
        <color theme="1"/>
        <rFont val="宋体"/>
        <charset val="134"/>
      </rPr>
      <t>电话</t>
    </r>
    <r>
      <rPr>
        <sz val="9"/>
        <color theme="1"/>
        <rFont val="Arial"/>
        <charset val="134"/>
      </rPr>
      <t>+86 13570217212</t>
    </r>
  </si>
  <si>
    <r>
      <rPr>
        <sz val="9"/>
        <color theme="1"/>
        <rFont val="Microsoft JhengHei"/>
        <charset val="134"/>
      </rPr>
      <t>地址</t>
    </r>
    <r>
      <rPr>
        <sz val="9"/>
        <color theme="1"/>
        <rFont val="Arial"/>
        <charset val="134"/>
      </rPr>
      <t>:</t>
    </r>
    <r>
      <rPr>
        <sz val="9"/>
        <color theme="1"/>
        <rFont val="Microsoft JhengHei"/>
        <charset val="134"/>
      </rPr>
      <t>广东省广州市白云区黄石路江夏北二路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</si>
  <si>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开户行及账号：中国工商银行股份有限公司广州市同福中路支行 3602 0011 0920 1040 290</t>
  </si>
  <si>
    <t>CAN.CHN→LOS.NGN</t>
  </si>
  <si>
    <r>
      <rPr>
        <b/>
        <sz val="9"/>
        <color theme="1"/>
        <rFont val="Microsoft JhengHei"/>
        <charset val="134"/>
      </rPr>
      <t>发货人</t>
    </r>
  </si>
  <si>
    <r>
      <rPr>
        <b/>
        <sz val="9"/>
        <color theme="1"/>
        <rFont val="Microsoft JhengHei"/>
        <charset val="134"/>
      </rPr>
      <t>名字</t>
    </r>
  </si>
  <si>
    <r>
      <rPr>
        <b/>
        <sz val="9"/>
        <color theme="1"/>
        <rFont val="Microsoft JhengHei"/>
        <charset val="134"/>
      </rPr>
      <t>电话</t>
    </r>
  </si>
  <si>
    <r>
      <rPr>
        <b/>
        <sz val="9"/>
        <color theme="1"/>
        <rFont val="Microsoft JhengHei"/>
        <charset val="134"/>
      </rPr>
      <t>详细地址</t>
    </r>
  </si>
  <si>
    <r>
      <rPr>
        <b/>
        <sz val="9"/>
        <color theme="1"/>
        <rFont val="Microsoft JhengHei"/>
        <charset val="134"/>
      </rPr>
      <t>区</t>
    </r>
  </si>
  <si>
    <r>
      <rPr>
        <b/>
        <sz val="9"/>
        <color theme="1"/>
        <rFont val="Microsoft JhengHei"/>
        <charset val="134"/>
      </rPr>
      <t>城市</t>
    </r>
  </si>
  <si>
    <r>
      <rPr>
        <b/>
        <sz val="9"/>
        <color theme="1"/>
        <rFont val="Microsoft JhengHei"/>
        <charset val="134"/>
      </rPr>
      <t>国家</t>
    </r>
  </si>
  <si>
    <t>AkinGbolahan</t>
  </si>
  <si>
    <t>+233 0508319735</t>
  </si>
  <si>
    <r>
      <rPr>
        <sz val="9"/>
        <color theme="1"/>
        <rFont val="Microsoft JhengHei"/>
        <charset val="134"/>
      </rPr>
      <t>黄石路江夏北二路</t>
    </r>
    <r>
      <rPr>
        <sz val="9"/>
        <color theme="1"/>
        <rFont val="Arial"/>
        <charset val="134"/>
      </rPr>
      <t>3</t>
    </r>
    <r>
      <rPr>
        <sz val="9"/>
        <color theme="1"/>
        <rFont val="Microsoft JhengHei"/>
        <charset val="134"/>
      </rPr>
      <t>号云商易城</t>
    </r>
    <r>
      <rPr>
        <sz val="9"/>
        <color theme="1"/>
        <rFont val="Arial"/>
        <charset val="134"/>
      </rPr>
      <t>B</t>
    </r>
    <r>
      <rPr>
        <sz val="9"/>
        <color theme="1"/>
        <rFont val="Microsoft JhengHei"/>
        <charset val="134"/>
      </rPr>
      <t>栋</t>
    </r>
    <r>
      <rPr>
        <sz val="9"/>
        <color theme="1"/>
        <rFont val="Arial"/>
        <charset val="134"/>
      </rPr>
      <t>110</t>
    </r>
  </si>
  <si>
    <t>Baiyun</t>
  </si>
  <si>
    <t>GUANGZHOU</t>
  </si>
  <si>
    <t>CHINA</t>
  </si>
  <si>
    <r>
      <rPr>
        <b/>
        <sz val="9"/>
        <color theme="1"/>
        <rFont val="Microsoft JhengHei"/>
        <charset val="134"/>
      </rPr>
      <t>收货人</t>
    </r>
    <r>
      <rPr>
        <b/>
        <sz val="9"/>
        <color rgb="FFFF0000"/>
        <rFont val="Arial"/>
        <charset val="134"/>
      </rPr>
      <t>@</t>
    </r>
  </si>
  <si>
    <t>SAMPAO</t>
  </si>
  <si>
    <t>+233 501234567</t>
  </si>
  <si>
    <t>5 Mojidi Street (by Eco Bank) Off Toyin Street</t>
  </si>
  <si>
    <t>LUDO</t>
  </si>
  <si>
    <t>ACCARA</t>
  </si>
  <si>
    <t>GHANA</t>
  </si>
  <si>
    <t>展开状态栏</t>
  </si>
  <si>
    <r>
      <rPr>
        <b/>
        <sz val="9"/>
        <color theme="1"/>
        <rFont val="Microsoft JhengHei"/>
        <charset val="134"/>
      </rPr>
      <t>订单初始信息</t>
    </r>
  </si>
  <si>
    <r>
      <rPr>
        <b/>
        <sz val="9"/>
        <color theme="1"/>
        <rFont val="Microsoft JhengHei"/>
        <charset val="134"/>
      </rPr>
      <t>第三方运单</t>
    </r>
  </si>
  <si>
    <r>
      <rPr>
        <b/>
        <sz val="9"/>
        <color theme="1"/>
        <rFont val="Microsoft JhengHei"/>
        <charset val="134"/>
      </rPr>
      <t>状态</t>
    </r>
  </si>
  <si>
    <r>
      <rPr>
        <b/>
        <sz val="9"/>
        <color theme="1"/>
        <rFont val="Microsoft JhengHei"/>
        <charset val="134"/>
      </rPr>
      <t>更新日期</t>
    </r>
  </si>
  <si>
    <r>
      <rPr>
        <b/>
        <sz val="9"/>
        <color theme="1"/>
        <rFont val="Microsoft JhengHei"/>
        <charset val="134"/>
      </rPr>
      <t>品名</t>
    </r>
  </si>
  <si>
    <r>
      <rPr>
        <b/>
        <sz val="9"/>
        <color theme="1"/>
        <rFont val="Microsoft JhengHei"/>
        <charset val="134"/>
      </rPr>
      <t>类别</t>
    </r>
  </si>
  <si>
    <r>
      <rPr>
        <b/>
        <sz val="9"/>
        <color theme="1"/>
        <rFont val="Microsoft JhengHei"/>
        <charset val="134"/>
      </rPr>
      <t>说明</t>
    </r>
  </si>
  <si>
    <r>
      <rPr>
        <b/>
        <sz val="9"/>
        <color theme="1"/>
        <rFont val="Microsoft JhengHei"/>
        <charset val="134"/>
      </rPr>
      <t>重量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</si>
  <si>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货值</t>
    </r>
    <r>
      <rPr>
        <b/>
        <sz val="9"/>
        <color theme="1"/>
        <rFont val="Arial"/>
        <charset val="134"/>
      </rPr>
      <t>USD</t>
    </r>
  </si>
  <si>
    <r>
      <rPr>
        <b/>
        <sz val="9"/>
        <color theme="1"/>
        <rFont val="Microsoft JhengHei"/>
        <charset val="134"/>
      </rPr>
      <t>备注</t>
    </r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</si>
  <si>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</si>
  <si>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t>未签收</t>
  </si>
  <si>
    <t>Seat cushion</t>
  </si>
  <si>
    <r>
      <rPr>
        <sz val="9"/>
        <color theme="1"/>
        <rFont val="Microsoft JhengHei"/>
        <charset val="134"/>
      </rPr>
      <t>日用百货</t>
    </r>
  </si>
  <si>
    <r>
      <rPr>
        <sz val="9"/>
        <color theme="1"/>
        <rFont val="Microsoft JhengHei"/>
        <charset val="134"/>
      </rPr>
      <t>普货</t>
    </r>
  </si>
  <si>
    <r>
      <rPr>
        <sz val="9"/>
        <color theme="1"/>
        <rFont val="宋体"/>
        <charset val="134"/>
      </rPr>
      <t>我们一起去吃饭好不好啊</t>
    </r>
  </si>
  <si>
    <r>
      <rPr>
        <sz val="9"/>
        <color theme="1"/>
        <rFont val="Microsoft JhengHei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</si>
  <si>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已签收</t>
  </si>
  <si>
    <t>maching parts</t>
  </si>
  <si>
    <r>
      <rPr>
        <sz val="9"/>
        <color theme="1"/>
        <rFont val="Microsoft JhengHei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</si>
  <si>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Microsoft JhengHei"/>
        <charset val="134"/>
      </rPr>
      <t>已入库</t>
    </r>
  </si>
  <si>
    <t>clothes</t>
  </si>
  <si>
    <r>
      <rPr>
        <sz val="9"/>
        <color theme="1"/>
        <rFont val="Microsoft JhengHei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</si>
  <si>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Microsoft JhengHei"/>
        <charset val="134"/>
      </rPr>
      <t>已删除</t>
    </r>
  </si>
  <si>
    <t>huoguolu</t>
  </si>
  <si>
    <r>
      <rPr>
        <sz val="9"/>
        <color rgb="FFFF0000"/>
        <rFont val="Microsoft JhengHei"/>
        <charset val="134"/>
      </rPr>
      <t>圆通速递</t>
    </r>
    <r>
      <rPr>
        <sz val="9"/>
        <color rgb="FFFF0000"/>
        <rFont val="Arial"/>
        <charset val="134"/>
      </rPr>
      <t xml:space="preserve">  YT4144353928655</t>
    </r>
  </si>
  <si>
    <r>
      <rPr>
        <sz val="9"/>
        <color rgb="FFFF0000"/>
        <rFont val="Microsoft JhengHei"/>
        <charset val="134"/>
      </rPr>
      <t>已删除</t>
    </r>
  </si>
  <si>
    <r>
      <rPr>
        <sz val="9"/>
        <color rgb="FFFF0000"/>
        <rFont val="Microsoft JhengHei"/>
        <charset val="134"/>
      </rPr>
      <t>日用百货</t>
    </r>
  </si>
  <si>
    <r>
      <rPr>
        <sz val="9"/>
        <color rgb="FFFF0000"/>
        <rFont val="Microsoft JhengHei"/>
        <charset val="134"/>
      </rPr>
      <t>普货</t>
    </r>
  </si>
  <si>
    <r>
      <rPr>
        <sz val="9"/>
        <color rgb="FFFF0000"/>
        <rFont val="Microsoft JhengHei"/>
        <charset val="134"/>
      </rPr>
      <t>顺丰速运</t>
    </r>
    <r>
      <rPr>
        <sz val="9"/>
        <color rgb="FFFF0000"/>
        <rFont val="Arial"/>
        <charset val="134"/>
      </rPr>
      <t xml:space="preserve">  163262639592</t>
    </r>
  </si>
  <si>
    <r>
      <rPr>
        <sz val="9"/>
        <color theme="9" tint="-0.25"/>
        <rFont val="Microsoft JhengHei"/>
        <charset val="134"/>
      </rPr>
      <t>韵达快递</t>
    </r>
    <r>
      <rPr>
        <sz val="9"/>
        <color theme="9" tint="-0.25"/>
        <rFont val="Arial"/>
        <charset val="134"/>
      </rPr>
      <t xml:space="preserve">  4301576169763</t>
    </r>
  </si>
  <si>
    <r>
      <rPr>
        <sz val="9"/>
        <color theme="9" tint="-0.25"/>
        <rFont val="Microsoft JhengHei"/>
        <charset val="134"/>
      </rPr>
      <t>已删除</t>
    </r>
  </si>
  <si>
    <t>Unkonw</t>
  </si>
  <si>
    <t>cylinder cover</t>
  </si>
  <si>
    <r>
      <rPr>
        <sz val="9"/>
        <color theme="9" tint="-0.25"/>
        <rFont val="Microsoft JhengHei"/>
        <charset val="134"/>
      </rPr>
      <t>日用百货</t>
    </r>
  </si>
  <si>
    <r>
      <rPr>
        <sz val="9"/>
        <color theme="9" tint="-0.25"/>
        <rFont val="Microsoft JhengHei"/>
        <charset val="134"/>
      </rPr>
      <t>普货</t>
    </r>
  </si>
  <si>
    <r>
      <rPr>
        <b/>
        <sz val="9"/>
        <color theme="1"/>
        <rFont val="Microsoft JhengHei"/>
        <charset val="134"/>
      </rPr>
      <t>订单实际信息</t>
    </r>
  </si>
  <si>
    <r>
      <rPr>
        <b/>
        <sz val="9"/>
        <color theme="1"/>
        <rFont val="Microsoft JhengHei"/>
        <charset val="134"/>
      </rPr>
      <t>订单号</t>
    </r>
  </si>
  <si>
    <r>
      <rPr>
        <b/>
        <sz val="9"/>
        <color theme="1"/>
        <rFont val="Microsoft JhengHei"/>
        <charset val="134"/>
      </rPr>
      <t>集装号</t>
    </r>
  </si>
  <si>
    <t>状态</t>
  </si>
  <si>
    <r>
      <rPr>
        <b/>
        <sz val="9"/>
        <color theme="1"/>
        <rFont val="Microsoft JhengHei"/>
        <charset val="134"/>
      </rPr>
      <t>尺寸</t>
    </r>
    <r>
      <rPr>
        <b/>
        <sz val="9"/>
        <color theme="1"/>
        <rFont val="Arial"/>
        <charset val="134"/>
      </rPr>
      <t>cm</t>
    </r>
  </si>
  <si>
    <r>
      <rPr>
        <b/>
        <sz val="9"/>
        <color theme="1"/>
        <rFont val="Microsoft JhengHei"/>
        <charset val="134"/>
      </rPr>
      <t>件数</t>
    </r>
  </si>
  <si>
    <r>
      <rPr>
        <b/>
        <sz val="9"/>
        <color theme="1"/>
        <rFont val="Microsoft JhengHei"/>
        <charset val="134"/>
      </rPr>
      <t>体积</t>
    </r>
    <r>
      <rPr>
        <b/>
        <sz val="9"/>
        <color theme="1"/>
        <rFont val="Arial"/>
        <charset val="134"/>
      </rPr>
      <t>CBM</t>
    </r>
  </si>
  <si>
    <r>
      <rPr>
        <b/>
        <sz val="9"/>
        <color theme="1"/>
        <rFont val="Microsoft JhengHei"/>
        <charset val="134"/>
      </rPr>
      <t>体积重</t>
    </r>
    <r>
      <rPr>
        <b/>
        <sz val="9"/>
        <color theme="1"/>
        <rFont val="Arial"/>
        <charset val="134"/>
      </rPr>
      <t>Kg</t>
    </r>
  </si>
  <si>
    <r>
      <rPr>
        <b/>
        <sz val="9"/>
        <color theme="1"/>
        <rFont val="Microsoft JhengHei"/>
        <charset val="134"/>
      </rPr>
      <t>毛重</t>
    </r>
    <r>
      <rPr>
        <b/>
        <sz val="9"/>
        <color theme="1"/>
        <rFont val="Arial"/>
        <charset val="134"/>
      </rPr>
      <t>Kg</t>
    </r>
  </si>
  <si>
    <t>顺丰速运  SF1012605193752</t>
  </si>
  <si>
    <t>190910000021</t>
  </si>
  <si>
    <t>AK1</t>
  </si>
  <si>
    <t>已集装</t>
  </si>
  <si>
    <t>24.5*20*17.5</t>
  </si>
  <si>
    <t>190910000021-1</t>
  </si>
  <si>
    <t>AK2</t>
  </si>
  <si>
    <t>18*11.5*9</t>
  </si>
  <si>
    <t>190910000021-2</t>
  </si>
  <si>
    <t>AK5</t>
  </si>
  <si>
    <t>29*18*10</t>
  </si>
  <si>
    <t>190910000021-3</t>
  </si>
  <si>
    <t>40*36*17</t>
  </si>
  <si>
    <t>应收明细</t>
  </si>
  <si>
    <t>项目</t>
  </si>
  <si>
    <r>
      <rPr>
        <b/>
        <sz val="9"/>
        <color theme="1"/>
        <rFont val="宋体"/>
        <charset val="134"/>
      </rPr>
      <t>单价</t>
    </r>
    <r>
      <rPr>
        <b/>
        <sz val="9"/>
        <color theme="1"/>
        <rFont val="Arial"/>
        <charset val="134"/>
      </rPr>
      <t>USD</t>
    </r>
  </si>
  <si>
    <t>数量</t>
  </si>
  <si>
    <r>
      <rPr>
        <b/>
        <sz val="9"/>
        <color theme="1"/>
        <rFont val="宋体"/>
        <charset val="134"/>
      </rPr>
      <t>小计</t>
    </r>
    <r>
      <rPr>
        <b/>
        <sz val="9"/>
        <color theme="1"/>
        <rFont val="Arial"/>
        <charset val="134"/>
      </rPr>
      <t>USD</t>
    </r>
  </si>
  <si>
    <t>录入账号</t>
  </si>
  <si>
    <t>录入日期</t>
  </si>
  <si>
    <r>
      <rPr>
        <sz val="9"/>
        <color theme="1"/>
        <rFont val="宋体"/>
        <charset val="134"/>
      </rPr>
      <t>首重</t>
    </r>
  </si>
  <si>
    <r>
      <rPr>
        <sz val="9"/>
        <color theme="1"/>
        <rFont val="宋体"/>
        <charset val="134"/>
      </rPr>
      <t>续重</t>
    </r>
  </si>
  <si>
    <r>
      <rPr>
        <sz val="9"/>
        <color theme="1"/>
        <rFont val="宋体"/>
        <charset val="134"/>
      </rPr>
      <t>扣减运费</t>
    </r>
  </si>
  <si>
    <r>
      <rPr>
        <sz val="9"/>
        <color theme="1"/>
        <rFont val="宋体"/>
        <charset val="134"/>
      </rPr>
      <t>进口报关费</t>
    </r>
  </si>
  <si>
    <r>
      <rPr>
        <sz val="9"/>
        <color theme="1"/>
        <rFont val="宋体"/>
        <charset val="134"/>
      </rPr>
      <t>到门费用</t>
    </r>
  </si>
  <si>
    <r>
      <rPr>
        <sz val="9"/>
        <color theme="1"/>
        <rFont val="宋体"/>
        <charset val="134"/>
      </rPr>
      <t>折扣</t>
    </r>
  </si>
  <si>
    <r>
      <rPr>
        <b/>
        <sz val="11"/>
        <color theme="1"/>
        <rFont val="宋体"/>
        <charset val="134"/>
      </rPr>
      <t>合计</t>
    </r>
    <r>
      <rPr>
        <b/>
        <sz val="11"/>
        <color theme="1"/>
        <rFont val="Arial"/>
        <charset val="134"/>
      </rPr>
      <t>USD</t>
    </r>
  </si>
  <si>
    <r>
      <rPr>
        <b/>
        <sz val="11"/>
        <color rgb="FFFF0000"/>
        <rFont val="宋体"/>
        <charset val="134"/>
      </rPr>
      <t>汇率</t>
    </r>
    <r>
      <rPr>
        <b/>
        <sz val="11"/>
        <color rgb="FFFF0000"/>
        <rFont val="Arial"/>
        <charset val="134"/>
      </rPr>
      <t>:USD1.00=NGN535.00</t>
    </r>
  </si>
  <si>
    <r>
      <rPr>
        <b/>
        <sz val="11"/>
        <color rgb="FFFF0000"/>
        <rFont val="宋体"/>
        <charset val="134"/>
      </rPr>
      <t>折合当地货币</t>
    </r>
    <r>
      <rPr>
        <b/>
        <sz val="11"/>
        <color rgb="FFFF0000"/>
        <rFont val="Arial"/>
        <charset val="134"/>
      </rPr>
      <t>NGN</t>
    </r>
  </si>
  <si>
    <r>
      <rPr>
        <sz val="9"/>
        <color rgb="FF0070C0"/>
        <rFont val="宋体"/>
        <charset val="134"/>
      </rPr>
      <t>支付途径：公账工（</t>
    </r>
    <r>
      <rPr>
        <sz val="9"/>
        <color rgb="FF0070C0"/>
        <rFont val="Arial"/>
        <charset val="134"/>
      </rPr>
      <t>7228</t>
    </r>
    <r>
      <rPr>
        <sz val="9"/>
        <color rgb="FF0070C0"/>
        <rFont val="宋体"/>
        <charset val="134"/>
      </rPr>
      <t>）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查看凭证</t>
    </r>
  </si>
  <si>
    <r>
      <rPr>
        <sz val="9"/>
        <color rgb="FF0070C0"/>
        <rFont val="宋体"/>
        <charset val="134"/>
      </rPr>
      <t>支付日期：</t>
    </r>
    <r>
      <rPr>
        <sz val="9"/>
        <color rgb="FF0070C0"/>
        <rFont val="Arial"/>
        <charset val="134"/>
      </rPr>
      <t>019/10/18 20:30:00</t>
    </r>
  </si>
  <si>
    <r>
      <rPr>
        <sz val="9"/>
        <color rgb="FF0070C0"/>
        <rFont val="宋体"/>
        <charset val="134"/>
      </rPr>
      <t>运价列表</t>
    </r>
  </si>
  <si>
    <r>
      <rPr>
        <sz val="9"/>
        <color rgb="FF0070C0"/>
        <rFont val="宋体"/>
        <charset val="134"/>
      </rPr>
      <t>导出账单</t>
    </r>
  </si>
  <si>
    <r>
      <rPr>
        <b/>
        <sz val="9"/>
        <color theme="0"/>
        <rFont val="宋体"/>
        <charset val="134"/>
      </rPr>
      <t>返回</t>
    </r>
    <r>
      <rPr>
        <b/>
        <sz val="9"/>
        <color theme="0"/>
        <rFont val="Arial"/>
        <charset val="134"/>
      </rPr>
      <t xml:space="preserve"> </t>
    </r>
    <r>
      <rPr>
        <b/>
        <sz val="9"/>
        <color theme="0"/>
        <rFont val="宋体"/>
        <charset val="134"/>
      </rPr>
      <t>打印面单</t>
    </r>
  </si>
  <si>
    <r>
      <rPr>
        <b/>
        <sz val="9"/>
        <color rgb="FF0070C0"/>
        <rFont val="宋体"/>
        <charset val="134"/>
      </rPr>
      <t>收起状态栏</t>
    </r>
  </si>
  <si>
    <t>JOB123456</t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</si>
  <si>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SF1012605193752</t>
    </r>
  </si>
  <si>
    <r>
      <rPr>
        <sz val="9"/>
        <color theme="1"/>
        <rFont val="Arial"/>
        <charset val="134"/>
      </rPr>
      <t xml:space="preserve">CAN-HKG-ADD-LOS    ET     071-12345678    AK2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20:30:01     </t>
    </r>
    <r>
      <rPr>
        <sz val="9"/>
        <color rgb="FF0070C0"/>
        <rFont val="宋体"/>
        <charset val="134"/>
      </rPr>
      <t>展开</t>
    </r>
  </si>
  <si>
    <t>JOB123457</t>
  </si>
  <si>
    <t>190910000021 001</t>
  </si>
  <si>
    <r>
      <rPr>
        <sz val="9"/>
        <color theme="1"/>
        <rFont val="宋体"/>
        <charset val="134"/>
      </rPr>
      <t>韵达快递</t>
    </r>
    <r>
      <rPr>
        <sz val="9"/>
        <color theme="1"/>
        <rFont val="Arial"/>
        <charset val="134"/>
      </rPr>
      <t xml:space="preserve">  4301568788544</t>
    </r>
  </si>
  <si>
    <t>JOB123458</t>
  </si>
  <si>
    <t>190910000021 002</t>
  </si>
  <si>
    <r>
      <rPr>
        <sz val="9"/>
        <color theme="1"/>
        <rFont val="宋体"/>
        <charset val="134"/>
      </rPr>
      <t>圆通速递</t>
    </r>
    <r>
      <rPr>
        <sz val="9"/>
        <color theme="1"/>
        <rFont val="Arial"/>
        <charset val="134"/>
      </rPr>
      <t xml:space="preserve">  YT4144353928655</t>
    </r>
  </si>
  <si>
    <r>
      <rPr>
        <sz val="9"/>
        <color theme="1"/>
        <rFont val="Arial"/>
        <charset val="134"/>
      </rPr>
      <t xml:space="preserve">CAN-HKG-ADD-LOS    ET     071-12345678    AK5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20:30:02    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展开</t>
    </r>
  </si>
  <si>
    <t>JOB123459</t>
  </si>
  <si>
    <t>190910000021 003</t>
  </si>
  <si>
    <r>
      <rPr>
        <sz val="9"/>
        <color theme="1"/>
        <rFont val="宋体"/>
        <charset val="134"/>
      </rPr>
      <t>顺丰速运</t>
    </r>
    <r>
      <rPr>
        <sz val="9"/>
        <color theme="1"/>
        <rFont val="Arial"/>
        <charset val="134"/>
      </rPr>
      <t xml:space="preserve">  163262639592</t>
    </r>
  </si>
  <si>
    <r>
      <rPr>
        <sz val="9"/>
        <color theme="1"/>
        <rFont val="Arial"/>
        <charset val="134"/>
      </rPr>
      <t xml:space="preserve">CAN-HKG-ADD-LOS    ET     071-12345678    AK1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2019/10/18 20:30:03     </t>
    </r>
    <r>
      <rPr>
        <sz val="9"/>
        <color rgb="FF0070C0"/>
        <rFont val="宋体"/>
        <charset val="134"/>
      </rPr>
      <t>展开</t>
    </r>
  </si>
  <si>
    <t>支付途径</t>
  </si>
  <si>
    <t>预付  已付</t>
  </si>
  <si>
    <r>
      <rPr>
        <sz val="8"/>
        <color theme="1"/>
        <rFont val="宋体"/>
        <charset val="134"/>
      </rPr>
      <t>公账工（</t>
    </r>
    <r>
      <rPr>
        <sz val="8"/>
        <color theme="1"/>
        <rFont val="Arial"/>
        <charset val="134"/>
      </rPr>
      <t>7228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宋体"/>
        <charset val="134"/>
      </rPr>
      <t>查看凭证</t>
    </r>
    <r>
      <rPr>
        <sz val="8"/>
        <color theme="1"/>
        <rFont val="Arial"/>
        <charset val="134"/>
      </rPr>
      <t>019/10/18 20:30:00</t>
    </r>
  </si>
  <si>
    <t>2341234567890</t>
  </si>
  <si>
    <t>收起状态栏</t>
  </si>
  <si>
    <t>AK2    190910000021</t>
  </si>
  <si>
    <r>
      <rPr>
        <sz val="9"/>
        <color theme="1"/>
        <rFont val="Arial"/>
        <charset val="134"/>
      </rPr>
      <t xml:space="preserve">CAN-HKG-ADD-LOS      ET       071-12345678  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 2019/10/18 20:30:01     </t>
    </r>
    <r>
      <rPr>
        <sz val="9"/>
        <color rgb="FF0070C0"/>
        <rFont val="宋体"/>
        <charset val="134"/>
      </rPr>
      <t>展开</t>
    </r>
  </si>
  <si>
    <r>
      <rPr>
        <sz val="9"/>
        <color theme="1"/>
        <rFont val="Microsoft JhengHei"/>
        <charset val="134"/>
      </rPr>
      <t>站点</t>
    </r>
    <r>
      <rPr>
        <sz val="9"/>
        <color theme="1"/>
        <rFont val="Arial"/>
        <charset val="134"/>
      </rPr>
      <t>1</t>
    </r>
  </si>
  <si>
    <t>入库</t>
  </si>
  <si>
    <t>集装</t>
  </si>
  <si>
    <t>离库</t>
  </si>
  <si>
    <r>
      <rPr>
        <sz val="9"/>
        <color theme="1"/>
        <rFont val="Microsoft JhengHei"/>
        <charset val="134"/>
      </rPr>
      <t>白云区站点</t>
    </r>
    <r>
      <rPr>
        <sz val="9"/>
        <color theme="1"/>
        <rFont val="Arial"/>
        <charset val="134"/>
      </rPr>
      <t xml:space="preserve">                                 </t>
    </r>
    <r>
      <rPr>
        <sz val="9"/>
        <color theme="1"/>
        <rFont val="Microsoft JhengHei"/>
        <charset val="134"/>
      </rPr>
      <t>（广州总调度中心）</t>
    </r>
  </si>
  <si>
    <t>到达机场</t>
  </si>
  <si>
    <t>报关</t>
  </si>
  <si>
    <t>查验</t>
  </si>
  <si>
    <t>放行</t>
  </si>
  <si>
    <t>离境</t>
  </si>
  <si>
    <r>
      <rPr>
        <sz val="9"/>
        <color theme="1"/>
        <rFont val="Microsoft JhengHei"/>
        <charset val="134"/>
      </rPr>
      <t>伊科贾站点</t>
    </r>
    <r>
      <rPr>
        <sz val="9"/>
        <color theme="1"/>
        <rFont val="Arial"/>
        <charset val="134"/>
      </rPr>
      <t xml:space="preserve">                              </t>
    </r>
    <r>
      <rPr>
        <sz val="9"/>
        <color theme="1"/>
        <rFont val="Microsoft JhengHei"/>
        <charset val="134"/>
      </rPr>
      <t>（拉各斯总调度中心）</t>
    </r>
  </si>
  <si>
    <r>
      <rPr>
        <sz val="9"/>
        <color theme="1"/>
        <rFont val="Microsoft JhengHei"/>
        <charset val="134"/>
      </rPr>
      <t>甲毕站点</t>
    </r>
    <r>
      <rPr>
        <sz val="9"/>
        <color theme="1"/>
        <rFont val="Arial"/>
        <charset val="134"/>
      </rPr>
      <t xml:space="preserve">                                   </t>
    </r>
    <r>
      <rPr>
        <sz val="9"/>
        <color theme="1"/>
        <rFont val="Microsoft JhengHei"/>
        <charset val="134"/>
      </rPr>
      <t>（阿布贾调度中心）</t>
    </r>
  </si>
  <si>
    <r>
      <rPr>
        <sz val="9"/>
        <color theme="1"/>
        <rFont val="Microsoft JhengHei"/>
        <charset val="134"/>
      </rPr>
      <t>站点</t>
    </r>
    <r>
      <rPr>
        <sz val="9"/>
        <color theme="1"/>
        <rFont val="Arial"/>
        <charset val="134"/>
      </rPr>
      <t>4</t>
    </r>
  </si>
  <si>
    <t>通知</t>
  </si>
  <si>
    <t>已完成</t>
  </si>
  <si>
    <t>AK2    190910000021 001</t>
  </si>
  <si>
    <t>AK5    190910000021 002</t>
  </si>
  <si>
    <r>
      <rPr>
        <sz val="9"/>
        <color theme="1"/>
        <rFont val="Arial"/>
        <charset val="134"/>
      </rPr>
      <t xml:space="preserve">CAN-HKG-ADD-LOS      ET       071-12345678  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 2019/10/18 20:30:02    </t>
    </r>
    <r>
      <rPr>
        <sz val="9"/>
        <color rgb="FF0070C0"/>
        <rFont val="Arial"/>
        <charset val="134"/>
      </rPr>
      <t xml:space="preserve"> </t>
    </r>
    <r>
      <rPr>
        <sz val="9"/>
        <color rgb="FF0070C0"/>
        <rFont val="宋体"/>
        <charset val="134"/>
      </rPr>
      <t>展开</t>
    </r>
  </si>
  <si>
    <t>AK1    190910000021 003</t>
  </si>
  <si>
    <r>
      <rPr>
        <sz val="9"/>
        <color theme="1"/>
        <rFont val="Arial"/>
        <charset val="134"/>
      </rPr>
      <t xml:space="preserve">CAN-HKG-ADD-LOS      ET       071-12345678      </t>
    </r>
    <r>
      <rPr>
        <sz val="9"/>
        <color theme="1"/>
        <rFont val="宋体"/>
        <charset val="134"/>
      </rPr>
      <t>已完成</t>
    </r>
    <r>
      <rPr>
        <sz val="9"/>
        <color theme="1"/>
        <rFont val="Arial"/>
        <charset val="134"/>
      </rPr>
      <t xml:space="preserve">      2019/10/18 20:30:03     </t>
    </r>
    <r>
      <rPr>
        <sz val="9"/>
        <color rgb="FF0070C0"/>
        <rFont val="宋体"/>
        <charset val="134"/>
      </rPr>
      <t>展开</t>
    </r>
  </si>
  <si>
    <t>录入账号/日期</t>
  </si>
  <si>
    <t>SAMPAO 2019/10/18 20:30:00</t>
  </si>
  <si>
    <r>
      <rPr>
        <sz val="8"/>
        <color theme="1"/>
        <rFont val="宋体"/>
        <charset val="134"/>
      </rPr>
      <t>公账工（</t>
    </r>
    <r>
      <rPr>
        <sz val="8"/>
        <color theme="1"/>
        <rFont val="Arial"/>
        <charset val="134"/>
      </rPr>
      <t>7228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宋体"/>
        <charset val="134"/>
      </rPr>
      <t>查看凭证</t>
    </r>
    <r>
      <rPr>
        <sz val="8"/>
        <color theme="1"/>
        <rFont val="Arial"/>
        <charset val="134"/>
      </rPr>
      <t>019/10/18 20:30:001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                 </t>
    </r>
    <r>
      <rPr>
        <sz val="8"/>
        <color theme="1"/>
        <rFont val="宋体"/>
        <charset val="134"/>
      </rPr>
      <t>公账工（</t>
    </r>
    <r>
      <rPr>
        <sz val="8"/>
        <color theme="1"/>
        <rFont val="Arial"/>
        <charset val="134"/>
      </rPr>
      <t>7228</t>
    </r>
    <r>
      <rPr>
        <sz val="8"/>
        <color theme="1"/>
        <rFont val="宋体"/>
        <charset val="134"/>
      </rPr>
      <t>）</t>
    </r>
    <r>
      <rPr>
        <sz val="8"/>
        <color theme="1"/>
        <rFont val="Arial"/>
        <charset val="134"/>
      </rPr>
      <t xml:space="preserve"> </t>
    </r>
    <r>
      <rPr>
        <sz val="8"/>
        <color theme="1"/>
        <rFont val="宋体"/>
        <charset val="134"/>
      </rPr>
      <t>查看凭证</t>
    </r>
    <r>
      <rPr>
        <sz val="8"/>
        <color theme="1"/>
        <rFont val="Arial"/>
        <charset val="134"/>
      </rPr>
      <t>019/10/18 20:30:00</t>
    </r>
  </si>
  <si>
    <t>查看</t>
  </si>
  <si>
    <t>历史价格</t>
  </si>
  <si>
    <t>当前价格</t>
  </si>
  <si>
    <t>2019看12月10日</t>
  </si>
  <si>
    <t>更多</t>
  </si>
  <si>
    <t>返回</t>
  </si>
  <si>
    <t>CAN.CHN-LOS.NGA</t>
  </si>
  <si>
    <r>
      <rPr>
        <b/>
        <sz val="10"/>
        <color theme="1"/>
        <rFont val="Microsoft JhengHei"/>
        <charset val="134"/>
      </rPr>
      <t>时效</t>
    </r>
    <r>
      <rPr>
        <b/>
        <sz val="10"/>
        <color theme="1"/>
        <rFont val="Arial"/>
        <charset val="134"/>
      </rPr>
      <t xml:space="preserve"> 5-7</t>
    </r>
    <r>
      <rPr>
        <b/>
        <sz val="10"/>
        <color theme="1"/>
        <rFont val="Microsoft JhengHei"/>
        <charset val="134"/>
      </rPr>
      <t>工作天</t>
    </r>
  </si>
  <si>
    <r>
      <rPr>
        <sz val="8"/>
        <color theme="1"/>
        <rFont val="Microsoft JhengHei"/>
        <charset val="134"/>
      </rPr>
      <t>更新日期：</t>
    </r>
    <r>
      <rPr>
        <sz val="8"/>
        <color theme="1"/>
        <rFont val="Arial"/>
        <charset val="134"/>
      </rPr>
      <t>2016</t>
    </r>
    <r>
      <rPr>
        <sz val="8"/>
        <color theme="1"/>
        <rFont val="Microsoft JhengHei"/>
        <charset val="134"/>
      </rPr>
      <t>年</t>
    </r>
    <r>
      <rPr>
        <sz val="8"/>
        <color theme="1"/>
        <rFont val="Arial"/>
        <charset val="134"/>
      </rPr>
      <t>5</t>
    </r>
    <r>
      <rPr>
        <sz val="8"/>
        <color theme="1"/>
        <rFont val="Microsoft JhengHei"/>
        <charset val="134"/>
      </rPr>
      <t>月</t>
    </r>
    <r>
      <rPr>
        <sz val="8"/>
        <color theme="1"/>
        <rFont val="Arial"/>
        <charset val="134"/>
      </rPr>
      <t>20</t>
    </r>
    <r>
      <rPr>
        <sz val="8"/>
        <color theme="1"/>
        <rFont val="Microsoft JhengHei"/>
        <charset val="134"/>
      </rPr>
      <t>日</t>
    </r>
    <r>
      <rPr>
        <sz val="8"/>
        <color theme="1"/>
        <rFont val="Arial"/>
        <charset val="134"/>
      </rPr>
      <t xml:space="preserve">15:30 </t>
    </r>
    <r>
      <rPr>
        <b/>
        <sz val="8"/>
        <color rgb="FF0070C0"/>
        <rFont val="宋体"/>
        <charset val="134"/>
      </rPr>
      <t>历史价格</t>
    </r>
  </si>
  <si>
    <r>
      <rPr>
        <b/>
        <sz val="11"/>
        <color theme="1"/>
        <rFont val="Microsoft JhengHei"/>
        <charset val="134"/>
      </rPr>
      <t>项目</t>
    </r>
  </si>
  <si>
    <r>
      <rPr>
        <b/>
        <sz val="11"/>
        <color theme="1"/>
        <rFont val="Microsoft JhengHei"/>
        <charset val="134"/>
      </rPr>
      <t>重量值</t>
    </r>
    <r>
      <rPr>
        <b/>
        <sz val="11"/>
        <color theme="1"/>
        <rFont val="Arial"/>
        <charset val="134"/>
      </rPr>
      <t>KG</t>
    </r>
  </si>
  <si>
    <r>
      <rPr>
        <b/>
        <sz val="11"/>
        <color theme="1"/>
        <rFont val="Microsoft JhengHei"/>
        <charset val="134"/>
      </rPr>
      <t>预付</t>
    </r>
  </si>
  <si>
    <r>
      <rPr>
        <b/>
        <sz val="11"/>
        <color theme="1"/>
        <rFont val="Microsoft JhengHei"/>
        <charset val="134"/>
      </rPr>
      <t>到付</t>
    </r>
  </si>
  <si>
    <t>(CNY)</t>
  </si>
  <si>
    <t>(USD)</t>
  </si>
  <si>
    <r>
      <rPr>
        <sz val="11"/>
        <color theme="1"/>
        <rFont val="宋体"/>
        <charset val="134"/>
      </rPr>
      <t>等级重量</t>
    </r>
  </si>
  <si>
    <r>
      <rPr>
        <sz val="11"/>
        <color theme="1"/>
        <rFont val="宋体"/>
        <charset val="134"/>
      </rPr>
      <t>首重</t>
    </r>
  </si>
  <si>
    <t>1KG</t>
  </si>
  <si>
    <r>
      <rPr>
        <sz val="11"/>
        <color theme="1"/>
        <rFont val="宋体"/>
        <charset val="134"/>
      </rPr>
      <t>续重</t>
    </r>
  </si>
  <si>
    <t>≥1KG</t>
  </si>
  <si>
    <t>≥30KG</t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</si>
  <si>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以上为普货价格，已经包括加纳进口清关费，需到仓自取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</si>
  <si>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文件收费预付为</t>
    </r>
    <r>
      <rPr>
        <sz val="9.75"/>
        <color rgb="FF393939"/>
        <rFont val="Arial"/>
        <charset val="134"/>
      </rPr>
      <t>RMB100</t>
    </r>
    <r>
      <rPr>
        <sz val="9.75"/>
        <color rgb="FF393939"/>
        <rFont val="宋体"/>
        <charset val="134"/>
      </rPr>
      <t>，到付为</t>
    </r>
    <r>
      <rPr>
        <sz val="9.75"/>
        <color rgb="FF393939"/>
        <rFont val="Arial"/>
        <charset val="134"/>
      </rPr>
      <t>USD18</t>
    </r>
    <r>
      <rPr>
        <sz val="9.75"/>
        <color rgb="FF393939"/>
        <rFont val="宋体"/>
        <charset val="134"/>
      </rPr>
      <t>，每份限</t>
    </r>
    <r>
      <rPr>
        <sz val="9.75"/>
        <color rgb="FF393939"/>
        <rFont val="Arial"/>
        <charset val="134"/>
      </rPr>
      <t>0.5kgs</t>
    </r>
    <r>
      <rPr>
        <sz val="9.75"/>
        <color rgb="FF393939"/>
        <rFont val="宋体"/>
        <charset val="134"/>
      </rPr>
      <t>以内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</si>
  <si>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监控设备、内存卡、手机屏、假发在运价基础增加</t>
    </r>
    <r>
      <rPr>
        <sz val="9.75"/>
        <color rgb="FF393939"/>
        <rFont val="Arial"/>
        <charset val="134"/>
      </rPr>
      <t>8.3%</t>
    </r>
    <r>
      <rPr>
        <sz val="9.75"/>
        <color rgb="FF393939"/>
        <rFont val="宋体"/>
        <charset val="134"/>
      </rPr>
      <t>运费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</si>
  <si>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普货单体重量超过</t>
    </r>
    <r>
      <rPr>
        <b/>
        <sz val="9.75"/>
        <color rgb="FFFF0000"/>
        <rFont val="Arial"/>
        <charset val="134"/>
      </rPr>
      <t>42Kgs,</t>
    </r>
    <r>
      <rPr>
        <b/>
        <sz val="9.75"/>
        <color rgb="FFFF0000"/>
        <rFont val="宋体"/>
        <charset val="134"/>
      </rPr>
      <t>预付为</t>
    </r>
    <r>
      <rPr>
        <b/>
        <sz val="9.75"/>
        <color rgb="FFFF0000"/>
        <rFont val="Arial"/>
        <charset val="134"/>
      </rPr>
      <t>RMB78/KG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USD11.3/KG,</t>
    </r>
    <r>
      <rPr>
        <b/>
        <sz val="9.75"/>
        <color rgb="FFFF0000"/>
        <rFont val="宋体"/>
        <charset val="134"/>
      </rPr>
      <t>时效为</t>
    </r>
    <r>
      <rPr>
        <b/>
        <sz val="9.75"/>
        <color rgb="FFFF0000"/>
        <rFont val="Arial"/>
        <charset val="134"/>
      </rPr>
      <t>10-12</t>
    </r>
    <r>
      <rPr>
        <b/>
        <sz val="9.75"/>
        <color rgb="FFFF0000"/>
        <rFont val="宋体"/>
        <charset val="134"/>
      </rPr>
      <t>工作天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</si>
  <si>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带电产品、手机、高价值产品单独咨询</t>
    </r>
  </si>
  <si>
    <r>
      <rPr>
        <b/>
        <sz val="9.75"/>
        <color rgb="FFFF0000"/>
        <rFont val="Arial"/>
        <charset val="134"/>
      </rPr>
      <t xml:space="preserve">• </t>
    </r>
    <r>
      <rPr>
        <b/>
        <sz val="9.75"/>
        <color rgb="FFFF0000"/>
        <rFont val="宋体"/>
        <charset val="134"/>
      </rPr>
      <t>特快服务不区分首续重，预付为</t>
    </r>
    <r>
      <rPr>
        <b/>
        <sz val="9.75"/>
        <color rgb="FFFF0000"/>
        <rFont val="Arial"/>
        <charset val="134"/>
      </rPr>
      <t>RMB83.00/KG</t>
    </r>
    <r>
      <rPr>
        <b/>
        <sz val="9.75"/>
        <color rgb="FFFF0000"/>
        <rFont val="宋体"/>
        <charset val="134"/>
      </rPr>
      <t>，到付为</t>
    </r>
    <r>
      <rPr>
        <b/>
        <sz val="9.75"/>
        <color rgb="FFFF0000"/>
        <rFont val="Arial"/>
        <charset val="134"/>
      </rPr>
      <t>USD12.00/KG</t>
    </r>
    <r>
      <rPr>
        <b/>
        <sz val="9.75"/>
        <color rgb="FFFF0000"/>
        <rFont val="宋体"/>
        <charset val="134"/>
      </rPr>
      <t>，可承接普货与非普货，时效为</t>
    </r>
    <r>
      <rPr>
        <b/>
        <sz val="9.75"/>
        <color rgb="FFFF0000"/>
        <rFont val="Arial"/>
        <charset val="134"/>
      </rPr>
      <t>2-4</t>
    </r>
    <r>
      <rPr>
        <b/>
        <sz val="9.75"/>
        <color rgb="FFFF0000"/>
        <rFont val="宋体"/>
        <charset val="134"/>
      </rPr>
      <t>工作天；非普货默认为特快服务，其包括：化妆品、食品、保健品、药品、少量粉末与液体状的产品（非危险品）；普货需要特快的用户，下单时备注</t>
    </r>
    <r>
      <rPr>
        <b/>
        <sz val="9.75"/>
        <color rgb="FFFF0000"/>
        <rFont val="Arial"/>
        <charset val="134"/>
      </rPr>
      <t>“</t>
    </r>
    <r>
      <rPr>
        <b/>
        <sz val="9.75"/>
        <color rgb="FFFF0000"/>
        <rFont val="宋体"/>
        <charset val="134"/>
      </rPr>
      <t>特快</t>
    </r>
    <r>
      <rPr>
        <b/>
        <sz val="9.75"/>
        <color rgb="FFFF0000"/>
        <rFont val="Arial"/>
        <charset val="134"/>
      </rPr>
      <t>”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</si>
  <si>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预付、到付的价格是按</t>
    </r>
    <r>
      <rPr>
        <sz val="9.75"/>
        <color rgb="FF393939"/>
        <rFont val="Arial"/>
        <charset val="134"/>
      </rPr>
      <t>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</si>
  <si>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到付方式，结算费用是以货物到阿克拉仓库时结清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</si>
  <si>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首重按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计收，续重不足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按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计收，超过</t>
    </r>
    <r>
      <rPr>
        <sz val="9.75"/>
        <color rgb="FF393939"/>
        <rFont val="Arial"/>
        <charset val="134"/>
      </rPr>
      <t>0.5KG</t>
    </r>
    <r>
      <rPr>
        <sz val="9.75"/>
        <color rgb="FF393939"/>
        <rFont val="宋体"/>
        <charset val="134"/>
      </rPr>
      <t>不足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则按</t>
    </r>
    <r>
      <rPr>
        <sz val="9.75"/>
        <color rgb="FF393939"/>
        <rFont val="Arial"/>
        <charset val="134"/>
      </rPr>
      <t>1KG</t>
    </r>
    <r>
      <rPr>
        <sz val="9.75"/>
        <color rgb="FF393939"/>
        <rFont val="宋体"/>
        <charset val="134"/>
      </rPr>
      <t>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</si>
  <si>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计费重量是根据货物的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毛重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和货物的</t>
    </r>
    <r>
      <rPr>
        <sz val="9.75"/>
        <color rgb="FF393939"/>
        <rFont val="Arial"/>
        <charset val="134"/>
      </rPr>
      <t>“</t>
    </r>
    <r>
      <rPr>
        <sz val="9.75"/>
        <color rgb="FF393939"/>
        <rFont val="宋体"/>
        <charset val="134"/>
      </rPr>
      <t>体积重量</t>
    </r>
    <r>
      <rPr>
        <sz val="9.75"/>
        <color rgb="FF393939"/>
        <rFont val="Arial"/>
        <charset val="134"/>
      </rPr>
      <t>”</t>
    </r>
    <r>
      <rPr>
        <sz val="9.75"/>
        <color rgb="FF393939"/>
        <rFont val="宋体"/>
        <charset val="134"/>
      </rPr>
      <t>二者比较后，择大计收</t>
    </r>
  </si>
  <si>
    <r>
      <rPr>
        <sz val="9.75"/>
        <color rgb="FF393939"/>
        <rFont val="Arial"/>
        <charset val="134"/>
      </rPr>
      <t xml:space="preserve">• </t>
    </r>
    <r>
      <rPr>
        <sz val="9.75"/>
        <color rgb="FF393939"/>
        <rFont val="宋体"/>
        <charset val="134"/>
      </rPr>
      <t>禁运物品：液体、纯电池、粉末、军火武器、危险品、易燃易爆品、等与加纳的政治、风俗、文化、宗教信仰相抵触的产品</t>
    </r>
  </si>
  <si>
    <t>发货人</t>
  </si>
  <si>
    <t>名字</t>
  </si>
  <si>
    <t>电话</t>
  </si>
  <si>
    <t>详细地址</t>
  </si>
  <si>
    <t>区</t>
  </si>
  <si>
    <t>城市</t>
  </si>
  <si>
    <t>国家</t>
  </si>
  <si>
    <t>鹤边鹤泰路四横路4号云创PARK, D栋101-103</t>
  </si>
  <si>
    <t>白云</t>
  </si>
  <si>
    <t>广州</t>
  </si>
  <si>
    <t>收货人</t>
  </si>
  <si>
    <t>选择区号</t>
  </si>
  <si>
    <t>十添加地址</t>
  </si>
  <si>
    <t>选择</t>
  </si>
  <si>
    <r>
      <rPr>
        <b/>
        <sz val="9"/>
        <color theme="1"/>
        <rFont val="Microsoft JhengHei"/>
        <charset val="134"/>
      </rPr>
      <t xml:space="preserve">第三方运单    </t>
    </r>
    <r>
      <rPr>
        <b/>
        <sz val="9"/>
        <color rgb="FF0070C0"/>
        <rFont val="Microsoft JhengHei"/>
        <charset val="134"/>
      </rPr>
      <t xml:space="preserve"> +添加</t>
    </r>
  </si>
  <si>
    <t>品名</t>
  </si>
  <si>
    <t>类别</t>
  </si>
  <si>
    <t>重量Kg</t>
  </si>
  <si>
    <t>件数Pcs</t>
  </si>
  <si>
    <t>货值USD</t>
  </si>
  <si>
    <t>备注</t>
  </si>
  <si>
    <t>选择物流公司</t>
  </si>
  <si>
    <r>
      <rPr>
        <sz val="9"/>
        <color theme="1"/>
        <rFont val="Microsoft JhengHei"/>
        <charset val="134"/>
      </rPr>
      <t>输入单号</t>
    </r>
    <r>
      <rPr>
        <sz val="9"/>
        <color theme="1"/>
        <rFont val="Arial"/>
        <charset val="134"/>
      </rPr>
      <t xml:space="preserve">     </t>
    </r>
    <r>
      <rPr>
        <b/>
        <sz val="9"/>
        <color rgb="FFFF0000"/>
        <rFont val="Arial"/>
        <charset val="134"/>
      </rPr>
      <t>X</t>
    </r>
  </si>
  <si>
    <t>输入</t>
  </si>
  <si>
    <t>返回 保存 提交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</si>
</sst>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#,##0.0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#,##0_ "/>
    <numFmt numFmtId="178" formatCode="0.00_ "/>
    <numFmt numFmtId="179" formatCode="0_ "/>
  </numFmts>
  <fonts count="77">
    <font>
      <sz val="11"/>
      <color theme="1"/>
      <name val="宋体"/>
      <charset val="134"/>
      <scheme val="minor"/>
    </font>
    <font>
      <b/>
      <sz val="14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Microsoft JhengHei"/>
      <charset val="134"/>
    </font>
    <font>
      <sz val="9"/>
      <color theme="0"/>
      <name val="Microsoft JhengHei"/>
      <charset val="134"/>
    </font>
    <font>
      <sz val="9"/>
      <color theme="1"/>
      <name val="Arial"/>
      <charset val="134"/>
    </font>
    <font>
      <b/>
      <sz val="11"/>
      <color theme="1"/>
      <name val="Arial"/>
      <charset val="134"/>
    </font>
    <font>
      <b/>
      <sz val="11"/>
      <color theme="0"/>
      <name val="宋体"/>
      <charset val="134"/>
      <scheme val="minor"/>
    </font>
    <font>
      <b/>
      <sz val="10"/>
      <color theme="1"/>
      <name val="Arial"/>
      <charset val="134"/>
    </font>
    <font>
      <b/>
      <sz val="11"/>
      <color theme="1"/>
      <name val="宋体"/>
      <charset val="134"/>
    </font>
    <font>
      <b/>
      <sz val="10"/>
      <color theme="1"/>
      <name val="Microsoft JhengHei"/>
      <charset val="134"/>
    </font>
    <font>
      <sz val="8"/>
      <color theme="1"/>
      <name val="Microsoft JhengHei"/>
      <charset val="134"/>
    </font>
    <font>
      <sz val="11"/>
      <color theme="1"/>
      <name val="Arial"/>
      <charset val="134"/>
    </font>
    <font>
      <b/>
      <sz val="9.75"/>
      <color rgb="FFFF0000"/>
      <name val="Arial"/>
      <charset val="134"/>
    </font>
    <font>
      <sz val="9.75"/>
      <color rgb="FF393939"/>
      <name val="Arial"/>
      <charset val="134"/>
    </font>
    <font>
      <b/>
      <sz val="12"/>
      <color theme="1"/>
      <name val="Microsoft JhengHei"/>
      <charset val="134"/>
    </font>
    <font>
      <b/>
      <sz val="10"/>
      <color rgb="FF0070C0"/>
      <name val="Microsoft JhengHei"/>
      <charset val="134"/>
    </font>
    <font>
      <b/>
      <sz val="14"/>
      <color theme="0"/>
      <name val="Arial"/>
      <charset val="134"/>
    </font>
    <font>
      <b/>
      <sz val="11"/>
      <color rgb="FFFF0000"/>
      <name val="宋体"/>
      <charset val="134"/>
    </font>
    <font>
      <b/>
      <sz val="9"/>
      <color theme="1"/>
      <name val="Arial"/>
      <charset val="134"/>
    </font>
    <font>
      <b/>
      <sz val="9"/>
      <color rgb="FF0070C0"/>
      <name val="宋体"/>
      <charset val="134"/>
    </font>
    <font>
      <sz val="9"/>
      <color theme="0"/>
      <name val="Arial"/>
      <charset val="134"/>
    </font>
    <font>
      <sz val="9"/>
      <color rgb="FFFF0000"/>
      <name val="Microsoft JhengHei"/>
      <charset val="134"/>
    </font>
    <font>
      <sz val="9"/>
      <color rgb="FFFF0000"/>
      <name val="Arial"/>
      <charset val="134"/>
    </font>
    <font>
      <sz val="9"/>
      <color theme="9" tint="-0.25"/>
      <name val="Microsoft JhengHei"/>
      <charset val="134"/>
    </font>
    <font>
      <sz val="9"/>
      <color theme="9" tint="-0.25"/>
      <name val="Arial"/>
      <charset val="134"/>
    </font>
    <font>
      <sz val="9"/>
      <color rgb="FF0070C0"/>
      <name val="宋体"/>
      <charset val="134"/>
    </font>
    <font>
      <b/>
      <sz val="9"/>
      <color rgb="FF393939"/>
      <name val="Microsoft JhengHei"/>
      <charset val="134"/>
    </font>
    <font>
      <b/>
      <sz val="9"/>
      <color rgb="FF393939"/>
      <name val="Arial"/>
      <charset val="134"/>
    </font>
    <font>
      <b/>
      <sz val="9"/>
      <color theme="1"/>
      <name val="宋体"/>
      <charset val="134"/>
    </font>
    <font>
      <b/>
      <sz val="10"/>
      <color rgb="FFFF0000"/>
      <name val="Arial"/>
      <charset val="134"/>
    </font>
    <font>
      <b/>
      <sz val="11"/>
      <color rgb="FFFF0000"/>
      <name val="Arial"/>
      <charset val="134"/>
    </font>
    <font>
      <b/>
      <sz val="9"/>
      <color theme="0"/>
      <name val="Arial"/>
      <charset val="134"/>
    </font>
    <font>
      <sz val="9"/>
      <color theme="1"/>
      <name val="宋体"/>
      <charset val="134"/>
    </font>
    <font>
      <b/>
      <sz val="9"/>
      <color rgb="FF393939"/>
      <name val="宋体"/>
      <charset val="134"/>
    </font>
    <font>
      <sz val="8"/>
      <color rgb="FF393939"/>
      <name val="Arial"/>
      <charset val="134"/>
    </font>
    <font>
      <sz val="9"/>
      <color rgb="FF393939"/>
      <name val="宋体"/>
      <charset val="134"/>
    </font>
    <font>
      <sz val="9"/>
      <color rgb="FF393939"/>
      <name val="Arial"/>
      <charset val="134"/>
    </font>
    <font>
      <sz val="8"/>
      <color theme="1"/>
      <name val="宋体"/>
      <charset val="134"/>
    </font>
    <font>
      <sz val="8"/>
      <color theme="1"/>
      <name val="Arial"/>
      <charset val="134"/>
    </font>
    <font>
      <sz val="9"/>
      <color rgb="FF0070C0"/>
      <name val="Arial"/>
      <charset val="134"/>
    </font>
    <font>
      <b/>
      <sz val="9"/>
      <color rgb="FF0070C0"/>
      <name val="Arial"/>
      <charset val="134"/>
    </font>
    <font>
      <b/>
      <sz val="10"/>
      <color theme="1"/>
      <name val="宋体"/>
      <charset val="134"/>
    </font>
    <font>
      <b/>
      <sz val="9"/>
      <name val="Microsoft JhengHei"/>
      <charset val="134"/>
    </font>
    <font>
      <b/>
      <sz val="10"/>
      <color theme="0"/>
      <name val="宋体"/>
      <charset val="134"/>
    </font>
    <font>
      <sz val="9"/>
      <color theme="0"/>
      <name val="宋体"/>
      <charset val="134"/>
    </font>
    <font>
      <b/>
      <sz val="9"/>
      <color theme="0"/>
      <name val="宋体"/>
      <charset val="134"/>
    </font>
    <font>
      <sz val="8"/>
      <color theme="0"/>
      <name val="Microsoft JhengHei"/>
      <charset val="134"/>
    </font>
    <font>
      <sz val="9"/>
      <color rgb="FFFF0000"/>
      <name val="宋体"/>
      <charset val="134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9"/>
      <color rgb="FF0070C0"/>
      <name val="Microsoft JhengHei"/>
      <charset val="134"/>
    </font>
    <font>
      <b/>
      <sz val="9"/>
      <color rgb="FFFF0000"/>
      <name val="Arial"/>
      <charset val="134"/>
    </font>
    <font>
      <b/>
      <sz val="8"/>
      <color rgb="FF0070C0"/>
      <name val="宋体"/>
      <charset val="134"/>
    </font>
    <font>
      <b/>
      <sz val="11"/>
      <color theme="1"/>
      <name val="Microsoft JhengHei"/>
      <charset val="134"/>
    </font>
    <font>
      <sz val="11"/>
      <color theme="1"/>
      <name val="宋体"/>
      <charset val="134"/>
    </font>
    <font>
      <b/>
      <sz val="9.75"/>
      <color rgb="FFFF0000"/>
      <name val="宋体"/>
      <charset val="134"/>
    </font>
    <font>
      <sz val="9.75"/>
      <color rgb="FF393939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0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3" fillId="25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4" fillId="29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0" fillId="31" borderId="14" applyNumberFormat="0" applyFont="0" applyAlignment="0" applyProtection="0">
      <alignment vertical="center"/>
    </xf>
    <xf numFmtId="0" fontId="54" fillId="34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5" fillId="0" borderId="16" applyNumberFormat="0" applyFill="0" applyAlignment="0" applyProtection="0">
      <alignment vertical="center"/>
    </xf>
    <xf numFmtId="0" fontId="66" fillId="0" borderId="16" applyNumberFormat="0" applyFill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1" fillId="0" borderId="10" applyNumberFormat="0" applyFill="0" applyAlignment="0" applyProtection="0">
      <alignment vertical="center"/>
    </xf>
    <xf numFmtId="0" fontId="54" fillId="38" borderId="0" applyNumberFormat="0" applyBorder="0" applyAlignment="0" applyProtection="0">
      <alignment vertical="center"/>
    </xf>
    <xf numFmtId="0" fontId="62" fillId="30" borderId="13" applyNumberFormat="0" applyAlignment="0" applyProtection="0">
      <alignment vertical="center"/>
    </xf>
    <xf numFmtId="0" fontId="64" fillId="30" borderId="9" applyNumberFormat="0" applyAlignment="0" applyProtection="0">
      <alignment vertical="center"/>
    </xf>
    <xf numFmtId="0" fontId="63" fillId="33" borderId="15" applyNumberFormat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57" fillId="0" borderId="12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67" fillId="42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3" fillId="18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1" borderId="0" applyNumberFormat="0" applyBorder="0" applyAlignment="0" applyProtection="0">
      <alignment vertical="center"/>
    </xf>
    <xf numFmtId="0" fontId="54" fillId="22" borderId="0" applyNumberFormat="0" applyBorder="0" applyAlignment="0" applyProtection="0">
      <alignment vertical="center"/>
    </xf>
    <xf numFmtId="0" fontId="54" fillId="26" borderId="0" applyNumberFormat="0" applyBorder="0" applyAlignment="0" applyProtection="0">
      <alignment vertical="center"/>
    </xf>
    <xf numFmtId="0" fontId="53" fillId="37" borderId="0" applyNumberFormat="0" applyBorder="0" applyAlignment="0" applyProtection="0">
      <alignment vertical="center"/>
    </xf>
    <xf numFmtId="0" fontId="53" fillId="17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3" fillId="21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vertical="center" wrapText="1"/>
    </xf>
    <xf numFmtId="0" fontId="3" fillId="4" borderId="0" xfId="0" applyFont="1" applyFill="1" applyBorder="1" applyAlignment="1">
      <alignment horizontal="center" vertical="center"/>
    </xf>
    <xf numFmtId="176" fontId="3" fillId="4" borderId="0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 wrapText="1"/>
    </xf>
    <xf numFmtId="176" fontId="6" fillId="3" borderId="0" xfId="0" applyNumberFormat="1" applyFont="1" applyFill="1" applyBorder="1" applyAlignment="1">
      <alignment horizontal="center" vertical="center" wrapText="1"/>
    </xf>
    <xf numFmtId="177" fontId="6" fillId="3" borderId="0" xfId="0" applyNumberFormat="1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right" vertical="center"/>
    </xf>
    <xf numFmtId="0" fontId="11" fillId="4" borderId="7" xfId="0" applyFont="1" applyFill="1" applyBorder="1" applyAlignment="1">
      <alignment horizontal="right" vertical="center"/>
    </xf>
    <xf numFmtId="0" fontId="9" fillId="8" borderId="3" xfId="0" applyFont="1" applyFill="1" applyBorder="1" applyAlignment="1">
      <alignment horizontal="center" vertical="center"/>
    </xf>
    <xf numFmtId="0" fontId="10" fillId="8" borderId="0" xfId="0" applyFont="1" applyFill="1" applyBorder="1" applyAlignment="1">
      <alignment horizontal="left" vertical="center"/>
    </xf>
    <xf numFmtId="0" fontId="8" fillId="8" borderId="0" xfId="0" applyFont="1" applyFill="1" applyBorder="1" applyAlignment="1">
      <alignment vertical="center"/>
    </xf>
    <xf numFmtId="0" fontId="11" fillId="8" borderId="0" xfId="0" applyFont="1" applyFill="1" applyBorder="1" applyAlignment="1">
      <alignment horizontal="right" vertical="center"/>
    </xf>
    <xf numFmtId="0" fontId="11" fillId="8" borderId="7" xfId="0" applyFont="1" applyFill="1" applyBorder="1" applyAlignment="1">
      <alignment horizontal="right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2" fillId="9" borderId="3" xfId="0" applyFont="1" applyFill="1" applyBorder="1" applyAlignment="1">
      <alignment horizontal="center" vertical="center" wrapText="1"/>
    </xf>
    <xf numFmtId="0" fontId="12" fillId="8" borderId="0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178" fontId="12" fillId="4" borderId="0" xfId="0" applyNumberFormat="1" applyFont="1" applyFill="1" applyBorder="1" applyAlignment="1">
      <alignment horizontal="center" vertical="center" wrapText="1"/>
    </xf>
    <xf numFmtId="178" fontId="12" fillId="4" borderId="7" xfId="0" applyNumberFormat="1" applyFont="1" applyFill="1" applyBorder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178" fontId="12" fillId="3" borderId="0" xfId="0" applyNumberFormat="1" applyFont="1" applyFill="1" applyBorder="1" applyAlignment="1">
      <alignment horizontal="center" vertical="center" wrapText="1"/>
    </xf>
    <xf numFmtId="178" fontId="12" fillId="3" borderId="7" xfId="0" applyNumberFormat="1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left" vertical="center" wrapText="1"/>
    </xf>
    <xf numFmtId="0" fontId="13" fillId="4" borderId="0" xfId="0" applyFont="1" applyFill="1" applyBorder="1" applyAlignment="1">
      <alignment horizontal="left" vertical="center" wrapText="1"/>
    </xf>
    <xf numFmtId="0" fontId="13" fillId="4" borderId="7" xfId="0" applyFont="1" applyFill="1" applyBorder="1" applyAlignment="1">
      <alignment horizontal="left" vertical="center" wrapText="1"/>
    </xf>
    <xf numFmtId="0" fontId="14" fillId="4" borderId="3" xfId="0" applyFont="1" applyFill="1" applyBorder="1" applyAlignment="1">
      <alignment horizontal="left" vertical="center" wrapText="1"/>
    </xf>
    <xf numFmtId="0" fontId="14" fillId="4" borderId="0" xfId="0" applyFont="1" applyFill="1" applyBorder="1" applyAlignment="1">
      <alignment horizontal="left" vertical="center" wrapText="1"/>
    </xf>
    <xf numFmtId="0" fontId="14" fillId="4" borderId="7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31" fontId="16" fillId="4" borderId="3" xfId="0" applyNumberFormat="1" applyFont="1" applyFill="1" applyBorder="1" applyAlignment="1">
      <alignment horizontal="center" vertical="center"/>
    </xf>
    <xf numFmtId="0" fontId="16" fillId="4" borderId="0" xfId="0" applyFont="1" applyFill="1" applyBorder="1" applyAlignment="1">
      <alignment horizontal="center" vertical="center"/>
    </xf>
    <xf numFmtId="14" fontId="16" fillId="4" borderId="0" xfId="0" applyNumberFormat="1" applyFont="1" applyFill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31" fontId="16" fillId="4" borderId="0" xfId="0" applyNumberFormat="1" applyFont="1" applyFill="1" applyAlignment="1">
      <alignment horizontal="center" vertical="center"/>
    </xf>
    <xf numFmtId="0" fontId="15" fillId="4" borderId="0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4" borderId="0" xfId="0" applyFont="1" applyFill="1">
      <alignment vertical="center"/>
    </xf>
    <xf numFmtId="0" fontId="17" fillId="2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horizontal="center" vertical="center" wrapText="1"/>
    </xf>
    <xf numFmtId="0" fontId="18" fillId="8" borderId="0" xfId="0" applyFont="1" applyFill="1" applyBorder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3" fillId="8" borderId="3" xfId="0" applyFont="1" applyFill="1" applyBorder="1" applyAlignment="1">
      <alignment horizontal="left" vertical="center" wrapText="1"/>
    </xf>
    <xf numFmtId="0" fontId="5" fillId="8" borderId="0" xfId="0" applyFont="1" applyFill="1" applyBorder="1" applyAlignment="1">
      <alignment horizontal="left" vertical="center" wrapText="1"/>
    </xf>
    <xf numFmtId="0" fontId="3" fillId="8" borderId="0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0" xfId="0" applyFont="1" applyFill="1" applyBorder="1" applyAlignment="1">
      <alignment horizontal="left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horizontal="center" vertical="center" wrapText="1"/>
    </xf>
    <xf numFmtId="0" fontId="19" fillId="4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horizontal="center" vertical="center" wrapText="1"/>
    </xf>
    <xf numFmtId="0" fontId="19" fillId="4" borderId="3" xfId="0" applyFont="1" applyFill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179" fontId="5" fillId="3" borderId="3" xfId="0" applyNumberFormat="1" applyFont="1" applyFill="1" applyBorder="1" applyAlignment="1">
      <alignment horizontal="center" vertical="center" wrapText="1"/>
    </xf>
    <xf numFmtId="179" fontId="5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22" fontId="5" fillId="5" borderId="0" xfId="0" applyNumberFormat="1" applyFont="1" applyFill="1" applyBorder="1" applyAlignment="1">
      <alignment horizontal="center" vertical="center" wrapText="1"/>
    </xf>
    <xf numFmtId="22" fontId="5" fillId="5" borderId="0" xfId="0" applyNumberFormat="1" applyFont="1" applyFill="1" applyBorder="1" applyAlignment="1">
      <alignment vertical="center" wrapText="1"/>
    </xf>
    <xf numFmtId="0" fontId="21" fillId="2" borderId="3" xfId="0" applyFont="1" applyFill="1" applyBorder="1" applyAlignment="1">
      <alignment horizontal="center" vertical="center"/>
    </xf>
    <xf numFmtId="0" fontId="21" fillId="2" borderId="0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left" vertical="center" wrapText="1"/>
    </xf>
    <xf numFmtId="0" fontId="19" fillId="3" borderId="0" xfId="0" applyFont="1" applyFill="1" applyBorder="1" applyAlignment="1">
      <alignment horizontal="left" vertical="center" wrapText="1"/>
    </xf>
    <xf numFmtId="22" fontId="5" fillId="4" borderId="0" xfId="0" applyNumberFormat="1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center" wrapText="1"/>
    </xf>
    <xf numFmtId="22" fontId="23" fillId="4" borderId="0" xfId="0" applyNumberFormat="1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horizontal="center" vertical="center"/>
    </xf>
    <xf numFmtId="0" fontId="24" fillId="4" borderId="3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horizontal="center" vertical="center" wrapText="1"/>
    </xf>
    <xf numFmtId="0" fontId="25" fillId="4" borderId="0" xfId="0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center" vertical="center" wrapText="1"/>
    </xf>
    <xf numFmtId="0" fontId="19" fillId="7" borderId="0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22" fontId="5" fillId="3" borderId="0" xfId="0" applyNumberFormat="1" applyFont="1" applyFill="1" applyBorder="1" applyAlignment="1">
      <alignment horizontal="center" vertical="center" wrapText="1"/>
    </xf>
    <xf numFmtId="22" fontId="26" fillId="3" borderId="0" xfId="0" applyNumberFormat="1" applyFont="1" applyFill="1" applyBorder="1" applyAlignment="1">
      <alignment horizontal="center" vertical="center" wrapText="1"/>
    </xf>
    <xf numFmtId="0" fontId="5" fillId="7" borderId="3" xfId="0" applyFont="1" applyFill="1" applyBorder="1" applyAlignment="1">
      <alignment vertical="center" wrapText="1"/>
    </xf>
    <xf numFmtId="0" fontId="5" fillId="7" borderId="0" xfId="0" applyFont="1" applyFill="1" applyBorder="1" applyAlignment="1">
      <alignment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left" vertical="center" wrapText="1"/>
    </xf>
    <xf numFmtId="0" fontId="28" fillId="3" borderId="0" xfId="0" applyFont="1" applyFill="1" applyBorder="1" applyAlignment="1">
      <alignment horizontal="left" vertical="center" wrapText="1"/>
    </xf>
    <xf numFmtId="0" fontId="29" fillId="10" borderId="3" xfId="0" applyFont="1" applyFill="1" applyBorder="1" applyAlignment="1">
      <alignment horizontal="center" vertical="center"/>
    </xf>
    <xf numFmtId="0" fontId="29" fillId="10" borderId="0" xfId="0" applyFont="1" applyFill="1" applyBorder="1" applyAlignment="1">
      <alignment horizontal="center" vertical="center"/>
    </xf>
    <xf numFmtId="0" fontId="19" fillId="10" borderId="0" xfId="0" applyFont="1" applyFill="1" applyBorder="1" applyAlignment="1">
      <alignment horizontal="center" vertical="center"/>
    </xf>
    <xf numFmtId="178" fontId="5" fillId="3" borderId="0" xfId="0" applyNumberFormat="1" applyFont="1" applyFill="1" applyBorder="1" applyAlignment="1">
      <alignment horizontal="center" vertical="center"/>
    </xf>
    <xf numFmtId="0" fontId="30" fillId="3" borderId="3" xfId="0" applyFont="1" applyFill="1" applyBorder="1" applyAlignment="1">
      <alignment vertical="center"/>
    </xf>
    <xf numFmtId="0" fontId="30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right" vertical="center"/>
    </xf>
    <xf numFmtId="0" fontId="31" fillId="3" borderId="0" xfId="0" applyFont="1" applyFill="1" applyAlignment="1">
      <alignment horizontal="center" vertical="center"/>
    </xf>
    <xf numFmtId="0" fontId="31" fillId="3" borderId="0" xfId="0" applyFont="1" applyFill="1" applyBorder="1" applyAlignment="1">
      <alignment horizontal="right" vertical="center"/>
    </xf>
    <xf numFmtId="176" fontId="31" fillId="3" borderId="0" xfId="0" applyNumberFormat="1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 wrapText="1"/>
    </xf>
    <xf numFmtId="0" fontId="32" fillId="2" borderId="5" xfId="0" applyFont="1" applyFill="1" applyBorder="1" applyAlignment="1">
      <alignment horizontal="center" vertical="center" wrapText="1"/>
    </xf>
    <xf numFmtId="0" fontId="6" fillId="8" borderId="0" xfId="0" applyFont="1" applyFill="1" applyBorder="1" applyAlignment="1">
      <alignment vertical="center" wrapText="1"/>
    </xf>
    <xf numFmtId="0" fontId="5" fillId="8" borderId="0" xfId="0" applyFont="1" applyFill="1" applyBorder="1" applyAlignment="1">
      <alignment horizontal="left" vertical="center"/>
    </xf>
    <xf numFmtId="0" fontId="33" fillId="8" borderId="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/>
    </xf>
    <xf numFmtId="0" fontId="5" fillId="8" borderId="0" xfId="0" applyFont="1" applyFill="1" applyBorder="1" applyAlignment="1">
      <alignment vertical="center" wrapText="1"/>
    </xf>
    <xf numFmtId="0" fontId="33" fillId="8" borderId="0" xfId="0" applyFont="1" applyFill="1" applyBorder="1" applyAlignment="1">
      <alignment horizontal="left" vertical="center"/>
    </xf>
    <xf numFmtId="22" fontId="5" fillId="5" borderId="0" xfId="0" applyNumberFormat="1" applyFont="1" applyFill="1" applyBorder="1" applyAlignment="1">
      <alignment horizontal="center" vertical="center"/>
    </xf>
    <xf numFmtId="22" fontId="5" fillId="5" borderId="0" xfId="0" applyNumberFormat="1" applyFont="1" applyFill="1" applyBorder="1" applyAlignment="1">
      <alignment vertical="center"/>
    </xf>
    <xf numFmtId="0" fontId="23" fillId="3" borderId="0" xfId="0" applyFont="1" applyFill="1" applyBorder="1" applyAlignment="1">
      <alignment horizontal="center" vertical="center" wrapText="1"/>
    </xf>
    <xf numFmtId="176" fontId="5" fillId="7" borderId="0" xfId="0" applyNumberFormat="1" applyFont="1" applyFill="1" applyBorder="1" applyAlignment="1">
      <alignment horizontal="center" vertical="center" wrapText="1"/>
    </xf>
    <xf numFmtId="0" fontId="34" fillId="10" borderId="0" xfId="0" applyFont="1" applyFill="1" applyBorder="1" applyAlignment="1">
      <alignment horizontal="center" vertical="center" wrapText="1"/>
    </xf>
    <xf numFmtId="0" fontId="28" fillId="10" borderId="0" xfId="0" applyFont="1" applyFill="1" applyBorder="1" applyAlignment="1">
      <alignment horizontal="center" vertical="center" wrapText="1"/>
    </xf>
    <xf numFmtId="0" fontId="29" fillId="10" borderId="0" xfId="0" applyFont="1" applyFill="1" applyBorder="1" applyAlignment="1">
      <alignment horizontal="center" vertical="center" wrapText="1"/>
    </xf>
    <xf numFmtId="0" fontId="19" fillId="10" borderId="0" xfId="0" applyFont="1" applyFill="1" applyBorder="1" applyAlignment="1">
      <alignment horizontal="center" vertical="center" wrapText="1"/>
    </xf>
    <xf numFmtId="22" fontId="35" fillId="3" borderId="0" xfId="0" applyNumberFormat="1" applyFont="1" applyFill="1" applyBorder="1" applyAlignment="1">
      <alignment horizontal="center" vertical="center" wrapText="1"/>
    </xf>
    <xf numFmtId="22" fontId="36" fillId="3" borderId="0" xfId="0" applyNumberFormat="1" applyFont="1" applyFill="1" applyAlignment="1">
      <alignment horizontal="center" vertical="center" wrapText="1"/>
    </xf>
    <xf numFmtId="22" fontId="37" fillId="3" borderId="0" xfId="0" applyNumberFormat="1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39" fillId="3" borderId="0" xfId="0" applyFont="1" applyFill="1" applyAlignment="1">
      <alignment horizontal="center" vertical="center" wrapText="1"/>
    </xf>
    <xf numFmtId="0" fontId="40" fillId="3" borderId="0" xfId="0" applyFont="1" applyFill="1" applyBorder="1" applyAlignment="1">
      <alignment vertical="center" wrapText="1"/>
    </xf>
    <xf numFmtId="0" fontId="37" fillId="3" borderId="0" xfId="0" applyFont="1" applyFill="1" applyBorder="1" applyAlignment="1">
      <alignment vertical="center" wrapText="1"/>
    </xf>
    <xf numFmtId="0" fontId="40" fillId="3" borderId="0" xfId="0" applyFont="1" applyFill="1" applyBorder="1" applyAlignment="1">
      <alignment vertical="center"/>
    </xf>
    <xf numFmtId="0" fontId="26" fillId="3" borderId="0" xfId="0" applyFont="1" applyFill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0" fillId="3" borderId="0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vertical="center" wrapText="1"/>
    </xf>
    <xf numFmtId="0" fontId="5" fillId="8" borderId="7" xfId="0" applyFont="1" applyFill="1" applyBorder="1" applyAlignment="1">
      <alignment horizontal="left" vertical="center" wrapText="1"/>
    </xf>
    <xf numFmtId="0" fontId="3" fillId="8" borderId="7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vertical="center" wrapText="1"/>
    </xf>
    <xf numFmtId="0" fontId="6" fillId="7" borderId="7" xfId="0" applyFont="1" applyFill="1" applyBorder="1" applyAlignment="1">
      <alignment horizontal="left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/>
    </xf>
    <xf numFmtId="22" fontId="5" fillId="5" borderId="7" xfId="0" applyNumberFormat="1" applyFont="1" applyFill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19" fillId="7" borderId="7" xfId="0" applyFont="1" applyFill="1" applyBorder="1" applyAlignment="1">
      <alignment horizontal="center" vertical="center" wrapText="1"/>
    </xf>
    <xf numFmtId="178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76" fontId="5" fillId="7" borderId="7" xfId="0" applyNumberFormat="1" applyFont="1" applyFill="1" applyBorder="1" applyAlignment="1">
      <alignment horizontal="center" vertical="center" wrapText="1"/>
    </xf>
    <xf numFmtId="0" fontId="28" fillId="3" borderId="7" xfId="0" applyFont="1" applyFill="1" applyBorder="1" applyAlignment="1">
      <alignment horizontal="left" vertical="center" wrapText="1"/>
    </xf>
    <xf numFmtId="0" fontId="19" fillId="10" borderId="7" xfId="0" applyFont="1" applyFill="1" applyBorder="1" applyAlignment="1">
      <alignment horizontal="center" vertical="center" wrapText="1"/>
    </xf>
    <xf numFmtId="0" fontId="39" fillId="3" borderId="7" xfId="0" applyFont="1" applyFill="1" applyBorder="1" applyAlignment="1">
      <alignment horizontal="center" vertical="center" wrapText="1"/>
    </xf>
    <xf numFmtId="0" fontId="37" fillId="3" borderId="7" xfId="0" applyFont="1" applyFill="1" applyBorder="1" applyAlignment="1">
      <alignment vertical="center" wrapText="1"/>
    </xf>
    <xf numFmtId="0" fontId="40" fillId="3" borderId="7" xfId="0" applyFont="1" applyFill="1" applyBorder="1" applyAlignment="1">
      <alignment horizontal="center" vertical="center" wrapText="1"/>
    </xf>
    <xf numFmtId="0" fontId="32" fillId="2" borderId="8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horizontal="center" vertical="center" wrapText="1"/>
    </xf>
    <xf numFmtId="0" fontId="19" fillId="3" borderId="0" xfId="0" applyFont="1" applyFill="1" applyBorder="1" applyAlignment="1">
      <alignment vertical="center" wrapText="1"/>
    </xf>
    <xf numFmtId="0" fontId="19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vertical="center" wrapText="1"/>
    </xf>
    <xf numFmtId="0" fontId="19" fillId="5" borderId="3" xfId="0" applyFont="1" applyFill="1" applyBorder="1" applyAlignment="1">
      <alignment horizontal="center" vertical="center" wrapText="1"/>
    </xf>
    <xf numFmtId="0" fontId="41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22" fontId="37" fillId="3" borderId="0" xfId="0" applyNumberFormat="1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/>
    </xf>
    <xf numFmtId="0" fontId="33" fillId="8" borderId="0" xfId="0" applyFont="1" applyFill="1" applyAlignment="1">
      <alignment horizontal="left" vertical="center"/>
    </xf>
    <xf numFmtId="0" fontId="33" fillId="8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25" fillId="4" borderId="0" xfId="0" applyFont="1" applyFill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33" fillId="3" borderId="0" xfId="0" applyFont="1" applyFill="1" applyAlignment="1">
      <alignment horizontal="center" vertical="center" wrapText="1"/>
    </xf>
    <xf numFmtId="0" fontId="29" fillId="0" borderId="0" xfId="0" applyFont="1">
      <alignment vertical="center"/>
    </xf>
    <xf numFmtId="0" fontId="42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3" fillId="11" borderId="0" xfId="0" applyFont="1" applyFill="1" applyAlignment="1">
      <alignment horizontal="center" vertical="center"/>
    </xf>
    <xf numFmtId="0" fontId="43" fillId="2" borderId="0" xfId="0" applyFont="1" applyFill="1" applyAlignment="1">
      <alignment horizontal="center" vertical="center"/>
    </xf>
    <xf numFmtId="0" fontId="43" fillId="12" borderId="0" xfId="0" applyFont="1" applyFill="1" applyBorder="1" applyAlignment="1">
      <alignment horizontal="center" vertical="center"/>
    </xf>
    <xf numFmtId="0" fontId="43" fillId="13" borderId="0" xfId="0" applyFont="1" applyFill="1" applyAlignment="1">
      <alignment horizontal="center" vertical="center"/>
    </xf>
    <xf numFmtId="0" fontId="43" fillId="1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4" fillId="2" borderId="1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/>
    </xf>
    <xf numFmtId="179" fontId="5" fillId="3" borderId="0" xfId="0" applyNumberFormat="1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179" fontId="5" fillId="0" borderId="0" xfId="0" applyNumberFormat="1" applyFont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center" vertical="center"/>
    </xf>
    <xf numFmtId="0" fontId="21" fillId="14" borderId="3" xfId="0" applyFont="1" applyFill="1" applyBorder="1" applyAlignment="1">
      <alignment horizontal="center" vertical="center"/>
    </xf>
    <xf numFmtId="179" fontId="21" fillId="14" borderId="0" xfId="0" applyNumberFormat="1" applyFont="1" applyFill="1" applyBorder="1" applyAlignment="1">
      <alignment horizontal="center" vertical="center"/>
    </xf>
    <xf numFmtId="0" fontId="21" fillId="14" borderId="0" xfId="0" applyFont="1" applyFill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21" fillId="14" borderId="0" xfId="0" applyFont="1" applyFill="1" applyBorder="1" applyAlignment="1">
      <alignment horizontal="center" vertical="center"/>
    </xf>
    <xf numFmtId="0" fontId="45" fillId="14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179" fontId="5" fillId="2" borderId="5" xfId="0" applyNumberFormat="1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right" vertical="center"/>
    </xf>
    <xf numFmtId="0" fontId="29" fillId="0" borderId="0" xfId="0" applyFont="1" applyAlignment="1">
      <alignment horizontal="right" vertical="center"/>
    </xf>
    <xf numFmtId="0" fontId="44" fillId="2" borderId="6" xfId="0" applyFont="1" applyFill="1" applyBorder="1" applyAlignment="1">
      <alignment horizontal="center" vertical="center"/>
    </xf>
    <xf numFmtId="0" fontId="33" fillId="3" borderId="0" xfId="0" applyFont="1" applyFill="1" applyBorder="1" applyAlignment="1">
      <alignment horizontal="center" vertical="center" wrapText="1"/>
    </xf>
    <xf numFmtId="22" fontId="5" fillId="3" borderId="0" xfId="0" applyNumberFormat="1" applyFont="1" applyFill="1" applyBorder="1" applyAlignment="1">
      <alignment horizontal="center" vertical="center"/>
    </xf>
    <xf numFmtId="22" fontId="5" fillId="3" borderId="7" xfId="0" applyNumberFormat="1" applyFont="1" applyFill="1" applyBorder="1" applyAlignment="1">
      <alignment horizontal="center" vertical="center"/>
    </xf>
    <xf numFmtId="22" fontId="21" fillId="14" borderId="0" xfId="0" applyNumberFormat="1" applyFont="1" applyFill="1" applyBorder="1" applyAlignment="1">
      <alignment horizontal="center" vertical="center"/>
    </xf>
    <xf numFmtId="22" fontId="21" fillId="14" borderId="7" xfId="0" applyNumberFormat="1" applyFont="1" applyFill="1" applyBorder="1" applyAlignment="1">
      <alignment horizontal="center" vertical="center"/>
    </xf>
    <xf numFmtId="0" fontId="23" fillId="5" borderId="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right" vertical="center"/>
    </xf>
    <xf numFmtId="22" fontId="5" fillId="2" borderId="5" xfId="0" applyNumberFormat="1" applyFont="1" applyFill="1" applyBorder="1" applyAlignment="1">
      <alignment horizontal="center" vertical="center"/>
    </xf>
    <xf numFmtId="22" fontId="5" fillId="2" borderId="8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4" fillId="14" borderId="0" xfId="0" applyFont="1" applyFill="1" applyBorder="1" applyAlignment="1">
      <alignment horizontal="center" vertical="center"/>
    </xf>
    <xf numFmtId="0" fontId="19" fillId="0" borderId="0" xfId="0" applyFont="1" applyAlignment="1">
      <alignment horizontal="right" vertical="center" wrapText="1"/>
    </xf>
    <xf numFmtId="0" fontId="29" fillId="0" borderId="0" xfId="0" applyFont="1" applyAlignment="1">
      <alignment horizontal="right" vertical="center" wrapText="1"/>
    </xf>
    <xf numFmtId="0" fontId="46" fillId="2" borderId="2" xfId="0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30" fontId="5" fillId="3" borderId="7" xfId="0" applyNumberFormat="1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33" fillId="5" borderId="0" xfId="0" applyFont="1" applyFill="1" applyBorder="1" applyAlignment="1">
      <alignment horizontal="center" vertical="center" wrapText="1"/>
    </xf>
    <xf numFmtId="30" fontId="5" fillId="5" borderId="7" xfId="0" applyNumberFormat="1" applyFont="1" applyFill="1" applyBorder="1" applyAlignment="1">
      <alignment horizontal="center" vertical="center"/>
    </xf>
    <xf numFmtId="0" fontId="47" fillId="14" borderId="0" xfId="0" applyFont="1" applyFill="1" applyBorder="1" applyAlignment="1">
      <alignment horizontal="center" vertical="center"/>
    </xf>
    <xf numFmtId="0" fontId="45" fillId="14" borderId="0" xfId="0" applyFont="1" applyFill="1" applyBorder="1" applyAlignment="1">
      <alignment horizontal="center" vertical="center" wrapText="1"/>
    </xf>
    <xf numFmtId="30" fontId="21" fillId="14" borderId="7" xfId="0" applyNumberFormat="1" applyFont="1" applyFill="1" applyBorder="1" applyAlignment="1">
      <alignment horizontal="center" vertical="center"/>
    </xf>
    <xf numFmtId="0" fontId="48" fillId="5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right" vertical="center" wrapText="1"/>
    </xf>
    <xf numFmtId="0" fontId="5" fillId="5" borderId="0" xfId="0" applyFont="1" applyFill="1" applyBorder="1" applyAlignment="1" quotePrefix="1">
      <alignment horizontal="center" vertical="center" wrapText="1"/>
    </xf>
    <xf numFmtId="0" fontId="5" fillId="3" borderId="0" xfId="0" applyFont="1" applyFill="1" applyBorder="1" applyAlignment="1" quotePrefix="1">
      <alignment horizontal="center" vertical="center" wrapText="1"/>
    </xf>
    <xf numFmtId="0" fontId="5" fillId="3" borderId="0" xfId="0" applyFont="1" applyFill="1" applyAlignment="1" quotePrefix="1">
      <alignment horizontal="center" vertical="center" wrapText="1"/>
    </xf>
    <xf numFmtId="0" fontId="6" fillId="8" borderId="3" xfId="0" applyFont="1" applyFill="1" applyBorder="1" applyAlignment="1" quotePrefix="1">
      <alignment horizontal="center" vertical="center" wrapText="1"/>
    </xf>
    <xf numFmtId="0" fontId="5" fillId="4" borderId="0" xfId="0" applyFont="1" applyFill="1" applyBorder="1" applyAlignment="1" quotePrefix="1">
      <alignment horizontal="center" vertical="center" wrapText="1"/>
    </xf>
    <xf numFmtId="0" fontId="3" fillId="5" borderId="0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313055</xdr:colOff>
      <xdr:row>9</xdr:row>
      <xdr:rowOff>172720</xdr:rowOff>
    </xdr:from>
    <xdr:to>
      <xdr:col>0</xdr:col>
      <xdr:colOff>421005</xdr:colOff>
      <xdr:row>9</xdr:row>
      <xdr:rowOff>248920</xdr:rowOff>
    </xdr:to>
    <xdr:sp>
      <xdr:nvSpPr>
        <xdr:cNvPr id="2" name="流程图: 合并 1"/>
        <xdr:cNvSpPr/>
      </xdr:nvSpPr>
      <xdr:spPr>
        <a:xfrm>
          <a:off x="313055" y="398272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313055</xdr:colOff>
      <xdr:row>9</xdr:row>
      <xdr:rowOff>77470</xdr:rowOff>
    </xdr:from>
    <xdr:to>
      <xdr:col>0</xdr:col>
      <xdr:colOff>421005</xdr:colOff>
      <xdr:row>9</xdr:row>
      <xdr:rowOff>153670</xdr:rowOff>
    </xdr:to>
    <xdr:sp>
      <xdr:nvSpPr>
        <xdr:cNvPr id="2" name="流程图: 合并 1"/>
        <xdr:cNvSpPr/>
      </xdr:nvSpPr>
      <xdr:spPr>
        <a:xfrm>
          <a:off x="313055" y="35064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313055</xdr:colOff>
      <xdr:row>9</xdr:row>
      <xdr:rowOff>77470</xdr:rowOff>
    </xdr:from>
    <xdr:to>
      <xdr:col>0</xdr:col>
      <xdr:colOff>421005</xdr:colOff>
      <xdr:row>9</xdr:row>
      <xdr:rowOff>153670</xdr:rowOff>
    </xdr:to>
    <xdr:sp>
      <xdr:nvSpPr>
        <xdr:cNvPr id="3" name="流程图: 合并 2"/>
        <xdr:cNvSpPr/>
      </xdr:nvSpPr>
      <xdr:spPr>
        <a:xfrm>
          <a:off x="313055" y="3506470"/>
          <a:ext cx="107950" cy="76200"/>
        </a:xfrm>
        <a:prstGeom prst="flowChartMerge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"/>
  <sheetViews>
    <sheetView tabSelected="1" workbookViewId="0">
      <selection activeCell="L7" sqref="L7"/>
    </sheetView>
  </sheetViews>
  <sheetFormatPr defaultColWidth="9" defaultRowHeight="12"/>
  <cols>
    <col min="1" max="1" width="5.625" style="85" customWidth="1"/>
    <col min="2" max="2" width="20.625" style="226" customWidth="1"/>
    <col min="3" max="4" width="15.625" style="85" customWidth="1"/>
    <col min="5" max="5" width="20.625" style="85" customWidth="1"/>
    <col min="6" max="12" width="15.625" style="85" customWidth="1"/>
    <col min="13" max="13" width="20.625" style="268" customWidth="1"/>
    <col min="14" max="14" width="20.625" style="85" customWidth="1"/>
    <col min="15" max="16384" width="9" style="85"/>
  </cols>
  <sheetData>
    <row r="1" s="85" customFormat="1" ht="30" customHeight="1" spans="1:13">
      <c r="A1" s="228" t="s">
        <v>0</v>
      </c>
      <c r="B1" s="229" t="s">
        <v>1</v>
      </c>
      <c r="C1" s="230" t="s">
        <v>2</v>
      </c>
      <c r="D1" s="230" t="s">
        <v>3</v>
      </c>
      <c r="E1" s="230" t="s">
        <v>4</v>
      </c>
      <c r="M1" s="268"/>
    </row>
    <row r="2" s="85" customFormat="1" ht="30" customHeight="1" spans="1:14">
      <c r="A2" s="231" t="s">
        <v>0</v>
      </c>
      <c r="B2" s="232" t="s">
        <v>5</v>
      </c>
      <c r="C2" s="232" t="s">
        <v>6</v>
      </c>
      <c r="D2" s="232" t="s">
        <v>7</v>
      </c>
      <c r="E2" s="232" t="s">
        <v>8</v>
      </c>
      <c r="J2" s="255"/>
      <c r="K2" s="255"/>
      <c r="L2" s="255"/>
      <c r="M2" s="270"/>
      <c r="N2" s="255"/>
    </row>
    <row r="3" s="85" customFormat="1" ht="30" customHeight="1" spans="1:14">
      <c r="A3" s="231" t="s">
        <v>0</v>
      </c>
      <c r="B3" s="232" t="s">
        <v>9</v>
      </c>
      <c r="C3" s="232" t="s">
        <v>10</v>
      </c>
      <c r="D3" s="232" t="s">
        <v>11</v>
      </c>
      <c r="E3" s="232" t="s">
        <v>12</v>
      </c>
      <c r="J3" s="255"/>
      <c r="K3" s="255"/>
      <c r="L3" s="255"/>
      <c r="M3" s="270"/>
      <c r="N3" s="255"/>
    </row>
    <row r="4" s="224" customFormat="1" ht="30" customHeight="1" spans="1:14">
      <c r="A4" s="233" t="s">
        <v>13</v>
      </c>
      <c r="B4" s="233"/>
      <c r="C4" s="234" t="s">
        <v>14</v>
      </c>
      <c r="D4" s="233" t="s">
        <v>15</v>
      </c>
      <c r="E4" s="233" t="s">
        <v>16</v>
      </c>
      <c r="F4" s="233" t="s">
        <v>17</v>
      </c>
      <c r="G4" s="233" t="s">
        <v>18</v>
      </c>
      <c r="H4" s="233" t="s">
        <v>19</v>
      </c>
      <c r="I4" s="233" t="s">
        <v>20</v>
      </c>
      <c r="J4" s="233"/>
      <c r="K4" s="233"/>
      <c r="L4" s="233"/>
      <c r="M4" s="271"/>
      <c r="N4" s="233"/>
    </row>
    <row r="5" s="85" customFormat="1" ht="30" customHeight="1" spans="1:14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36"/>
      <c r="M5" s="268"/>
      <c r="N5" s="236"/>
    </row>
    <row r="6" s="225" customFormat="1" ht="30" customHeight="1" spans="1:14">
      <c r="A6" s="237" t="s">
        <v>22</v>
      </c>
      <c r="B6" s="238" t="s">
        <v>23</v>
      </c>
      <c r="C6" s="238" t="s">
        <v>24</v>
      </c>
      <c r="D6" s="238" t="s">
        <v>25</v>
      </c>
      <c r="E6" s="238" t="s">
        <v>26</v>
      </c>
      <c r="F6" s="238" t="s">
        <v>27</v>
      </c>
      <c r="G6" s="238" t="s">
        <v>28</v>
      </c>
      <c r="H6" s="238" t="s">
        <v>29</v>
      </c>
      <c r="I6" s="238" t="s">
        <v>30</v>
      </c>
      <c r="J6" s="238" t="s">
        <v>31</v>
      </c>
      <c r="K6" s="238" t="s">
        <v>32</v>
      </c>
      <c r="L6" s="272" t="s">
        <v>33</v>
      </c>
      <c r="M6" s="273" t="s">
        <v>34</v>
      </c>
      <c r="N6" s="258" t="s">
        <v>35</v>
      </c>
    </row>
    <row r="7" s="85" customFormat="1" ht="40" customHeight="1" spans="1:14">
      <c r="A7" s="132">
        <v>1</v>
      </c>
      <c r="B7" s="239">
        <v>2341910252342040</v>
      </c>
      <c r="C7" s="133" t="s">
        <v>36</v>
      </c>
      <c r="D7" s="133" t="s">
        <v>36</v>
      </c>
      <c r="E7" s="133" t="s">
        <v>37</v>
      </c>
      <c r="F7" s="22" t="s">
        <v>38</v>
      </c>
      <c r="G7" s="240" t="s">
        <v>39</v>
      </c>
      <c r="H7" s="133">
        <v>13.5</v>
      </c>
      <c r="I7" s="133">
        <v>1</v>
      </c>
      <c r="J7" s="22" t="s">
        <v>40</v>
      </c>
      <c r="K7" s="22"/>
      <c r="L7" s="274" t="s">
        <v>41</v>
      </c>
      <c r="M7" s="259" t="s">
        <v>42</v>
      </c>
      <c r="N7" s="275" t="s">
        <v>43</v>
      </c>
    </row>
    <row r="8" s="85" customFormat="1" ht="40" customHeight="1" spans="1:14">
      <c r="A8" s="241">
        <v>2</v>
      </c>
      <c r="B8" s="242">
        <v>2341910250021040</v>
      </c>
      <c r="C8" s="243" t="s">
        <v>44</v>
      </c>
      <c r="D8" s="243" t="s">
        <v>44</v>
      </c>
      <c r="E8" s="244" t="s">
        <v>37</v>
      </c>
      <c r="F8" s="243" t="s">
        <v>38</v>
      </c>
      <c r="G8" s="245" t="s">
        <v>45</v>
      </c>
      <c r="H8" s="244">
        <v>1</v>
      </c>
      <c r="I8" s="244">
        <v>1</v>
      </c>
      <c r="J8" s="243" t="s">
        <v>40</v>
      </c>
      <c r="K8" s="243"/>
      <c r="L8" s="276" t="s">
        <v>46</v>
      </c>
      <c r="M8" s="277" t="s">
        <v>47</v>
      </c>
      <c r="N8" s="278" t="s">
        <v>48</v>
      </c>
    </row>
    <row r="9" s="85" customFormat="1" ht="40" customHeight="1" spans="1:14">
      <c r="A9" s="132">
        <v>3</v>
      </c>
      <c r="B9" s="239">
        <v>191025000040</v>
      </c>
      <c r="C9" s="133" t="s">
        <v>49</v>
      </c>
      <c r="D9" s="133" t="s">
        <v>49</v>
      </c>
      <c r="E9" s="133" t="s">
        <v>37</v>
      </c>
      <c r="F9" s="22" t="s">
        <v>38</v>
      </c>
      <c r="G9" s="133" t="s">
        <v>45</v>
      </c>
      <c r="H9" s="133">
        <v>7</v>
      </c>
      <c r="I9" s="133">
        <v>1</v>
      </c>
      <c r="J9" s="22" t="s">
        <v>50</v>
      </c>
      <c r="K9" s="22"/>
      <c r="L9" s="274" t="s">
        <v>51</v>
      </c>
      <c r="M9" s="259" t="s">
        <v>47</v>
      </c>
      <c r="N9" s="275" t="s">
        <v>52</v>
      </c>
    </row>
    <row r="10" s="86" customFormat="1" ht="40" customHeight="1" spans="1:14">
      <c r="A10" s="246">
        <v>4</v>
      </c>
      <c r="B10" s="247">
        <v>191012000003</v>
      </c>
      <c r="C10" s="250" t="s">
        <v>36</v>
      </c>
      <c r="D10" s="250" t="s">
        <v>36</v>
      </c>
      <c r="E10" s="250" t="s">
        <v>37</v>
      </c>
      <c r="F10" s="269" t="s">
        <v>38</v>
      </c>
      <c r="G10" s="250" t="s">
        <v>45</v>
      </c>
      <c r="H10" s="250">
        <v>22.5</v>
      </c>
      <c r="I10" s="250">
        <v>14</v>
      </c>
      <c r="J10" s="269" t="s">
        <v>40</v>
      </c>
      <c r="K10" s="269"/>
      <c r="L10" s="279" t="s">
        <v>53</v>
      </c>
      <c r="M10" s="280" t="s">
        <v>54</v>
      </c>
      <c r="N10" s="281" t="s">
        <v>55</v>
      </c>
    </row>
    <row r="11" s="85" customFormat="1" ht="40" customHeight="1" spans="1:14">
      <c r="A11" s="241">
        <v>5</v>
      </c>
      <c r="B11" s="242">
        <v>191013000009</v>
      </c>
      <c r="C11" s="243" t="s">
        <v>56</v>
      </c>
      <c r="D11" s="243" t="s">
        <v>56</v>
      </c>
      <c r="E11" s="244" t="s">
        <v>37</v>
      </c>
      <c r="F11" s="243" t="s">
        <v>38</v>
      </c>
      <c r="G11" s="245" t="s">
        <v>39</v>
      </c>
      <c r="H11" s="244">
        <v>4</v>
      </c>
      <c r="I11" s="244">
        <v>1</v>
      </c>
      <c r="J11" s="243" t="s">
        <v>40</v>
      </c>
      <c r="K11" s="243"/>
      <c r="L11" s="276" t="s">
        <v>51</v>
      </c>
      <c r="M11" s="282" t="s">
        <v>57</v>
      </c>
      <c r="N11" s="278" t="s">
        <v>58</v>
      </c>
    </row>
    <row r="12" s="85" customFormat="1" ht="40" customHeight="1" spans="1:14">
      <c r="A12" s="132">
        <v>6</v>
      </c>
      <c r="B12" s="239">
        <v>2341910252342040</v>
      </c>
      <c r="C12" s="133" t="s">
        <v>59</v>
      </c>
      <c r="D12" s="133" t="s">
        <v>59</v>
      </c>
      <c r="E12" s="133" t="s">
        <v>37</v>
      </c>
      <c r="F12" s="22" t="s">
        <v>38</v>
      </c>
      <c r="G12" s="240" t="s">
        <v>39</v>
      </c>
      <c r="H12" s="133">
        <v>1</v>
      </c>
      <c r="I12" s="133">
        <v>1</v>
      </c>
      <c r="J12" s="22" t="s">
        <v>40</v>
      </c>
      <c r="K12" s="22"/>
      <c r="L12" s="274" t="s">
        <v>51</v>
      </c>
      <c r="M12" s="259" t="s">
        <v>60</v>
      </c>
      <c r="N12" s="275" t="s">
        <v>61</v>
      </c>
    </row>
    <row r="13" s="85" customFormat="1" ht="40" customHeight="1" spans="1:14">
      <c r="A13" s="241">
        <v>7</v>
      </c>
      <c r="B13" s="242">
        <v>2341910250021040</v>
      </c>
      <c r="C13" s="243" t="s">
        <v>62</v>
      </c>
      <c r="D13" s="243" t="s">
        <v>62</v>
      </c>
      <c r="E13" s="244" t="s">
        <v>37</v>
      </c>
      <c r="F13" s="243" t="s">
        <v>38</v>
      </c>
      <c r="G13" s="245" t="s">
        <v>39</v>
      </c>
      <c r="H13" s="244">
        <v>31</v>
      </c>
      <c r="I13" s="244">
        <v>1</v>
      </c>
      <c r="J13" s="243" t="s">
        <v>40</v>
      </c>
      <c r="K13" s="243"/>
      <c r="L13" s="276" t="s">
        <v>51</v>
      </c>
      <c r="M13" s="282" t="s">
        <v>57</v>
      </c>
      <c r="N13" s="278" t="s">
        <v>63</v>
      </c>
    </row>
    <row r="14" s="85" customFormat="1" ht="40" customHeight="1" spans="1:14">
      <c r="A14" s="132">
        <v>8</v>
      </c>
      <c r="B14" s="239">
        <v>2341910247700040</v>
      </c>
      <c r="C14" s="22" t="s">
        <v>64</v>
      </c>
      <c r="D14" s="22" t="s">
        <v>64</v>
      </c>
      <c r="E14" s="133" t="s">
        <v>37</v>
      </c>
      <c r="F14" s="22" t="s">
        <v>38</v>
      </c>
      <c r="G14" s="240" t="s">
        <v>39</v>
      </c>
      <c r="H14" s="133">
        <v>16</v>
      </c>
      <c r="I14" s="133">
        <v>1</v>
      </c>
      <c r="J14" s="22" t="s">
        <v>50</v>
      </c>
      <c r="K14" s="22"/>
      <c r="L14" s="274" t="s">
        <v>51</v>
      </c>
      <c r="M14" s="259" t="s">
        <v>47</v>
      </c>
      <c r="N14" s="275" t="s">
        <v>65</v>
      </c>
    </row>
    <row r="15" s="85" customFormat="1" ht="40" customHeight="1" spans="1:14">
      <c r="A15" s="241">
        <v>9</v>
      </c>
      <c r="B15" s="242">
        <v>2341910245379040</v>
      </c>
      <c r="C15" s="243" t="s">
        <v>66</v>
      </c>
      <c r="D15" s="243" t="s">
        <v>66</v>
      </c>
      <c r="E15" s="244" t="s">
        <v>37</v>
      </c>
      <c r="F15" s="243" t="s">
        <v>38</v>
      </c>
      <c r="G15" s="245" t="s">
        <v>39</v>
      </c>
      <c r="H15" s="244">
        <v>1</v>
      </c>
      <c r="I15" s="244">
        <v>1</v>
      </c>
      <c r="J15" s="243" t="s">
        <v>40</v>
      </c>
      <c r="K15" s="243"/>
      <c r="L15" s="276" t="s">
        <v>51</v>
      </c>
      <c r="M15" s="277" t="s">
        <v>47</v>
      </c>
      <c r="N15" s="278" t="s">
        <v>67</v>
      </c>
    </row>
    <row r="16" s="85" customFormat="1" ht="40" customHeight="1" spans="1:14">
      <c r="A16" s="132">
        <v>10</v>
      </c>
      <c r="B16" s="239">
        <v>2341910243058040</v>
      </c>
      <c r="C16" s="133" t="s">
        <v>36</v>
      </c>
      <c r="D16" s="133" t="s">
        <v>36</v>
      </c>
      <c r="E16" s="133" t="s">
        <v>37</v>
      </c>
      <c r="F16" s="22" t="s">
        <v>68</v>
      </c>
      <c r="G16" s="240" t="s">
        <v>39</v>
      </c>
      <c r="H16" s="133">
        <v>8</v>
      </c>
      <c r="I16" s="133">
        <v>1</v>
      </c>
      <c r="J16" s="22" t="s">
        <v>40</v>
      </c>
      <c r="K16" s="22"/>
      <c r="L16" s="274" t="s">
        <v>51</v>
      </c>
      <c r="M16" s="259" t="s">
        <v>60</v>
      </c>
      <c r="N16" s="275" t="s">
        <v>69</v>
      </c>
    </row>
    <row r="17" s="85" customFormat="1" ht="40" customHeight="1" spans="1:14">
      <c r="A17" s="241">
        <v>11</v>
      </c>
      <c r="B17" s="242">
        <v>2341910240737040</v>
      </c>
      <c r="C17" s="244" t="s">
        <v>36</v>
      </c>
      <c r="D17" s="244" t="s">
        <v>36</v>
      </c>
      <c r="E17" s="244" t="s">
        <v>37</v>
      </c>
      <c r="F17" s="243" t="s">
        <v>68</v>
      </c>
      <c r="G17" s="245" t="s">
        <v>39</v>
      </c>
      <c r="H17" s="244">
        <v>13.5</v>
      </c>
      <c r="I17" s="244">
        <v>1</v>
      </c>
      <c r="J17" s="243" t="s">
        <v>40</v>
      </c>
      <c r="K17" s="243"/>
      <c r="L17" s="276" t="s">
        <v>51</v>
      </c>
      <c r="M17" s="277" t="s">
        <v>60</v>
      </c>
      <c r="N17" s="278" t="s">
        <v>43</v>
      </c>
    </row>
    <row r="18" s="85" customFormat="1" ht="40" customHeight="1" spans="1:14">
      <c r="A18" s="132">
        <v>12</v>
      </c>
      <c r="B18" s="239">
        <v>2341910238416040</v>
      </c>
      <c r="C18" s="22" t="s">
        <v>44</v>
      </c>
      <c r="D18" s="22" t="s">
        <v>44</v>
      </c>
      <c r="E18" s="133" t="s">
        <v>37</v>
      </c>
      <c r="F18" s="22" t="s">
        <v>38</v>
      </c>
      <c r="G18" s="240" t="s">
        <v>39</v>
      </c>
      <c r="H18" s="133">
        <v>1</v>
      </c>
      <c r="I18" s="133">
        <v>1</v>
      </c>
      <c r="J18" s="22" t="s">
        <v>50</v>
      </c>
      <c r="K18" s="22"/>
      <c r="L18" s="274" t="s">
        <v>51</v>
      </c>
      <c r="M18" s="259" t="s">
        <v>47</v>
      </c>
      <c r="N18" s="275" t="s">
        <v>48</v>
      </c>
    </row>
    <row r="19" s="85" customFormat="1" ht="40" customHeight="1" spans="1:14">
      <c r="A19" s="241">
        <v>13</v>
      </c>
      <c r="B19" s="242">
        <v>191025000040</v>
      </c>
      <c r="C19" s="244" t="s">
        <v>49</v>
      </c>
      <c r="D19" s="244" t="s">
        <v>49</v>
      </c>
      <c r="E19" s="244" t="s">
        <v>37</v>
      </c>
      <c r="F19" s="243" t="s">
        <v>68</v>
      </c>
      <c r="G19" s="245" t="s">
        <v>39</v>
      </c>
      <c r="H19" s="244">
        <v>7</v>
      </c>
      <c r="I19" s="244">
        <v>1</v>
      </c>
      <c r="J19" s="243" t="s">
        <v>40</v>
      </c>
      <c r="K19" s="243"/>
      <c r="L19" s="276" t="s">
        <v>51</v>
      </c>
      <c r="M19" s="277" t="s">
        <v>47</v>
      </c>
      <c r="N19" s="278" t="s">
        <v>52</v>
      </c>
    </row>
    <row r="20" s="85" customFormat="1" ht="40" customHeight="1" spans="1:14">
      <c r="A20" s="132">
        <v>14</v>
      </c>
      <c r="B20" s="239">
        <v>191012000003</v>
      </c>
      <c r="C20" s="133" t="s">
        <v>36</v>
      </c>
      <c r="D20" s="133" t="s">
        <v>36</v>
      </c>
      <c r="E20" s="133" t="s">
        <v>37</v>
      </c>
      <c r="F20" s="22" t="s">
        <v>68</v>
      </c>
      <c r="G20" s="240" t="s">
        <v>39</v>
      </c>
      <c r="H20" s="133">
        <v>22.5</v>
      </c>
      <c r="I20" s="133">
        <v>18</v>
      </c>
      <c r="J20" s="22" t="s">
        <v>40</v>
      </c>
      <c r="K20" s="22"/>
      <c r="L20" s="274" t="s">
        <v>51</v>
      </c>
      <c r="M20" s="259" t="s">
        <v>60</v>
      </c>
      <c r="N20" s="275" t="s">
        <v>55</v>
      </c>
    </row>
    <row r="21" s="85" customFormat="1" ht="40" customHeight="1" spans="1:14">
      <c r="A21" s="241">
        <v>15</v>
      </c>
      <c r="B21" s="242">
        <v>191013000009</v>
      </c>
      <c r="C21" s="243" t="s">
        <v>56</v>
      </c>
      <c r="D21" s="243" t="s">
        <v>56</v>
      </c>
      <c r="E21" s="244" t="s">
        <v>37</v>
      </c>
      <c r="F21" s="243" t="s">
        <v>38</v>
      </c>
      <c r="G21" s="245" t="s">
        <v>39</v>
      </c>
      <c r="H21" s="244">
        <v>4</v>
      </c>
      <c r="I21" s="244">
        <v>1</v>
      </c>
      <c r="J21" s="243" t="s">
        <v>40</v>
      </c>
      <c r="K21" s="243"/>
      <c r="L21" s="276" t="s">
        <v>51</v>
      </c>
      <c r="M21" s="277" t="s">
        <v>60</v>
      </c>
      <c r="N21" s="278" t="s">
        <v>58</v>
      </c>
    </row>
    <row r="22" s="85" customFormat="1" ht="40" customHeight="1" spans="1:14">
      <c r="A22" s="132">
        <v>16</v>
      </c>
      <c r="B22" s="239">
        <v>190922000006</v>
      </c>
      <c r="C22" s="133" t="s">
        <v>36</v>
      </c>
      <c r="D22" s="133" t="s">
        <v>36</v>
      </c>
      <c r="E22" s="133" t="s">
        <v>37</v>
      </c>
      <c r="F22" s="22" t="s">
        <v>68</v>
      </c>
      <c r="G22" s="240" t="s">
        <v>39</v>
      </c>
      <c r="H22" s="133">
        <v>8</v>
      </c>
      <c r="I22" s="133">
        <v>1</v>
      </c>
      <c r="J22" s="22" t="s">
        <v>50</v>
      </c>
      <c r="K22" s="22"/>
      <c r="L22" s="274" t="s">
        <v>51</v>
      </c>
      <c r="M22" s="259" t="s">
        <v>60</v>
      </c>
      <c r="N22" s="275" t="s">
        <v>69</v>
      </c>
    </row>
    <row r="23" s="85" customFormat="1" ht="40" customHeight="1" spans="1:14">
      <c r="A23" s="241">
        <v>17</v>
      </c>
      <c r="B23" s="242">
        <v>190828000021</v>
      </c>
      <c r="C23" s="244" t="s">
        <v>36</v>
      </c>
      <c r="D23" s="244" t="s">
        <v>36</v>
      </c>
      <c r="E23" s="244" t="s">
        <v>37</v>
      </c>
      <c r="F23" s="243" t="s">
        <v>68</v>
      </c>
      <c r="G23" s="245" t="s">
        <v>39</v>
      </c>
      <c r="H23" s="244">
        <v>13.5</v>
      </c>
      <c r="I23" s="244">
        <v>1</v>
      </c>
      <c r="J23" s="243" t="s">
        <v>40</v>
      </c>
      <c r="K23" s="243"/>
      <c r="L23" s="276" t="s">
        <v>51</v>
      </c>
      <c r="M23" s="277" t="s">
        <v>60</v>
      </c>
      <c r="N23" s="278" t="s">
        <v>43</v>
      </c>
    </row>
    <row r="24" s="85" customFormat="1" ht="40" customHeight="1" spans="1:14">
      <c r="A24" s="132">
        <v>18</v>
      </c>
      <c r="B24" s="239">
        <v>191025000041</v>
      </c>
      <c r="C24" s="22" t="s">
        <v>44</v>
      </c>
      <c r="D24" s="22" t="s">
        <v>44</v>
      </c>
      <c r="E24" s="133" t="s">
        <v>37</v>
      </c>
      <c r="F24" s="22" t="s">
        <v>38</v>
      </c>
      <c r="G24" s="240" t="s">
        <v>39</v>
      </c>
      <c r="H24" s="133">
        <v>1</v>
      </c>
      <c r="I24" s="133">
        <v>1</v>
      </c>
      <c r="J24" s="22" t="s">
        <v>40</v>
      </c>
      <c r="K24" s="22"/>
      <c r="L24" s="274" t="s">
        <v>51</v>
      </c>
      <c r="M24" s="259" t="s">
        <v>47</v>
      </c>
      <c r="N24" s="275" t="s">
        <v>48</v>
      </c>
    </row>
    <row r="25" s="85" customFormat="1" ht="40" customHeight="1" spans="1:14">
      <c r="A25" s="241">
        <v>19</v>
      </c>
      <c r="B25" s="242">
        <v>191025000040</v>
      </c>
      <c r="C25" s="244" t="s">
        <v>49</v>
      </c>
      <c r="D25" s="244" t="s">
        <v>49</v>
      </c>
      <c r="E25" s="244" t="s">
        <v>37</v>
      </c>
      <c r="F25" s="243" t="s">
        <v>68</v>
      </c>
      <c r="G25" s="245" t="s">
        <v>39</v>
      </c>
      <c r="H25" s="244">
        <v>7</v>
      </c>
      <c r="I25" s="244">
        <v>1</v>
      </c>
      <c r="J25" s="243" t="s">
        <v>40</v>
      </c>
      <c r="K25" s="243"/>
      <c r="L25" s="276" t="s">
        <v>51</v>
      </c>
      <c r="M25" s="277" t="s">
        <v>47</v>
      </c>
      <c r="N25" s="278" t="s">
        <v>52</v>
      </c>
    </row>
    <row r="26" s="85" customFormat="1" ht="40" customHeight="1" spans="1:14">
      <c r="A26" s="132">
        <v>20</v>
      </c>
      <c r="B26" s="239">
        <v>191012000003</v>
      </c>
      <c r="C26" s="133" t="s">
        <v>36</v>
      </c>
      <c r="D26" s="133" t="s">
        <v>36</v>
      </c>
      <c r="E26" s="133" t="s">
        <v>37</v>
      </c>
      <c r="F26" s="22" t="s">
        <v>68</v>
      </c>
      <c r="G26" s="240" t="s">
        <v>39</v>
      </c>
      <c r="H26" s="133">
        <v>22.5</v>
      </c>
      <c r="I26" s="133">
        <v>18</v>
      </c>
      <c r="J26" s="22" t="s">
        <v>50</v>
      </c>
      <c r="K26" s="22"/>
      <c r="L26" s="274" t="s">
        <v>51</v>
      </c>
      <c r="M26" s="259" t="s">
        <v>60</v>
      </c>
      <c r="N26" s="275" t="s">
        <v>55</v>
      </c>
    </row>
    <row r="27" s="85" customFormat="1" ht="30" customHeight="1" spans="1:14">
      <c r="A27" s="252"/>
      <c r="B27" s="253"/>
      <c r="C27" s="254"/>
      <c r="D27" s="254"/>
      <c r="E27" s="254"/>
      <c r="F27" s="254"/>
      <c r="G27" s="254"/>
      <c r="H27" s="254"/>
      <c r="I27" s="254"/>
      <c r="J27" s="254"/>
      <c r="K27" s="254"/>
      <c r="L27" s="254"/>
      <c r="M27" s="283"/>
      <c r="N27" s="267"/>
    </row>
    <row r="28" spans="1:14">
      <c r="A28" s="226"/>
      <c r="C28" s="226"/>
      <c r="D28" s="226"/>
      <c r="E28" s="226"/>
      <c r="F28" s="226"/>
      <c r="G28" s="226"/>
      <c r="H28" s="226"/>
      <c r="I28" s="226"/>
      <c r="J28" s="226"/>
      <c r="K28" s="226"/>
      <c r="L28" s="226"/>
      <c r="N28" s="226"/>
    </row>
  </sheetData>
  <mergeCells count="1">
    <mergeCell ref="A4:B4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topLeftCell="A4" workbookViewId="0">
      <selection activeCell="G19" sqref="G19"/>
    </sheetView>
  </sheetViews>
  <sheetFormatPr defaultColWidth="9" defaultRowHeight="12"/>
  <cols>
    <col min="1" max="1" width="5.625" style="85" customWidth="1"/>
    <col min="2" max="2" width="20.625" style="226" customWidth="1"/>
    <col min="3" max="4" width="15.625" style="85" customWidth="1"/>
    <col min="5" max="5" width="20.625" style="85" customWidth="1"/>
    <col min="6" max="11" width="15.625" style="85" customWidth="1"/>
    <col min="12" max="12" width="15.625" style="227" customWidth="1"/>
    <col min="13" max="14" width="18.625" style="85" customWidth="1"/>
    <col min="15" max="16384" width="9" style="85"/>
  </cols>
  <sheetData>
    <row r="1" s="85" customFormat="1" ht="30" customHeight="1" spans="1:12">
      <c r="A1" s="228" t="s">
        <v>0</v>
      </c>
      <c r="B1" s="229" t="s">
        <v>1</v>
      </c>
      <c r="C1" s="230" t="s">
        <v>2</v>
      </c>
      <c r="D1" s="230" t="s">
        <v>3</v>
      </c>
      <c r="E1" s="230" t="s">
        <v>4</v>
      </c>
      <c r="L1" s="227"/>
    </row>
    <row r="2" s="85" customFormat="1" ht="30" customHeight="1" spans="1:14">
      <c r="A2" s="231" t="s">
        <v>0</v>
      </c>
      <c r="B2" s="232" t="s">
        <v>5</v>
      </c>
      <c r="C2" s="232" t="s">
        <v>6</v>
      </c>
      <c r="D2" s="232" t="s">
        <v>7</v>
      </c>
      <c r="E2" s="232" t="s">
        <v>8</v>
      </c>
      <c r="J2" s="255"/>
      <c r="K2" s="255"/>
      <c r="L2" s="256"/>
      <c r="M2" s="255"/>
      <c r="N2" s="255"/>
    </row>
    <row r="3" s="85" customFormat="1" ht="30" customHeight="1" spans="1:14">
      <c r="A3" s="231" t="s">
        <v>0</v>
      </c>
      <c r="B3" s="232" t="s">
        <v>9</v>
      </c>
      <c r="C3" s="232" t="s">
        <v>10</v>
      </c>
      <c r="D3" s="232" t="s">
        <v>11</v>
      </c>
      <c r="E3" s="232" t="s">
        <v>12</v>
      </c>
      <c r="J3" s="255"/>
      <c r="K3" s="255"/>
      <c r="L3" s="256"/>
      <c r="M3" s="255"/>
      <c r="N3" s="255"/>
    </row>
    <row r="4" s="224" customFormat="1" ht="30" customHeight="1" spans="1:14">
      <c r="A4" s="233" t="s">
        <v>13</v>
      </c>
      <c r="B4" s="233"/>
      <c r="C4" s="234" t="s">
        <v>14</v>
      </c>
      <c r="D4" s="234" t="s">
        <v>14</v>
      </c>
      <c r="E4" s="233" t="s">
        <v>15</v>
      </c>
      <c r="F4" s="233" t="s">
        <v>16</v>
      </c>
      <c r="G4" s="233" t="s">
        <v>17</v>
      </c>
      <c r="H4" s="233" t="s">
        <v>19</v>
      </c>
      <c r="I4" s="233" t="s">
        <v>20</v>
      </c>
      <c r="J4" s="233"/>
      <c r="K4" s="233"/>
      <c r="L4" s="257"/>
      <c r="M4" s="233"/>
      <c r="N4" s="233"/>
    </row>
    <row r="5" s="85" customFormat="1" ht="30" customHeight="1" spans="1:14">
      <c r="A5" s="235" t="s">
        <v>21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  <c r="L5" s="227"/>
      <c r="M5" s="236"/>
      <c r="N5" s="236"/>
    </row>
    <row r="6" s="225" customFormat="1" ht="30" customHeight="1" spans="1:14">
      <c r="A6" s="237" t="s">
        <v>22</v>
      </c>
      <c r="B6" s="238" t="s">
        <v>23</v>
      </c>
      <c r="C6" s="238" t="s">
        <v>24</v>
      </c>
      <c r="D6" s="238" t="s">
        <v>25</v>
      </c>
      <c r="E6" s="238" t="s">
        <v>26</v>
      </c>
      <c r="F6" s="238" t="s">
        <v>27</v>
      </c>
      <c r="G6" s="238" t="s">
        <v>28</v>
      </c>
      <c r="H6" s="238" t="s">
        <v>29</v>
      </c>
      <c r="I6" s="238" t="s">
        <v>30</v>
      </c>
      <c r="J6" s="238" t="s">
        <v>70</v>
      </c>
      <c r="K6" s="238" t="s">
        <v>71</v>
      </c>
      <c r="L6" s="238" t="s">
        <v>34</v>
      </c>
      <c r="M6" s="238" t="s">
        <v>72</v>
      </c>
      <c r="N6" s="258" t="s">
        <v>35</v>
      </c>
    </row>
    <row r="7" s="85" customFormat="1" ht="30" customHeight="1" spans="1:14">
      <c r="A7" s="132">
        <v>1</v>
      </c>
      <c r="B7" s="239">
        <v>2341910252342040</v>
      </c>
      <c r="C7" s="133" t="s">
        <v>36</v>
      </c>
      <c r="D7" s="133" t="s">
        <v>36</v>
      </c>
      <c r="E7" s="133" t="s">
        <v>37</v>
      </c>
      <c r="F7" s="22" t="s">
        <v>38</v>
      </c>
      <c r="G7" s="240" t="s">
        <v>39</v>
      </c>
      <c r="H7" s="133">
        <v>13.5</v>
      </c>
      <c r="I7" s="133">
        <v>1</v>
      </c>
      <c r="J7" s="22" t="s">
        <v>73</v>
      </c>
      <c r="K7" s="22" t="s">
        <v>74</v>
      </c>
      <c r="L7" s="259" t="s">
        <v>75</v>
      </c>
      <c r="M7" s="260" t="s">
        <v>43</v>
      </c>
      <c r="N7" s="261" t="s">
        <v>43</v>
      </c>
    </row>
    <row r="8" s="85" customFormat="1" ht="30" customHeight="1" spans="1:14">
      <c r="A8" s="241">
        <v>2</v>
      </c>
      <c r="B8" s="242">
        <v>2341910250021040</v>
      </c>
      <c r="C8" s="243" t="s">
        <v>44</v>
      </c>
      <c r="D8" s="243" t="s">
        <v>44</v>
      </c>
      <c r="E8" s="244" t="s">
        <v>37</v>
      </c>
      <c r="F8" s="243" t="s">
        <v>38</v>
      </c>
      <c r="G8" s="245" t="s">
        <v>45</v>
      </c>
      <c r="H8" s="244">
        <v>1</v>
      </c>
      <c r="I8" s="244">
        <v>1</v>
      </c>
      <c r="J8" s="243" t="s">
        <v>76</v>
      </c>
      <c r="K8" s="243" t="s">
        <v>77</v>
      </c>
      <c r="L8" s="244" t="s">
        <v>78</v>
      </c>
      <c r="M8" s="159" t="s">
        <v>48</v>
      </c>
      <c r="N8" s="190" t="s">
        <v>48</v>
      </c>
    </row>
    <row r="9" s="85" customFormat="1" ht="30" customHeight="1" spans="1:14">
      <c r="A9" s="132">
        <v>3</v>
      </c>
      <c r="B9" s="239">
        <v>191025000040</v>
      </c>
      <c r="C9" s="133" t="s">
        <v>49</v>
      </c>
      <c r="D9" s="133" t="s">
        <v>49</v>
      </c>
      <c r="E9" s="133" t="s">
        <v>37</v>
      </c>
      <c r="F9" s="22" t="s">
        <v>38</v>
      </c>
      <c r="G9" s="133" t="s">
        <v>45</v>
      </c>
      <c r="H9" s="133">
        <v>7</v>
      </c>
      <c r="I9" s="133">
        <v>1</v>
      </c>
      <c r="J9" s="22" t="s">
        <v>73</v>
      </c>
      <c r="K9" s="22" t="s">
        <v>77</v>
      </c>
      <c r="L9" s="133" t="s">
        <v>78</v>
      </c>
      <c r="M9" s="260" t="s">
        <v>52</v>
      </c>
      <c r="N9" s="261" t="s">
        <v>52</v>
      </c>
    </row>
    <row r="10" s="86" customFormat="1" ht="30" customHeight="1" spans="1:14">
      <c r="A10" s="246">
        <v>4</v>
      </c>
      <c r="B10" s="247">
        <v>2341234567890</v>
      </c>
      <c r="C10" s="248" t="s">
        <v>36</v>
      </c>
      <c r="D10" s="248" t="s">
        <v>36</v>
      </c>
      <c r="E10" s="248" t="s">
        <v>37</v>
      </c>
      <c r="F10" s="249" t="s">
        <v>38</v>
      </c>
      <c r="G10" s="250" t="s">
        <v>45</v>
      </c>
      <c r="H10" s="250">
        <v>1</v>
      </c>
      <c r="I10" s="250">
        <v>1</v>
      </c>
      <c r="J10" s="249" t="s">
        <v>73</v>
      </c>
      <c r="K10" s="249" t="s">
        <v>77</v>
      </c>
      <c r="L10" s="248" t="s">
        <v>79</v>
      </c>
      <c r="M10" s="262" t="s">
        <v>55</v>
      </c>
      <c r="N10" s="263" t="s">
        <v>55</v>
      </c>
    </row>
    <row r="11" s="86" customFormat="1" ht="30" customHeight="1" spans="1:14">
      <c r="A11" s="246"/>
      <c r="B11" s="247" t="s">
        <v>80</v>
      </c>
      <c r="C11" s="248"/>
      <c r="D11" s="248"/>
      <c r="E11" s="248"/>
      <c r="F11" s="249"/>
      <c r="G11" s="251" t="s">
        <v>45</v>
      </c>
      <c r="H11" s="250">
        <v>2</v>
      </c>
      <c r="I11" s="250">
        <v>1</v>
      </c>
      <c r="J11" s="249"/>
      <c r="K11" s="249"/>
      <c r="L11" s="248"/>
      <c r="M11" s="262" t="s">
        <v>55</v>
      </c>
      <c r="N11" s="263" t="s">
        <v>55</v>
      </c>
    </row>
    <row r="12" s="86" customFormat="1" ht="30" customHeight="1" spans="1:14">
      <c r="A12" s="246"/>
      <c r="B12" s="247" t="s">
        <v>81</v>
      </c>
      <c r="C12" s="248"/>
      <c r="D12" s="248"/>
      <c r="E12" s="248"/>
      <c r="F12" s="249"/>
      <c r="G12" s="250" t="s">
        <v>39</v>
      </c>
      <c r="H12" s="250">
        <v>3</v>
      </c>
      <c r="I12" s="250">
        <v>1</v>
      </c>
      <c r="J12" s="249"/>
      <c r="K12" s="249"/>
      <c r="L12" s="248"/>
      <c r="M12" s="262" t="s">
        <v>55</v>
      </c>
      <c r="N12" s="263" t="s">
        <v>55</v>
      </c>
    </row>
    <row r="13" s="86" customFormat="1" ht="30" customHeight="1" spans="1:14">
      <c r="A13" s="246"/>
      <c r="B13" s="247" t="s">
        <v>82</v>
      </c>
      <c r="C13" s="248"/>
      <c r="D13" s="248"/>
      <c r="E13" s="248"/>
      <c r="F13" s="249"/>
      <c r="G13" s="250" t="s">
        <v>45</v>
      </c>
      <c r="H13" s="250">
        <v>4</v>
      </c>
      <c r="I13" s="250">
        <v>1</v>
      </c>
      <c r="J13" s="249"/>
      <c r="K13" s="249"/>
      <c r="L13" s="248"/>
      <c r="M13" s="262" t="s">
        <v>55</v>
      </c>
      <c r="N13" s="263" t="s">
        <v>55</v>
      </c>
    </row>
    <row r="14" s="86" customFormat="1" ht="30" customHeight="1" spans="1:14">
      <c r="A14" s="246"/>
      <c r="B14" s="247" t="s">
        <v>83</v>
      </c>
      <c r="C14" s="248"/>
      <c r="D14" s="248"/>
      <c r="E14" s="248"/>
      <c r="F14" s="249"/>
      <c r="G14" s="251" t="s">
        <v>45</v>
      </c>
      <c r="H14" s="250">
        <v>5</v>
      </c>
      <c r="I14" s="250">
        <v>1</v>
      </c>
      <c r="J14" s="249"/>
      <c r="K14" s="249"/>
      <c r="L14" s="248"/>
      <c r="M14" s="262" t="s">
        <v>55</v>
      </c>
      <c r="N14" s="263" t="s">
        <v>55</v>
      </c>
    </row>
    <row r="15" s="86" customFormat="1" ht="30" customHeight="1" spans="1:14">
      <c r="A15" s="246"/>
      <c r="B15" s="247" t="s">
        <v>84</v>
      </c>
      <c r="C15" s="248"/>
      <c r="D15" s="248"/>
      <c r="E15" s="248"/>
      <c r="F15" s="249"/>
      <c r="G15" s="250" t="s">
        <v>39</v>
      </c>
      <c r="H15" s="250">
        <v>6</v>
      </c>
      <c r="I15" s="250">
        <v>1</v>
      </c>
      <c r="J15" s="249"/>
      <c r="K15" s="249"/>
      <c r="L15" s="248"/>
      <c r="M15" s="262" t="s">
        <v>55</v>
      </c>
      <c r="N15" s="263" t="s">
        <v>55</v>
      </c>
    </row>
    <row r="16" s="86" customFormat="1" ht="30" customHeight="1" spans="1:14">
      <c r="A16" s="246"/>
      <c r="B16" s="247" t="s">
        <v>85</v>
      </c>
      <c r="C16" s="248"/>
      <c r="D16" s="248"/>
      <c r="E16" s="248"/>
      <c r="F16" s="249"/>
      <c r="G16" s="250" t="s">
        <v>45</v>
      </c>
      <c r="H16" s="250">
        <v>7</v>
      </c>
      <c r="I16" s="250">
        <v>1</v>
      </c>
      <c r="J16" s="249"/>
      <c r="K16" s="249"/>
      <c r="L16" s="248"/>
      <c r="M16" s="262" t="s">
        <v>55</v>
      </c>
      <c r="N16" s="263" t="s">
        <v>55</v>
      </c>
    </row>
    <row r="17" s="86" customFormat="1" ht="30" customHeight="1" spans="1:14">
      <c r="A17" s="246"/>
      <c r="B17" s="247" t="s">
        <v>86</v>
      </c>
      <c r="C17" s="248"/>
      <c r="D17" s="248"/>
      <c r="E17" s="248"/>
      <c r="F17" s="249"/>
      <c r="G17" s="251" t="s">
        <v>45</v>
      </c>
      <c r="H17" s="250">
        <v>8</v>
      </c>
      <c r="I17" s="250">
        <v>1</v>
      </c>
      <c r="J17" s="249"/>
      <c r="K17" s="249"/>
      <c r="L17" s="248"/>
      <c r="M17" s="262" t="s">
        <v>55</v>
      </c>
      <c r="N17" s="263" t="s">
        <v>55</v>
      </c>
    </row>
    <row r="18" s="86" customFormat="1" ht="30" customHeight="1" spans="1:14">
      <c r="A18" s="246"/>
      <c r="B18" s="247" t="s">
        <v>87</v>
      </c>
      <c r="C18" s="248"/>
      <c r="D18" s="248"/>
      <c r="E18" s="248"/>
      <c r="F18" s="249"/>
      <c r="G18" s="250" t="s">
        <v>39</v>
      </c>
      <c r="H18" s="250">
        <v>9</v>
      </c>
      <c r="I18" s="250">
        <v>1</v>
      </c>
      <c r="J18" s="249"/>
      <c r="K18" s="249"/>
      <c r="L18" s="248"/>
      <c r="M18" s="262" t="s">
        <v>55</v>
      </c>
      <c r="N18" s="263" t="s">
        <v>55</v>
      </c>
    </row>
    <row r="19" s="86" customFormat="1" ht="30" customHeight="1" spans="1:14">
      <c r="A19" s="246"/>
      <c r="B19" s="247" t="s">
        <v>88</v>
      </c>
      <c r="C19" s="248"/>
      <c r="D19" s="248"/>
      <c r="E19" s="248"/>
      <c r="F19" s="249"/>
      <c r="G19" s="250" t="s">
        <v>39</v>
      </c>
      <c r="H19" s="250">
        <v>10</v>
      </c>
      <c r="I19" s="250">
        <v>1</v>
      </c>
      <c r="J19" s="249"/>
      <c r="K19" s="249"/>
      <c r="L19" s="248"/>
      <c r="M19" s="262" t="s">
        <v>55</v>
      </c>
      <c r="N19" s="263" t="s">
        <v>55</v>
      </c>
    </row>
    <row r="20" s="85" customFormat="1" ht="30" customHeight="1" spans="1:14">
      <c r="A20" s="241">
        <v>5</v>
      </c>
      <c r="B20" s="242">
        <v>191013000009</v>
      </c>
      <c r="C20" s="243" t="s">
        <v>56</v>
      </c>
      <c r="D20" s="243" t="s">
        <v>56</v>
      </c>
      <c r="E20" s="244" t="s">
        <v>37</v>
      </c>
      <c r="F20" s="243" t="s">
        <v>38</v>
      </c>
      <c r="G20" s="245" t="s">
        <v>39</v>
      </c>
      <c r="H20" s="244">
        <v>4</v>
      </c>
      <c r="I20" s="244">
        <v>1</v>
      </c>
      <c r="J20" s="243" t="s">
        <v>76</v>
      </c>
      <c r="K20" s="243" t="s">
        <v>74</v>
      </c>
      <c r="L20" s="264" t="s">
        <v>89</v>
      </c>
      <c r="M20" s="159" t="s">
        <v>58</v>
      </c>
      <c r="N20" s="190" t="s">
        <v>58</v>
      </c>
    </row>
    <row r="21" s="85" customFormat="1" ht="30" customHeight="1" spans="1:14">
      <c r="A21" s="132">
        <v>6</v>
      </c>
      <c r="B21" s="239">
        <v>2341910252342040</v>
      </c>
      <c r="C21" s="133" t="s">
        <v>59</v>
      </c>
      <c r="D21" s="133" t="s">
        <v>59</v>
      </c>
      <c r="E21" s="133" t="s">
        <v>37</v>
      </c>
      <c r="F21" s="22" t="s">
        <v>38</v>
      </c>
      <c r="G21" s="240" t="s">
        <v>39</v>
      </c>
      <c r="H21" s="133">
        <v>1</v>
      </c>
      <c r="I21" s="133">
        <v>1</v>
      </c>
      <c r="J21" s="22" t="s">
        <v>73</v>
      </c>
      <c r="K21" s="22" t="s">
        <v>77</v>
      </c>
      <c r="L21" s="133" t="s">
        <v>75</v>
      </c>
      <c r="M21" s="260" t="s">
        <v>61</v>
      </c>
      <c r="N21" s="261" t="s">
        <v>61</v>
      </c>
    </row>
    <row r="22" s="85" customFormat="1" ht="30" customHeight="1" spans="1:14">
      <c r="A22" s="241">
        <v>7</v>
      </c>
      <c r="B22" s="242">
        <v>2341910250021040</v>
      </c>
      <c r="C22" s="243" t="s">
        <v>62</v>
      </c>
      <c r="D22" s="243" t="s">
        <v>62</v>
      </c>
      <c r="E22" s="244" t="s">
        <v>37</v>
      </c>
      <c r="F22" s="243" t="s">
        <v>38</v>
      </c>
      <c r="G22" s="245" t="s">
        <v>39</v>
      </c>
      <c r="H22" s="244">
        <v>31</v>
      </c>
      <c r="I22" s="244">
        <v>1</v>
      </c>
      <c r="J22" s="243" t="s">
        <v>73</v>
      </c>
      <c r="K22" s="243" t="s">
        <v>74</v>
      </c>
      <c r="L22" s="264" t="s">
        <v>89</v>
      </c>
      <c r="M22" s="159" t="s">
        <v>63</v>
      </c>
      <c r="N22" s="190" t="s">
        <v>63</v>
      </c>
    </row>
    <row r="23" s="85" customFormat="1" ht="30" customHeight="1" spans="1:14">
      <c r="A23" s="132">
        <v>8</v>
      </c>
      <c r="B23" s="239">
        <v>2341910247700040</v>
      </c>
      <c r="C23" s="22" t="s">
        <v>64</v>
      </c>
      <c r="D23" s="22" t="s">
        <v>64</v>
      </c>
      <c r="E23" s="133" t="s">
        <v>37</v>
      </c>
      <c r="F23" s="22" t="s">
        <v>38</v>
      </c>
      <c r="G23" s="240" t="s">
        <v>39</v>
      </c>
      <c r="H23" s="133">
        <v>16</v>
      </c>
      <c r="I23" s="133">
        <v>1</v>
      </c>
      <c r="J23" s="22" t="s">
        <v>73</v>
      </c>
      <c r="K23" s="22" t="s">
        <v>77</v>
      </c>
      <c r="L23" s="133" t="s">
        <v>78</v>
      </c>
      <c r="M23" s="260" t="s">
        <v>65</v>
      </c>
      <c r="N23" s="261" t="s">
        <v>65</v>
      </c>
    </row>
    <row r="24" s="85" customFormat="1" ht="30" customHeight="1" spans="1:14">
      <c r="A24" s="241">
        <v>9</v>
      </c>
      <c r="B24" s="242">
        <v>2341910245379040</v>
      </c>
      <c r="C24" s="243" t="s">
        <v>66</v>
      </c>
      <c r="D24" s="243" t="s">
        <v>66</v>
      </c>
      <c r="E24" s="244" t="s">
        <v>37</v>
      </c>
      <c r="F24" s="243" t="s">
        <v>38</v>
      </c>
      <c r="G24" s="245" t="s">
        <v>39</v>
      </c>
      <c r="H24" s="244">
        <v>1</v>
      </c>
      <c r="I24" s="244">
        <v>1</v>
      </c>
      <c r="J24" s="243" t="s">
        <v>73</v>
      </c>
      <c r="K24" s="243" t="s">
        <v>77</v>
      </c>
      <c r="L24" s="244" t="s">
        <v>78</v>
      </c>
      <c r="M24" s="159" t="s">
        <v>67</v>
      </c>
      <c r="N24" s="190" t="s">
        <v>67</v>
      </c>
    </row>
    <row r="25" s="85" customFormat="1" ht="30" customHeight="1" spans="1:14">
      <c r="A25" s="132">
        <v>10</v>
      </c>
      <c r="B25" s="239">
        <v>2341910243058040</v>
      </c>
      <c r="C25" s="133" t="s">
        <v>36</v>
      </c>
      <c r="D25" s="133" t="s">
        <v>36</v>
      </c>
      <c r="E25" s="133" t="s">
        <v>37</v>
      </c>
      <c r="F25" s="22" t="s">
        <v>68</v>
      </c>
      <c r="G25" s="240" t="s">
        <v>39</v>
      </c>
      <c r="H25" s="133">
        <v>8</v>
      </c>
      <c r="I25" s="133">
        <v>1</v>
      </c>
      <c r="J25" s="22" t="s">
        <v>73</v>
      </c>
      <c r="K25" s="22" t="s">
        <v>74</v>
      </c>
      <c r="L25" s="133" t="s">
        <v>75</v>
      </c>
      <c r="M25" s="260" t="s">
        <v>69</v>
      </c>
      <c r="N25" s="261" t="s">
        <v>69</v>
      </c>
    </row>
    <row r="26" s="85" customFormat="1" ht="30" customHeight="1" spans="1:14">
      <c r="A26" s="241">
        <v>11</v>
      </c>
      <c r="B26" s="242">
        <v>2341910240737040</v>
      </c>
      <c r="C26" s="244" t="s">
        <v>36</v>
      </c>
      <c r="D26" s="244" t="s">
        <v>36</v>
      </c>
      <c r="E26" s="244" t="s">
        <v>37</v>
      </c>
      <c r="F26" s="243" t="s">
        <v>68</v>
      </c>
      <c r="G26" s="245" t="s">
        <v>39</v>
      </c>
      <c r="H26" s="244">
        <v>13.5</v>
      </c>
      <c r="I26" s="244">
        <v>1</v>
      </c>
      <c r="J26" s="243" t="s">
        <v>73</v>
      </c>
      <c r="K26" s="243" t="s">
        <v>74</v>
      </c>
      <c r="L26" s="244" t="s">
        <v>75</v>
      </c>
      <c r="M26" s="159" t="s">
        <v>43</v>
      </c>
      <c r="N26" s="190" t="s">
        <v>43</v>
      </c>
    </row>
    <row r="27" s="85" customFormat="1" ht="30" customHeight="1" spans="1:14">
      <c r="A27" s="132">
        <v>12</v>
      </c>
      <c r="B27" s="239">
        <v>2341910238416040</v>
      </c>
      <c r="C27" s="22" t="s">
        <v>44</v>
      </c>
      <c r="D27" s="22" t="s">
        <v>44</v>
      </c>
      <c r="E27" s="133" t="s">
        <v>37</v>
      </c>
      <c r="F27" s="22" t="s">
        <v>38</v>
      </c>
      <c r="G27" s="240" t="s">
        <v>39</v>
      </c>
      <c r="H27" s="133">
        <v>1</v>
      </c>
      <c r="I27" s="133">
        <v>1</v>
      </c>
      <c r="J27" s="22" t="s">
        <v>76</v>
      </c>
      <c r="K27" s="22" t="s">
        <v>77</v>
      </c>
      <c r="L27" s="133" t="s">
        <v>78</v>
      </c>
      <c r="M27" s="260" t="s">
        <v>90</v>
      </c>
      <c r="N27" s="261" t="s">
        <v>48</v>
      </c>
    </row>
    <row r="28" s="85" customFormat="1" ht="30" customHeight="1" spans="1:14">
      <c r="A28" s="241">
        <v>13</v>
      </c>
      <c r="B28" s="242">
        <v>191025000040</v>
      </c>
      <c r="C28" s="244" t="s">
        <v>49</v>
      </c>
      <c r="D28" s="244" t="s">
        <v>49</v>
      </c>
      <c r="E28" s="244" t="s">
        <v>37</v>
      </c>
      <c r="F28" s="243" t="s">
        <v>68</v>
      </c>
      <c r="G28" s="245" t="s">
        <v>39</v>
      </c>
      <c r="H28" s="244">
        <v>7</v>
      </c>
      <c r="I28" s="244">
        <v>1</v>
      </c>
      <c r="J28" s="243" t="s">
        <v>73</v>
      </c>
      <c r="K28" s="243" t="s">
        <v>77</v>
      </c>
      <c r="L28" s="244" t="s">
        <v>78</v>
      </c>
      <c r="M28" s="159" t="s">
        <v>52</v>
      </c>
      <c r="N28" s="190" t="s">
        <v>52</v>
      </c>
    </row>
    <row r="29" s="85" customFormat="1" ht="30" customHeight="1" spans="1:14">
      <c r="A29" s="132">
        <v>14</v>
      </c>
      <c r="B29" s="239">
        <v>191012000003</v>
      </c>
      <c r="C29" s="133" t="s">
        <v>36</v>
      </c>
      <c r="D29" s="133" t="s">
        <v>36</v>
      </c>
      <c r="E29" s="133" t="s">
        <v>37</v>
      </c>
      <c r="F29" s="22" t="s">
        <v>68</v>
      </c>
      <c r="G29" s="240" t="s">
        <v>39</v>
      </c>
      <c r="H29" s="133">
        <v>22.5</v>
      </c>
      <c r="I29" s="133">
        <v>18</v>
      </c>
      <c r="J29" s="22" t="s">
        <v>73</v>
      </c>
      <c r="K29" s="22" t="s">
        <v>77</v>
      </c>
      <c r="L29" s="133" t="s">
        <v>75</v>
      </c>
      <c r="M29" s="260" t="s">
        <v>55</v>
      </c>
      <c r="N29" s="261" t="s">
        <v>55</v>
      </c>
    </row>
    <row r="30" s="85" customFormat="1" ht="30" customHeight="1" spans="1:14">
      <c r="A30" s="241">
        <v>15</v>
      </c>
      <c r="B30" s="242">
        <v>191013000009</v>
      </c>
      <c r="C30" s="243" t="s">
        <v>56</v>
      </c>
      <c r="D30" s="243" t="s">
        <v>56</v>
      </c>
      <c r="E30" s="244" t="s">
        <v>37</v>
      </c>
      <c r="F30" s="243" t="s">
        <v>38</v>
      </c>
      <c r="G30" s="245" t="s">
        <v>39</v>
      </c>
      <c r="H30" s="244">
        <v>4</v>
      </c>
      <c r="I30" s="244">
        <v>1</v>
      </c>
      <c r="J30" s="243" t="s">
        <v>76</v>
      </c>
      <c r="K30" s="243" t="s">
        <v>74</v>
      </c>
      <c r="L30" s="244" t="s">
        <v>75</v>
      </c>
      <c r="M30" s="159" t="s">
        <v>58</v>
      </c>
      <c r="N30" s="190" t="s">
        <v>58</v>
      </c>
    </row>
    <row r="31" s="85" customFormat="1" ht="30" customHeight="1" spans="1:14">
      <c r="A31" s="132">
        <v>16</v>
      </c>
      <c r="B31" s="239">
        <v>190922000006</v>
      </c>
      <c r="C31" s="133" t="s">
        <v>36</v>
      </c>
      <c r="D31" s="133" t="s">
        <v>36</v>
      </c>
      <c r="E31" s="133" t="s">
        <v>37</v>
      </c>
      <c r="F31" s="22" t="s">
        <v>68</v>
      </c>
      <c r="G31" s="240" t="s">
        <v>39</v>
      </c>
      <c r="H31" s="133">
        <v>8</v>
      </c>
      <c r="I31" s="133">
        <v>1</v>
      </c>
      <c r="J31" s="22" t="s">
        <v>73</v>
      </c>
      <c r="K31" s="22" t="s">
        <v>74</v>
      </c>
      <c r="L31" s="133" t="s">
        <v>75</v>
      </c>
      <c r="M31" s="260" t="s">
        <v>69</v>
      </c>
      <c r="N31" s="261" t="s">
        <v>69</v>
      </c>
    </row>
    <row r="32" s="85" customFormat="1" ht="30" customHeight="1" spans="1:14">
      <c r="A32" s="241">
        <v>17</v>
      </c>
      <c r="B32" s="242">
        <v>190828000021</v>
      </c>
      <c r="C32" s="244" t="s">
        <v>36</v>
      </c>
      <c r="D32" s="244" t="s">
        <v>36</v>
      </c>
      <c r="E32" s="244" t="s">
        <v>37</v>
      </c>
      <c r="F32" s="243" t="s">
        <v>68</v>
      </c>
      <c r="G32" s="245" t="s">
        <v>39</v>
      </c>
      <c r="H32" s="244">
        <v>13.5</v>
      </c>
      <c r="I32" s="244">
        <v>1</v>
      </c>
      <c r="J32" s="243" t="s">
        <v>73</v>
      </c>
      <c r="K32" s="243" t="s">
        <v>74</v>
      </c>
      <c r="L32" s="244" t="s">
        <v>75</v>
      </c>
      <c r="M32" s="159" t="s">
        <v>43</v>
      </c>
      <c r="N32" s="190" t="s">
        <v>43</v>
      </c>
    </row>
    <row r="33" s="85" customFormat="1" ht="30" customHeight="1" spans="1:14">
      <c r="A33" s="132">
        <v>18</v>
      </c>
      <c r="B33" s="239">
        <v>191025000041</v>
      </c>
      <c r="C33" s="22" t="s">
        <v>44</v>
      </c>
      <c r="D33" s="22" t="s">
        <v>44</v>
      </c>
      <c r="E33" s="133" t="s">
        <v>37</v>
      </c>
      <c r="F33" s="22" t="s">
        <v>38</v>
      </c>
      <c r="G33" s="240" t="s">
        <v>39</v>
      </c>
      <c r="H33" s="133">
        <v>1</v>
      </c>
      <c r="I33" s="133">
        <v>1</v>
      </c>
      <c r="J33" s="22" t="s">
        <v>76</v>
      </c>
      <c r="K33" s="22" t="s">
        <v>77</v>
      </c>
      <c r="L33" s="133" t="s">
        <v>78</v>
      </c>
      <c r="M33" s="260" t="s">
        <v>48</v>
      </c>
      <c r="N33" s="261" t="s">
        <v>48</v>
      </c>
    </row>
    <row r="34" s="85" customFormat="1" ht="30" customHeight="1" spans="1:14">
      <c r="A34" s="241">
        <v>19</v>
      </c>
      <c r="B34" s="242">
        <v>191025000040</v>
      </c>
      <c r="C34" s="244" t="s">
        <v>49</v>
      </c>
      <c r="D34" s="244" t="s">
        <v>49</v>
      </c>
      <c r="E34" s="244" t="s">
        <v>37</v>
      </c>
      <c r="F34" s="243" t="s">
        <v>68</v>
      </c>
      <c r="G34" s="245" t="s">
        <v>39</v>
      </c>
      <c r="H34" s="244">
        <v>7</v>
      </c>
      <c r="I34" s="244">
        <v>1</v>
      </c>
      <c r="J34" s="243" t="s">
        <v>73</v>
      </c>
      <c r="K34" s="243" t="s">
        <v>77</v>
      </c>
      <c r="L34" s="244" t="s">
        <v>78</v>
      </c>
      <c r="M34" s="159" t="s">
        <v>52</v>
      </c>
      <c r="N34" s="190" t="s">
        <v>52</v>
      </c>
    </row>
    <row r="35" s="85" customFormat="1" ht="30" customHeight="1" spans="1:14">
      <c r="A35" s="132">
        <v>20</v>
      </c>
      <c r="B35" s="239">
        <v>191012000003</v>
      </c>
      <c r="C35" s="133" t="s">
        <v>36</v>
      </c>
      <c r="D35" s="133" t="s">
        <v>36</v>
      </c>
      <c r="E35" s="133" t="s">
        <v>37</v>
      </c>
      <c r="F35" s="22" t="s">
        <v>68</v>
      </c>
      <c r="G35" s="240" t="s">
        <v>39</v>
      </c>
      <c r="H35" s="133">
        <v>22.5</v>
      </c>
      <c r="I35" s="133">
        <v>18</v>
      </c>
      <c r="J35" s="22" t="s">
        <v>73</v>
      </c>
      <c r="K35" s="22" t="s">
        <v>77</v>
      </c>
      <c r="L35" s="133" t="s">
        <v>75</v>
      </c>
      <c r="M35" s="260" t="s">
        <v>55</v>
      </c>
      <c r="N35" s="261" t="s">
        <v>55</v>
      </c>
    </row>
    <row r="36" s="85" customFormat="1" ht="30" customHeight="1" spans="1:14">
      <c r="A36" s="252"/>
      <c r="B36" s="253"/>
      <c r="C36" s="254"/>
      <c r="D36" s="254"/>
      <c r="E36" s="254"/>
      <c r="F36" s="254"/>
      <c r="G36" s="254"/>
      <c r="H36" s="254"/>
      <c r="I36" s="254"/>
      <c r="J36" s="254"/>
      <c r="K36" s="254"/>
      <c r="L36" s="265"/>
      <c r="M36" s="266"/>
      <c r="N36" s="267"/>
    </row>
    <row r="37" s="85" customFormat="1" spans="1:14">
      <c r="A37" s="226"/>
      <c r="B37" s="226"/>
      <c r="C37" s="226"/>
      <c r="D37" s="226"/>
      <c r="E37" s="226"/>
      <c r="F37" s="226"/>
      <c r="G37" s="226"/>
      <c r="H37" s="226"/>
      <c r="I37" s="226"/>
      <c r="J37" s="226"/>
      <c r="K37" s="226"/>
      <c r="L37" s="227"/>
      <c r="M37" s="226"/>
      <c r="N37" s="226"/>
    </row>
    <row r="38" s="85" customFormat="1" spans="2:12">
      <c r="B38" s="226"/>
      <c r="L38" s="227"/>
    </row>
    <row r="39" s="85" customFormat="1" spans="2:12">
      <c r="B39" s="226"/>
      <c r="L39" s="227"/>
    </row>
    <row r="40" s="85" customFormat="1" spans="2:12">
      <c r="B40" s="226"/>
      <c r="L40" s="227"/>
    </row>
    <row r="41" s="85" customFormat="1" spans="2:12">
      <c r="B41" s="226"/>
      <c r="L41" s="227"/>
    </row>
    <row r="42" s="85" customFormat="1" spans="2:12">
      <c r="B42" s="226"/>
      <c r="L42" s="227"/>
    </row>
    <row r="43" s="85" customFormat="1" spans="2:12">
      <c r="B43" s="226"/>
      <c r="L43" s="227"/>
    </row>
    <row r="44" s="85" customFormat="1" spans="2:12">
      <c r="B44" s="226"/>
      <c r="L44" s="227"/>
    </row>
    <row r="45" s="85" customFormat="1" spans="2:12">
      <c r="B45" s="226"/>
      <c r="L45" s="227"/>
    </row>
    <row r="46" s="85" customFormat="1" spans="2:12">
      <c r="B46" s="226"/>
      <c r="L46" s="227"/>
    </row>
    <row r="47" s="85" customFormat="1" spans="2:12">
      <c r="B47" s="226"/>
      <c r="L47" s="227"/>
    </row>
    <row r="48" s="85" customFormat="1" spans="2:12">
      <c r="B48" s="226"/>
      <c r="L48" s="227"/>
    </row>
    <row r="49" s="85" customFormat="1" spans="2:12">
      <c r="B49" s="226"/>
      <c r="L49" s="227"/>
    </row>
  </sheetData>
  <mergeCells count="8">
    <mergeCell ref="A4:B4"/>
    <mergeCell ref="C10:C19"/>
    <mergeCell ref="D10:D19"/>
    <mergeCell ref="E10:E19"/>
    <mergeCell ref="F10:F19"/>
    <mergeCell ref="J10:J19"/>
    <mergeCell ref="K10:K19"/>
    <mergeCell ref="L10:L19"/>
  </mergeCells>
  <pageMargins left="0.75" right="0.75" top="1" bottom="1" header="0.5" footer="0.5"/>
  <pageSetup paperSize="9" orientation="portrait"/>
  <headerFooter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R48"/>
  <sheetViews>
    <sheetView workbookViewId="0">
      <selection activeCell="S34" sqref="S34"/>
    </sheetView>
  </sheetViews>
  <sheetFormatPr defaultColWidth="9" defaultRowHeight="12"/>
  <cols>
    <col min="1" max="1" width="9" style="85"/>
    <col min="2" max="17" width="10.625" style="85" customWidth="1"/>
    <col min="18" max="18" width="9" style="86"/>
    <col min="19" max="16384" width="9" style="85"/>
  </cols>
  <sheetData>
    <row r="1" ht="24" customHeight="1" spans="2:17">
      <c r="B1" s="37" t="s">
        <v>91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178"/>
    </row>
    <row r="2" ht="22" customHeight="1" spans="2:17">
      <c r="B2" s="88" t="s">
        <v>80</v>
      </c>
      <c r="C2" s="89"/>
      <c r="D2" s="90" t="s">
        <v>38</v>
      </c>
      <c r="E2" s="91" t="s">
        <v>92</v>
      </c>
      <c r="F2" s="89"/>
      <c r="G2" s="89"/>
      <c r="H2" s="89"/>
      <c r="I2" s="153"/>
      <c r="J2" s="153"/>
      <c r="K2" s="153"/>
      <c r="L2" s="153"/>
      <c r="M2" s="153"/>
      <c r="N2" s="153"/>
      <c r="O2" s="153"/>
      <c r="P2" s="89"/>
      <c r="Q2" s="179"/>
    </row>
    <row r="3" ht="22" customHeight="1" spans="2:17">
      <c r="B3" s="92" t="s">
        <v>93</v>
      </c>
      <c r="C3" s="93"/>
      <c r="D3" s="93"/>
      <c r="E3" s="93" t="s">
        <v>94</v>
      </c>
      <c r="F3" s="93"/>
      <c r="G3" s="93"/>
      <c r="H3" s="93" t="s">
        <v>95</v>
      </c>
      <c r="I3" s="93"/>
      <c r="J3" s="93" t="s">
        <v>96</v>
      </c>
      <c r="K3" s="93"/>
      <c r="L3" s="93" t="s">
        <v>97</v>
      </c>
      <c r="M3" s="93"/>
      <c r="N3" s="93" t="s">
        <v>98</v>
      </c>
      <c r="O3" s="93"/>
      <c r="P3" s="93"/>
      <c r="Q3" s="180"/>
    </row>
    <row r="4" ht="22" customHeight="1" spans="2:17">
      <c r="B4" s="94" t="s">
        <v>99</v>
      </c>
      <c r="C4" s="95"/>
      <c r="D4" s="95"/>
      <c r="E4" s="95" t="s">
        <v>100</v>
      </c>
      <c r="F4" s="95"/>
      <c r="G4" s="95"/>
      <c r="H4" s="95"/>
      <c r="I4" s="95"/>
      <c r="J4" s="95"/>
      <c r="K4" s="216" t="s">
        <v>101</v>
      </c>
      <c r="L4" s="216"/>
      <c r="M4" s="216"/>
      <c r="N4" s="155" t="s">
        <v>102</v>
      </c>
      <c r="O4" s="156"/>
      <c r="P4" s="157"/>
      <c r="Q4" s="180"/>
    </row>
    <row r="5" ht="22" customHeight="1" spans="2:17">
      <c r="B5" s="94" t="s">
        <v>103</v>
      </c>
      <c r="C5" s="215"/>
      <c r="D5" s="215"/>
      <c r="E5" s="215"/>
      <c r="F5" s="215" t="s">
        <v>104</v>
      </c>
      <c r="G5" s="215"/>
      <c r="H5" s="215"/>
      <c r="I5" s="217" t="s">
        <v>105</v>
      </c>
      <c r="J5" s="217"/>
      <c r="K5" s="218" t="s">
        <v>106</v>
      </c>
      <c r="L5" s="219"/>
      <c r="M5" s="215" t="s">
        <v>107</v>
      </c>
      <c r="N5" s="93"/>
      <c r="O5" s="93"/>
      <c r="P5" s="93"/>
      <c r="Q5" s="181"/>
    </row>
    <row r="6" ht="22" customHeight="1" spans="2:17">
      <c r="B6" s="94" t="s">
        <v>108</v>
      </c>
      <c r="C6" s="215"/>
      <c r="D6" s="215"/>
      <c r="E6" s="215"/>
      <c r="F6" s="215"/>
      <c r="G6" s="215"/>
      <c r="H6" s="215"/>
      <c r="I6" s="215"/>
      <c r="J6" s="215"/>
      <c r="K6" s="215"/>
      <c r="L6" s="215"/>
      <c r="M6" s="215"/>
      <c r="N6" s="215"/>
      <c r="O6" s="215"/>
      <c r="P6" s="215"/>
      <c r="Q6" s="182"/>
    </row>
    <row r="7" ht="10" customHeight="1" spans="2:17">
      <c r="B7" s="97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183"/>
    </row>
    <row r="8" ht="18" customHeight="1" spans="2:17">
      <c r="B8" s="99" t="s">
        <v>109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84"/>
    </row>
    <row r="9" ht="18" customHeight="1" spans="2:17">
      <c r="B9" s="101" t="s">
        <v>110</v>
      </c>
      <c r="C9" s="205" t="s">
        <v>111</v>
      </c>
      <c r="D9" s="205"/>
      <c r="E9" s="205" t="s">
        <v>112</v>
      </c>
      <c r="F9" s="206"/>
      <c r="G9" s="205" t="s">
        <v>113</v>
      </c>
      <c r="H9" s="205"/>
      <c r="I9" s="205"/>
      <c r="J9" s="205"/>
      <c r="K9" s="205"/>
      <c r="L9" s="205" t="s">
        <v>114</v>
      </c>
      <c r="M9" s="205"/>
      <c r="N9" s="205" t="s">
        <v>115</v>
      </c>
      <c r="O9" s="205"/>
      <c r="P9" s="205" t="s">
        <v>116</v>
      </c>
      <c r="Q9" s="187"/>
    </row>
    <row r="10" ht="20" customHeight="1" spans="2:17">
      <c r="B10" s="101"/>
      <c r="C10" s="207" t="s">
        <v>117</v>
      </c>
      <c r="D10" s="207"/>
      <c r="E10" s="284" t="s">
        <v>118</v>
      </c>
      <c r="F10" s="209"/>
      <c r="G10" s="208" t="s">
        <v>119</v>
      </c>
      <c r="H10" s="208"/>
      <c r="I10" s="208"/>
      <c r="J10" s="208"/>
      <c r="K10" s="208"/>
      <c r="L10" s="208" t="s">
        <v>120</v>
      </c>
      <c r="M10" s="208"/>
      <c r="N10" s="208" t="s">
        <v>121</v>
      </c>
      <c r="O10" s="208"/>
      <c r="P10" s="208" t="s">
        <v>122</v>
      </c>
      <c r="Q10" s="214"/>
    </row>
    <row r="11" ht="18" customHeight="1" spans="2:17">
      <c r="B11" s="101" t="s">
        <v>123</v>
      </c>
      <c r="C11" s="205" t="s">
        <v>111</v>
      </c>
      <c r="D11" s="205"/>
      <c r="E11" s="205" t="s">
        <v>112</v>
      </c>
      <c r="F11" s="206"/>
      <c r="G11" s="205" t="s">
        <v>113</v>
      </c>
      <c r="H11" s="205"/>
      <c r="I11" s="205"/>
      <c r="J11" s="205"/>
      <c r="K11" s="205"/>
      <c r="L11" s="205" t="s">
        <v>114</v>
      </c>
      <c r="M11" s="205"/>
      <c r="N11" s="205" t="s">
        <v>115</v>
      </c>
      <c r="O11" s="205"/>
      <c r="P11" s="205" t="s">
        <v>116</v>
      </c>
      <c r="Q11" s="187"/>
    </row>
    <row r="12" ht="20" customHeight="1" spans="2:17">
      <c r="B12" s="101"/>
      <c r="C12" s="207" t="s">
        <v>124</v>
      </c>
      <c r="D12" s="207"/>
      <c r="E12" s="284" t="s">
        <v>125</v>
      </c>
      <c r="F12" s="209"/>
      <c r="G12" s="208" t="s">
        <v>126</v>
      </c>
      <c r="H12" s="208"/>
      <c r="I12" s="208"/>
      <c r="J12" s="208"/>
      <c r="K12" s="208"/>
      <c r="L12" s="208" t="s">
        <v>127</v>
      </c>
      <c r="M12" s="208"/>
      <c r="N12" s="208" t="s">
        <v>128</v>
      </c>
      <c r="O12" s="208"/>
      <c r="P12" s="208" t="s">
        <v>129</v>
      </c>
      <c r="Q12" s="214"/>
    </row>
    <row r="13" ht="10" customHeight="1" spans="2:17">
      <c r="B13" s="210"/>
      <c r="C13" s="207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14"/>
    </row>
    <row r="14" ht="20" customHeight="1" spans="2:17">
      <c r="B14" s="106" t="s">
        <v>130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87"/>
    </row>
    <row r="15" ht="10" customHeight="1" spans="2:17">
      <c r="B15" s="116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91"/>
    </row>
    <row r="16" ht="15" customHeight="1" spans="2:17">
      <c r="B16" s="118" t="s">
        <v>131</v>
      </c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92"/>
    </row>
    <row r="17" ht="22" customHeight="1" spans="2:17">
      <c r="B17" s="105" t="s">
        <v>132</v>
      </c>
      <c r="C17" s="102"/>
      <c r="D17" s="102"/>
      <c r="E17" s="102" t="s">
        <v>133</v>
      </c>
      <c r="F17" s="102" t="s">
        <v>134</v>
      </c>
      <c r="G17" s="102"/>
      <c r="H17" s="102" t="s">
        <v>135</v>
      </c>
      <c r="I17" s="102"/>
      <c r="J17" s="102" t="s">
        <v>136</v>
      </c>
      <c r="K17" s="102"/>
      <c r="L17" s="102" t="s">
        <v>137</v>
      </c>
      <c r="M17" s="102" t="s">
        <v>138</v>
      </c>
      <c r="N17" s="6" t="s">
        <v>30</v>
      </c>
      <c r="O17" s="102" t="s">
        <v>139</v>
      </c>
      <c r="P17" s="102" t="s">
        <v>140</v>
      </c>
      <c r="Q17" s="185"/>
    </row>
    <row r="18" ht="20" customHeight="1" spans="2:17">
      <c r="B18" s="16" t="s">
        <v>141</v>
      </c>
      <c r="C18" s="104"/>
      <c r="D18" s="104"/>
      <c r="E18" s="8" t="s">
        <v>142</v>
      </c>
      <c r="F18" s="120">
        <v>43756.8541666667</v>
      </c>
      <c r="G18" s="120"/>
      <c r="H18" s="121" t="s">
        <v>143</v>
      </c>
      <c r="I18" s="121"/>
      <c r="J18" s="104" t="s">
        <v>144</v>
      </c>
      <c r="K18" s="104"/>
      <c r="L18" s="104" t="s">
        <v>145</v>
      </c>
      <c r="M18" s="104">
        <v>1</v>
      </c>
      <c r="N18" s="104">
        <v>1</v>
      </c>
      <c r="O18" s="104">
        <v>60</v>
      </c>
      <c r="P18" s="121" t="s">
        <v>146</v>
      </c>
      <c r="Q18" s="193"/>
    </row>
    <row r="19" ht="20" customHeight="1" spans="2:17">
      <c r="B19" s="16" t="s">
        <v>147</v>
      </c>
      <c r="C19" s="104"/>
      <c r="D19" s="104"/>
      <c r="E19" s="8" t="s">
        <v>148</v>
      </c>
      <c r="F19" s="120">
        <v>43756.8541666667</v>
      </c>
      <c r="G19" s="120"/>
      <c r="H19" s="121" t="s">
        <v>149</v>
      </c>
      <c r="I19" s="121"/>
      <c r="J19" s="104" t="s">
        <v>144</v>
      </c>
      <c r="K19" s="104"/>
      <c r="L19" s="104" t="s">
        <v>145</v>
      </c>
      <c r="M19" s="104">
        <v>1</v>
      </c>
      <c r="N19" s="104">
        <v>1</v>
      </c>
      <c r="O19" s="104">
        <v>50</v>
      </c>
      <c r="P19" s="121"/>
      <c r="Q19" s="193"/>
    </row>
    <row r="20" ht="20" customHeight="1" spans="2:17">
      <c r="B20" s="122" t="s">
        <v>150</v>
      </c>
      <c r="C20" s="104"/>
      <c r="D20" s="104"/>
      <c r="E20" s="104" t="s">
        <v>151</v>
      </c>
      <c r="F20" s="120">
        <v>43756.8541666667</v>
      </c>
      <c r="G20" s="120"/>
      <c r="H20" s="121" t="s">
        <v>152</v>
      </c>
      <c r="I20" s="121"/>
      <c r="J20" s="104" t="s">
        <v>144</v>
      </c>
      <c r="K20" s="104"/>
      <c r="L20" s="104" t="s">
        <v>145</v>
      </c>
      <c r="M20" s="104">
        <v>1</v>
      </c>
      <c r="N20" s="104">
        <v>1</v>
      </c>
      <c r="O20" s="104">
        <v>12</v>
      </c>
      <c r="P20" s="121"/>
      <c r="Q20" s="193"/>
    </row>
    <row r="21" ht="20" customHeight="1" spans="2:17">
      <c r="B21" s="122" t="s">
        <v>153</v>
      </c>
      <c r="C21" s="104"/>
      <c r="D21" s="104"/>
      <c r="E21" s="104" t="s">
        <v>154</v>
      </c>
      <c r="F21" s="120">
        <v>43756.8541666667</v>
      </c>
      <c r="G21" s="120"/>
      <c r="H21" s="121" t="s">
        <v>155</v>
      </c>
      <c r="I21" s="121"/>
      <c r="J21" s="104" t="s">
        <v>144</v>
      </c>
      <c r="K21" s="104"/>
      <c r="L21" s="104" t="s">
        <v>145</v>
      </c>
      <c r="M21" s="104">
        <v>1</v>
      </c>
      <c r="N21" s="104">
        <v>1</v>
      </c>
      <c r="O21" s="104">
        <v>23</v>
      </c>
      <c r="P21" s="121"/>
      <c r="Q21" s="193"/>
    </row>
    <row r="22" ht="20" customHeight="1" spans="2:17">
      <c r="B22" s="122" t="s">
        <v>141</v>
      </c>
      <c r="C22" s="104"/>
      <c r="D22" s="104"/>
      <c r="E22" s="104" t="s">
        <v>151</v>
      </c>
      <c r="F22" s="120">
        <v>43756.8541666667</v>
      </c>
      <c r="G22" s="120"/>
      <c r="H22" s="121" t="s">
        <v>143</v>
      </c>
      <c r="I22" s="121"/>
      <c r="J22" s="104" t="s">
        <v>144</v>
      </c>
      <c r="K22" s="104"/>
      <c r="L22" s="104" t="s">
        <v>145</v>
      </c>
      <c r="M22" s="104">
        <v>1</v>
      </c>
      <c r="N22" s="104">
        <v>1</v>
      </c>
      <c r="O22" s="104">
        <v>60</v>
      </c>
      <c r="P22" s="121"/>
      <c r="Q22" s="193"/>
    </row>
    <row r="23" ht="20" customHeight="1" spans="2:17">
      <c r="B23" s="122" t="s">
        <v>147</v>
      </c>
      <c r="C23" s="104"/>
      <c r="D23" s="104"/>
      <c r="E23" s="104" t="s">
        <v>154</v>
      </c>
      <c r="F23" s="120">
        <v>43756.8541666667</v>
      </c>
      <c r="G23" s="120"/>
      <c r="H23" s="121" t="s">
        <v>149</v>
      </c>
      <c r="I23" s="121"/>
      <c r="J23" s="104" t="s">
        <v>144</v>
      </c>
      <c r="K23" s="104"/>
      <c r="L23" s="104" t="s">
        <v>145</v>
      </c>
      <c r="M23" s="104">
        <v>1</v>
      </c>
      <c r="N23" s="104">
        <v>1</v>
      </c>
      <c r="O23" s="104">
        <v>50</v>
      </c>
      <c r="P23" s="121"/>
      <c r="Q23" s="193"/>
    </row>
    <row r="24" ht="20" customHeight="1" spans="2:17">
      <c r="B24" s="123" t="s">
        <v>156</v>
      </c>
      <c r="C24" s="124"/>
      <c r="D24" s="124"/>
      <c r="E24" s="124" t="s">
        <v>157</v>
      </c>
      <c r="F24" s="125">
        <v>43756.8541666667</v>
      </c>
      <c r="G24" s="125"/>
      <c r="H24" s="126" t="s">
        <v>152</v>
      </c>
      <c r="I24" s="126"/>
      <c r="J24" s="124" t="s">
        <v>158</v>
      </c>
      <c r="K24" s="124"/>
      <c r="L24" s="124" t="s">
        <v>159</v>
      </c>
      <c r="M24" s="124" t="s">
        <v>157</v>
      </c>
      <c r="N24" s="124" t="s">
        <v>157</v>
      </c>
      <c r="O24" s="124" t="s">
        <v>157</v>
      </c>
      <c r="P24" s="121"/>
      <c r="Q24" s="193"/>
    </row>
    <row r="25" ht="20" customHeight="1" spans="2:17">
      <c r="B25" s="123" t="s">
        <v>160</v>
      </c>
      <c r="C25" s="124"/>
      <c r="D25" s="124"/>
      <c r="E25" s="124" t="s">
        <v>157</v>
      </c>
      <c r="F25" s="125">
        <v>43756.8541666667</v>
      </c>
      <c r="G25" s="125"/>
      <c r="H25" s="126" t="s">
        <v>155</v>
      </c>
      <c r="I25" s="126"/>
      <c r="J25" s="124" t="s">
        <v>158</v>
      </c>
      <c r="K25" s="124"/>
      <c r="L25" s="124" t="s">
        <v>159</v>
      </c>
      <c r="M25" s="124" t="s">
        <v>157</v>
      </c>
      <c r="N25" s="124" t="s">
        <v>157</v>
      </c>
      <c r="O25" s="124" t="s">
        <v>157</v>
      </c>
      <c r="P25" s="121"/>
      <c r="Q25" s="193"/>
    </row>
    <row r="26" ht="20" customHeight="1" spans="2:17">
      <c r="B26" s="123" t="s">
        <v>160</v>
      </c>
      <c r="C26" s="124"/>
      <c r="D26" s="124"/>
      <c r="E26" s="124" t="s">
        <v>157</v>
      </c>
      <c r="F26" s="125">
        <v>43756.8541666667</v>
      </c>
      <c r="G26" s="125"/>
      <c r="H26" s="126" t="s">
        <v>155</v>
      </c>
      <c r="I26" s="126"/>
      <c r="J26" s="124" t="s">
        <v>158</v>
      </c>
      <c r="K26" s="124"/>
      <c r="L26" s="124" t="s">
        <v>159</v>
      </c>
      <c r="M26" s="124" t="s">
        <v>157</v>
      </c>
      <c r="N26" s="124" t="s">
        <v>157</v>
      </c>
      <c r="O26" s="124" t="s">
        <v>157</v>
      </c>
      <c r="P26" s="121"/>
      <c r="Q26" s="193"/>
    </row>
    <row r="27" ht="20" customHeight="1" spans="2:17">
      <c r="B27" s="127" t="s">
        <v>161</v>
      </c>
      <c r="C27" s="128"/>
      <c r="D27" s="128"/>
      <c r="E27" s="128" t="s">
        <v>162</v>
      </c>
      <c r="F27" s="128" t="s">
        <v>163</v>
      </c>
      <c r="G27" s="128"/>
      <c r="H27" s="129" t="s">
        <v>164</v>
      </c>
      <c r="I27" s="129"/>
      <c r="J27" s="220" t="s">
        <v>165</v>
      </c>
      <c r="K27" s="220"/>
      <c r="L27" s="128" t="s">
        <v>166</v>
      </c>
      <c r="M27" s="128" t="s">
        <v>162</v>
      </c>
      <c r="N27" s="128" t="s">
        <v>162</v>
      </c>
      <c r="O27" s="128" t="s">
        <v>162</v>
      </c>
      <c r="P27" s="121"/>
      <c r="Q27" s="193"/>
    </row>
    <row r="28" ht="20" customHeight="1" spans="2:17">
      <c r="B28" s="212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112">
        <f t="shared" ref="M28:O28" si="0">SUM(M18:M27)</f>
        <v>6</v>
      </c>
      <c r="N28" s="112">
        <f t="shared" si="0"/>
        <v>6</v>
      </c>
      <c r="O28" s="133">
        <f t="shared" si="0"/>
        <v>255</v>
      </c>
      <c r="P28" s="133"/>
      <c r="Q28" s="194"/>
    </row>
    <row r="29" ht="10" customHeight="1" spans="2:17"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91"/>
    </row>
    <row r="30" ht="15" customHeight="1" spans="2:17">
      <c r="B30" s="118" t="s">
        <v>167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92"/>
    </row>
    <row r="31" ht="22" customHeight="1" spans="2:17">
      <c r="B31" s="130" t="s">
        <v>132</v>
      </c>
      <c r="C31" s="131"/>
      <c r="D31" s="131"/>
      <c r="E31" s="131" t="s">
        <v>168</v>
      </c>
      <c r="F31" s="131"/>
      <c r="G31" s="131" t="s">
        <v>169</v>
      </c>
      <c r="H31" s="15" t="s">
        <v>170</v>
      </c>
      <c r="I31" s="131" t="s">
        <v>135</v>
      </c>
      <c r="J31" s="131"/>
      <c r="K31" s="131" t="s">
        <v>137</v>
      </c>
      <c r="L31" s="221" t="s">
        <v>171</v>
      </c>
      <c r="M31" s="221"/>
      <c r="N31" s="131" t="s">
        <v>172</v>
      </c>
      <c r="O31" s="131" t="s">
        <v>173</v>
      </c>
      <c r="P31" s="131" t="s">
        <v>174</v>
      </c>
      <c r="Q31" s="195" t="s">
        <v>175</v>
      </c>
    </row>
    <row r="32" ht="20" customHeight="1" spans="2:17">
      <c r="B32" s="132" t="s">
        <v>176</v>
      </c>
      <c r="C32" s="133"/>
      <c r="D32" s="133"/>
      <c r="E32" s="285" t="s">
        <v>177</v>
      </c>
      <c r="F32" s="112"/>
      <c r="G32" s="134" t="s">
        <v>178</v>
      </c>
      <c r="H32" s="135" t="s">
        <v>179</v>
      </c>
      <c r="I32" s="133" t="s">
        <v>143</v>
      </c>
      <c r="J32" s="133"/>
      <c r="K32" s="112" t="s">
        <v>145</v>
      </c>
      <c r="L32" s="110" t="s">
        <v>180</v>
      </c>
      <c r="M32" s="110"/>
      <c r="N32" s="112">
        <v>1</v>
      </c>
      <c r="O32" s="112">
        <v>0.0086</v>
      </c>
      <c r="P32" s="112">
        <v>1.43</v>
      </c>
      <c r="Q32" s="196">
        <v>100000</v>
      </c>
    </row>
    <row r="33" ht="20" customHeight="1" spans="2:17">
      <c r="B33" s="113" t="s">
        <v>147</v>
      </c>
      <c r="C33" s="112"/>
      <c r="D33" s="112"/>
      <c r="E33" s="285" t="s">
        <v>181</v>
      </c>
      <c r="F33" s="112"/>
      <c r="G33" s="134" t="s">
        <v>182</v>
      </c>
      <c r="H33" s="135" t="s">
        <v>179</v>
      </c>
      <c r="I33" s="133" t="s">
        <v>149</v>
      </c>
      <c r="J33" s="133"/>
      <c r="K33" s="112" t="s">
        <v>145</v>
      </c>
      <c r="L33" s="110" t="s">
        <v>183</v>
      </c>
      <c r="M33" s="110"/>
      <c r="N33" s="112">
        <v>1</v>
      </c>
      <c r="O33" s="112">
        <v>0.0019</v>
      </c>
      <c r="P33" s="112">
        <v>0.32</v>
      </c>
      <c r="Q33" s="197">
        <v>0.12</v>
      </c>
    </row>
    <row r="34" ht="20" customHeight="1" spans="2:17">
      <c r="B34" s="113" t="s">
        <v>150</v>
      </c>
      <c r="C34" s="112"/>
      <c r="D34" s="112"/>
      <c r="E34" s="285" t="s">
        <v>184</v>
      </c>
      <c r="F34" s="112"/>
      <c r="G34" s="134" t="s">
        <v>185</v>
      </c>
      <c r="H34" s="135" t="s">
        <v>179</v>
      </c>
      <c r="I34" s="133" t="s">
        <v>152</v>
      </c>
      <c r="J34" s="133"/>
      <c r="K34" s="112" t="s">
        <v>145</v>
      </c>
      <c r="L34" s="110" t="s">
        <v>186</v>
      </c>
      <c r="M34" s="110"/>
      <c r="N34" s="112">
        <v>1</v>
      </c>
      <c r="O34" s="112">
        <v>0.0052</v>
      </c>
      <c r="P34" s="112">
        <v>0.87</v>
      </c>
      <c r="Q34" s="197">
        <v>0.7</v>
      </c>
    </row>
    <row r="35" ht="20" customHeight="1" spans="2:17">
      <c r="B35" s="113" t="s">
        <v>153</v>
      </c>
      <c r="C35" s="112"/>
      <c r="D35" s="112"/>
      <c r="E35" s="285" t="s">
        <v>187</v>
      </c>
      <c r="F35" s="112"/>
      <c r="G35" s="134" t="s">
        <v>178</v>
      </c>
      <c r="H35" s="135" t="s">
        <v>179</v>
      </c>
      <c r="I35" s="222" t="s">
        <v>155</v>
      </c>
      <c r="J35" s="222"/>
      <c r="K35" s="161" t="s">
        <v>159</v>
      </c>
      <c r="L35" s="110" t="s">
        <v>188</v>
      </c>
      <c r="M35" s="110"/>
      <c r="N35" s="112">
        <v>1</v>
      </c>
      <c r="O35" s="112">
        <v>0.0245</v>
      </c>
      <c r="P35" s="112">
        <v>4.08</v>
      </c>
      <c r="Q35" s="197">
        <v>3.62</v>
      </c>
    </row>
    <row r="36" ht="20" customHeight="1" spans="2:17">
      <c r="B36" s="136"/>
      <c r="C36" s="137"/>
      <c r="D36" s="137"/>
      <c r="E36" s="137"/>
      <c r="F36" s="137"/>
      <c r="G36" s="138"/>
      <c r="H36" s="138"/>
      <c r="I36" s="138"/>
      <c r="J36" s="138"/>
      <c r="K36" s="138"/>
      <c r="L36" s="138"/>
      <c r="M36" s="138"/>
      <c r="N36" s="138">
        <f>SUM(N32:N35)</f>
        <v>4</v>
      </c>
      <c r="O36" s="162">
        <v>0.057</v>
      </c>
      <c r="P36" s="162">
        <v>16789</v>
      </c>
      <c r="Q36" s="198">
        <f>SUM(Q32:Q35)</f>
        <v>100004.44</v>
      </c>
    </row>
    <row r="37" ht="10" customHeight="1" spans="2:17">
      <c r="B37" s="116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91"/>
    </row>
    <row r="38" ht="15" customHeight="1" spans="2:17">
      <c r="B38" s="139" t="s">
        <v>189</v>
      </c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99"/>
    </row>
    <row r="39" ht="20" customHeight="1" spans="2:17">
      <c r="B39" s="141" t="s">
        <v>22</v>
      </c>
      <c r="C39" s="142" t="s">
        <v>190</v>
      </c>
      <c r="D39" s="143"/>
      <c r="E39" s="142" t="s">
        <v>191</v>
      </c>
      <c r="F39" s="143"/>
      <c r="G39" s="142" t="s">
        <v>192</v>
      </c>
      <c r="H39" s="142" t="s">
        <v>193</v>
      </c>
      <c r="I39" s="143"/>
      <c r="J39" s="142" t="s">
        <v>194</v>
      </c>
      <c r="K39" s="143"/>
      <c r="L39" s="163" t="s">
        <v>195</v>
      </c>
      <c r="M39" s="164"/>
      <c r="N39" s="165" t="s">
        <v>70</v>
      </c>
      <c r="O39" s="166"/>
      <c r="P39" s="165" t="s">
        <v>71</v>
      </c>
      <c r="Q39" s="200"/>
    </row>
    <row r="40" ht="20" customHeight="1" spans="2:17">
      <c r="B40" s="132">
        <v>1</v>
      </c>
      <c r="C40" s="133" t="s">
        <v>196</v>
      </c>
      <c r="D40" s="133"/>
      <c r="E40" s="144">
        <v>8.6</v>
      </c>
      <c r="F40" s="144"/>
      <c r="G40" s="144">
        <v>1</v>
      </c>
      <c r="H40" s="144">
        <v>8.6</v>
      </c>
      <c r="I40" s="144"/>
      <c r="J40" s="133" t="s">
        <v>124</v>
      </c>
      <c r="K40" s="133"/>
      <c r="L40" s="213">
        <v>43756.8541666667</v>
      </c>
      <c r="M40" s="213"/>
      <c r="N40" s="168" t="s">
        <v>76</v>
      </c>
      <c r="O40" s="169"/>
      <c r="P40" s="223" t="s">
        <v>74</v>
      </c>
      <c r="Q40" s="197"/>
    </row>
    <row r="41" ht="20" customHeight="1" spans="2:17">
      <c r="B41" s="132">
        <v>2</v>
      </c>
      <c r="C41" s="133" t="s">
        <v>197</v>
      </c>
      <c r="D41" s="133"/>
      <c r="E41" s="144">
        <v>7.9</v>
      </c>
      <c r="F41" s="144"/>
      <c r="G41" s="144">
        <v>20</v>
      </c>
      <c r="H41" s="144">
        <v>158</v>
      </c>
      <c r="I41" s="144"/>
      <c r="J41" s="133" t="s">
        <v>124</v>
      </c>
      <c r="K41" s="133"/>
      <c r="L41" s="213">
        <v>43756.8541666667</v>
      </c>
      <c r="M41" s="213"/>
      <c r="N41" s="169"/>
      <c r="O41" s="169"/>
      <c r="P41" s="110"/>
      <c r="Q41" s="197"/>
    </row>
    <row r="42" ht="20" customHeight="1" spans="2:17">
      <c r="B42" s="132">
        <v>3</v>
      </c>
      <c r="C42" s="133" t="s">
        <v>198</v>
      </c>
      <c r="D42" s="133"/>
      <c r="E42" s="144">
        <v>100</v>
      </c>
      <c r="F42" s="144"/>
      <c r="G42" s="144">
        <v>1</v>
      </c>
      <c r="H42" s="144">
        <v>-100</v>
      </c>
      <c r="I42" s="144"/>
      <c r="J42" s="133" t="s">
        <v>124</v>
      </c>
      <c r="K42" s="133"/>
      <c r="L42" s="213">
        <v>43756.8541666667</v>
      </c>
      <c r="M42" s="213"/>
      <c r="N42" s="169"/>
      <c r="O42" s="169"/>
      <c r="P42" s="110"/>
      <c r="Q42" s="197"/>
    </row>
    <row r="43" ht="20" customHeight="1" spans="2:17">
      <c r="B43" s="132">
        <v>4</v>
      </c>
      <c r="C43" s="133" t="s">
        <v>199</v>
      </c>
      <c r="D43" s="133"/>
      <c r="E43" s="144">
        <v>300</v>
      </c>
      <c r="F43" s="144"/>
      <c r="G43" s="144">
        <v>1</v>
      </c>
      <c r="H43" s="144">
        <v>300</v>
      </c>
      <c r="I43" s="144"/>
      <c r="J43" s="133" t="s">
        <v>124</v>
      </c>
      <c r="K43" s="133"/>
      <c r="L43" s="213">
        <v>43756.8541666667</v>
      </c>
      <c r="M43" s="213"/>
      <c r="N43" s="169"/>
      <c r="O43" s="169"/>
      <c r="P43" s="110"/>
      <c r="Q43" s="197"/>
    </row>
    <row r="44" ht="20" customHeight="1" spans="2:17">
      <c r="B44" s="132">
        <v>5</v>
      </c>
      <c r="C44" s="133" t="s">
        <v>200</v>
      </c>
      <c r="D44" s="133"/>
      <c r="E44" s="144">
        <v>39</v>
      </c>
      <c r="F44" s="144"/>
      <c r="G44" s="144">
        <v>1</v>
      </c>
      <c r="H44" s="144">
        <v>39</v>
      </c>
      <c r="I44" s="144"/>
      <c r="J44" s="133" t="s">
        <v>124</v>
      </c>
      <c r="K44" s="133"/>
      <c r="L44" s="213">
        <v>43756.8541666667</v>
      </c>
      <c r="M44" s="213"/>
      <c r="N44" s="169"/>
      <c r="O44" s="169"/>
      <c r="P44" s="110"/>
      <c r="Q44" s="197"/>
    </row>
    <row r="45" ht="20" customHeight="1" spans="2:17">
      <c r="B45" s="132">
        <v>6</v>
      </c>
      <c r="C45" s="133" t="s">
        <v>201</v>
      </c>
      <c r="D45" s="133"/>
      <c r="E45" s="144">
        <v>0</v>
      </c>
      <c r="F45" s="144"/>
      <c r="G45" s="144">
        <v>0</v>
      </c>
      <c r="H45" s="144">
        <v>0</v>
      </c>
      <c r="I45" s="144"/>
      <c r="J45" s="133" t="s">
        <v>124</v>
      </c>
      <c r="K45" s="133"/>
      <c r="L45" s="213">
        <v>43756.8541666667</v>
      </c>
      <c r="M45" s="213"/>
      <c r="N45" s="169"/>
      <c r="O45" s="169"/>
      <c r="P45" s="110"/>
      <c r="Q45" s="197"/>
    </row>
    <row r="46" s="85" customFormat="1" ht="20" customHeight="1" spans="2:18">
      <c r="B46" s="145"/>
      <c r="C46" s="146"/>
      <c r="D46" s="146"/>
      <c r="E46" s="146"/>
      <c r="F46" s="146"/>
      <c r="G46" s="147" t="s">
        <v>202</v>
      </c>
      <c r="H46" s="54">
        <v>405.6</v>
      </c>
      <c r="I46" s="54"/>
      <c r="J46" s="172"/>
      <c r="K46" s="172"/>
      <c r="L46" s="172"/>
      <c r="M46" s="173"/>
      <c r="N46" s="172"/>
      <c r="O46" s="174"/>
      <c r="P46" s="174"/>
      <c r="Q46" s="202"/>
      <c r="R46" s="86"/>
    </row>
    <row r="47" ht="20" customHeight="1" spans="2:17">
      <c r="B47" s="145"/>
      <c r="C47" s="148" t="s">
        <v>203</v>
      </c>
      <c r="D47" s="148"/>
      <c r="E47" s="148"/>
      <c r="F47" s="149" t="s">
        <v>204</v>
      </c>
      <c r="G47" s="149"/>
      <c r="H47" s="150">
        <v>41786.4</v>
      </c>
      <c r="I47" s="150"/>
      <c r="J47" s="176" t="s">
        <v>205</v>
      </c>
      <c r="K47" s="176"/>
      <c r="L47" s="176"/>
      <c r="M47" s="176" t="s">
        <v>206</v>
      </c>
      <c r="N47" s="176"/>
      <c r="O47" s="176"/>
      <c r="P47" s="177" t="s">
        <v>207</v>
      </c>
      <c r="Q47" s="203" t="s">
        <v>208</v>
      </c>
    </row>
    <row r="48" ht="24" customHeight="1" spans="2:17">
      <c r="B48" s="151" t="s">
        <v>209</v>
      </c>
      <c r="C48" s="152"/>
      <c r="D48" s="152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204"/>
    </row>
  </sheetData>
  <mergeCells count="176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B15:Q15"/>
    <mergeCell ref="B16:Q16"/>
    <mergeCell ref="B17:D17"/>
    <mergeCell ref="F17:G17"/>
    <mergeCell ref="H17:I17"/>
    <mergeCell ref="J17:K17"/>
    <mergeCell ref="P17:Q17"/>
    <mergeCell ref="B18:D18"/>
    <mergeCell ref="F18:G18"/>
    <mergeCell ref="H18:I18"/>
    <mergeCell ref="J18:K18"/>
    <mergeCell ref="P18:Q18"/>
    <mergeCell ref="B19:D19"/>
    <mergeCell ref="F19:G19"/>
    <mergeCell ref="H19:I19"/>
    <mergeCell ref="J19:K19"/>
    <mergeCell ref="P19:Q19"/>
    <mergeCell ref="B20:D20"/>
    <mergeCell ref="F20:G20"/>
    <mergeCell ref="H20:I20"/>
    <mergeCell ref="J20:K20"/>
    <mergeCell ref="P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P28:Q28"/>
    <mergeCell ref="B29:Q29"/>
    <mergeCell ref="B30:Q30"/>
    <mergeCell ref="B31:D31"/>
    <mergeCell ref="E31:F31"/>
    <mergeCell ref="I31:J31"/>
    <mergeCell ref="L31:M31"/>
    <mergeCell ref="B32:D32"/>
    <mergeCell ref="E32:F32"/>
    <mergeCell ref="I32:J32"/>
    <mergeCell ref="L32:M32"/>
    <mergeCell ref="B33:D33"/>
    <mergeCell ref="E33:F33"/>
    <mergeCell ref="I33:J33"/>
    <mergeCell ref="L33:M33"/>
    <mergeCell ref="B34:D34"/>
    <mergeCell ref="E34:F34"/>
    <mergeCell ref="I34:J34"/>
    <mergeCell ref="L34:M34"/>
    <mergeCell ref="B35:D35"/>
    <mergeCell ref="E35:F35"/>
    <mergeCell ref="I35:J35"/>
    <mergeCell ref="L35:M35"/>
    <mergeCell ref="B37:Q37"/>
    <mergeCell ref="B38:Q38"/>
    <mergeCell ref="C39:D39"/>
    <mergeCell ref="E39:F39"/>
    <mergeCell ref="H39:I39"/>
    <mergeCell ref="J39:K39"/>
    <mergeCell ref="L39:M39"/>
    <mergeCell ref="N39:O39"/>
    <mergeCell ref="P39:Q39"/>
    <mergeCell ref="C40:D40"/>
    <mergeCell ref="E40:F40"/>
    <mergeCell ref="H40:I40"/>
    <mergeCell ref="J40:K40"/>
    <mergeCell ref="L40:M40"/>
    <mergeCell ref="C41:D41"/>
    <mergeCell ref="E41:F41"/>
    <mergeCell ref="H41:I41"/>
    <mergeCell ref="J41:K41"/>
    <mergeCell ref="L41:M41"/>
    <mergeCell ref="C42:D42"/>
    <mergeCell ref="E42:F42"/>
    <mergeCell ref="H42:I42"/>
    <mergeCell ref="J42:K42"/>
    <mergeCell ref="L42:M42"/>
    <mergeCell ref="C43:D43"/>
    <mergeCell ref="E43:F43"/>
    <mergeCell ref="H43:I43"/>
    <mergeCell ref="J43:K43"/>
    <mergeCell ref="L43:M43"/>
    <mergeCell ref="C44:D44"/>
    <mergeCell ref="E44:F44"/>
    <mergeCell ref="H44:I44"/>
    <mergeCell ref="J44:K44"/>
    <mergeCell ref="L44:M44"/>
    <mergeCell ref="C45:D45"/>
    <mergeCell ref="E45:F45"/>
    <mergeCell ref="H45:I45"/>
    <mergeCell ref="J45:K45"/>
    <mergeCell ref="L45:M45"/>
    <mergeCell ref="H46:I46"/>
    <mergeCell ref="C47:E47"/>
    <mergeCell ref="F47:G47"/>
    <mergeCell ref="H47:I47"/>
    <mergeCell ref="J47:L47"/>
    <mergeCell ref="M47:O47"/>
    <mergeCell ref="B48:Q48"/>
    <mergeCell ref="B9:B10"/>
    <mergeCell ref="B11:B12"/>
    <mergeCell ref="N40:O45"/>
    <mergeCell ref="P40:Q45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52"/>
  <sheetViews>
    <sheetView workbookViewId="0">
      <selection activeCell="S37" sqref="S37"/>
    </sheetView>
  </sheetViews>
  <sheetFormatPr defaultColWidth="9" defaultRowHeight="12"/>
  <cols>
    <col min="1" max="1" width="9" style="85"/>
    <col min="2" max="17" width="10.625" style="85" customWidth="1"/>
    <col min="18" max="18" width="9" style="86"/>
    <col min="19" max="16384" width="9" style="85"/>
  </cols>
  <sheetData>
    <row r="1" ht="24" customHeight="1" spans="2:17">
      <c r="B1" s="37" t="s">
        <v>91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178"/>
    </row>
    <row r="2" ht="22" customHeight="1" spans="2:17">
      <c r="B2" s="88" t="s">
        <v>80</v>
      </c>
      <c r="C2" s="89"/>
      <c r="D2" s="90" t="s">
        <v>38</v>
      </c>
      <c r="E2" s="91" t="s">
        <v>92</v>
      </c>
      <c r="F2" s="89"/>
      <c r="G2" s="89"/>
      <c r="H2" s="89"/>
      <c r="I2" s="153"/>
      <c r="J2" s="153"/>
      <c r="K2" s="153"/>
      <c r="L2" s="153"/>
      <c r="M2" s="153"/>
      <c r="N2" s="153"/>
      <c r="O2" s="153"/>
      <c r="P2" s="89"/>
      <c r="Q2" s="179"/>
    </row>
    <row r="3" ht="22" customHeight="1" spans="2:17">
      <c r="B3" s="92" t="s">
        <v>93</v>
      </c>
      <c r="C3" s="93"/>
      <c r="D3" s="93"/>
      <c r="E3" s="93" t="s">
        <v>94</v>
      </c>
      <c r="F3" s="93"/>
      <c r="G3" s="93"/>
      <c r="H3" s="93" t="s">
        <v>95</v>
      </c>
      <c r="I3" s="93"/>
      <c r="J3" s="93" t="s">
        <v>96</v>
      </c>
      <c r="K3" s="93"/>
      <c r="L3" s="93" t="s">
        <v>97</v>
      </c>
      <c r="M3" s="93"/>
      <c r="N3" s="93" t="s">
        <v>98</v>
      </c>
      <c r="O3" s="93"/>
      <c r="P3" s="93"/>
      <c r="Q3" s="180"/>
    </row>
    <row r="4" ht="22" customHeight="1" spans="2:17">
      <c r="B4" s="94" t="s">
        <v>99</v>
      </c>
      <c r="C4" s="95"/>
      <c r="D4" s="95"/>
      <c r="E4" s="95" t="s">
        <v>100</v>
      </c>
      <c r="F4" s="95"/>
      <c r="G4" s="95"/>
      <c r="H4" s="95"/>
      <c r="I4" s="95"/>
      <c r="J4" s="95"/>
      <c r="K4" s="154" t="s">
        <v>101</v>
      </c>
      <c r="L4" s="154"/>
      <c r="M4" s="154"/>
      <c r="N4" s="155" t="s">
        <v>102</v>
      </c>
      <c r="O4" s="156"/>
      <c r="P4" s="157"/>
      <c r="Q4" s="180"/>
    </row>
    <row r="5" ht="22" customHeight="1" spans="2:17">
      <c r="B5" s="94" t="s">
        <v>103</v>
      </c>
      <c r="C5" s="96"/>
      <c r="D5" s="96"/>
      <c r="E5" s="96"/>
      <c r="F5" s="96" t="s">
        <v>104</v>
      </c>
      <c r="G5" s="96"/>
      <c r="H5" s="96"/>
      <c r="I5" s="158" t="s">
        <v>105</v>
      </c>
      <c r="J5" s="158"/>
      <c r="K5" s="155" t="s">
        <v>106</v>
      </c>
      <c r="L5" s="157"/>
      <c r="M5" s="96" t="s">
        <v>107</v>
      </c>
      <c r="N5" s="95"/>
      <c r="O5" s="95"/>
      <c r="P5" s="95"/>
      <c r="Q5" s="181"/>
    </row>
    <row r="6" ht="22" customHeight="1" spans="2:17">
      <c r="B6" s="94" t="s">
        <v>108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182"/>
    </row>
    <row r="7" ht="10" customHeight="1" spans="2:17">
      <c r="B7" s="97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183"/>
    </row>
    <row r="8" ht="18" customHeight="1" spans="2:17">
      <c r="B8" s="99" t="s">
        <v>109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84"/>
    </row>
    <row r="9" ht="18" customHeight="1" spans="2:17">
      <c r="B9" s="101" t="s">
        <v>110</v>
      </c>
      <c r="C9" s="205" t="s">
        <v>111</v>
      </c>
      <c r="D9" s="205"/>
      <c r="E9" s="205" t="s">
        <v>112</v>
      </c>
      <c r="F9" s="206"/>
      <c r="G9" s="205" t="s">
        <v>113</v>
      </c>
      <c r="H9" s="205"/>
      <c r="I9" s="205"/>
      <c r="J9" s="205"/>
      <c r="K9" s="205"/>
      <c r="L9" s="205" t="s">
        <v>114</v>
      </c>
      <c r="M9" s="205"/>
      <c r="N9" s="205" t="s">
        <v>115</v>
      </c>
      <c r="O9" s="205"/>
      <c r="P9" s="205" t="s">
        <v>116</v>
      </c>
      <c r="Q9" s="187"/>
    </row>
    <row r="10" ht="20" customHeight="1" spans="2:17">
      <c r="B10" s="101"/>
      <c r="C10" s="207" t="s">
        <v>117</v>
      </c>
      <c r="D10" s="207"/>
      <c r="E10" s="284" t="s">
        <v>118</v>
      </c>
      <c r="F10" s="209"/>
      <c r="G10" s="208" t="s">
        <v>119</v>
      </c>
      <c r="H10" s="208"/>
      <c r="I10" s="208"/>
      <c r="J10" s="208"/>
      <c r="K10" s="208"/>
      <c r="L10" s="208" t="s">
        <v>120</v>
      </c>
      <c r="M10" s="208"/>
      <c r="N10" s="208" t="s">
        <v>121</v>
      </c>
      <c r="O10" s="208"/>
      <c r="P10" s="208" t="s">
        <v>122</v>
      </c>
      <c r="Q10" s="214"/>
    </row>
    <row r="11" ht="18" customHeight="1" spans="2:17">
      <c r="B11" s="101" t="s">
        <v>123</v>
      </c>
      <c r="C11" s="205" t="s">
        <v>111</v>
      </c>
      <c r="D11" s="205"/>
      <c r="E11" s="205" t="s">
        <v>112</v>
      </c>
      <c r="F11" s="206"/>
      <c r="G11" s="205" t="s">
        <v>113</v>
      </c>
      <c r="H11" s="205"/>
      <c r="I11" s="205"/>
      <c r="J11" s="205"/>
      <c r="K11" s="205"/>
      <c r="L11" s="205" t="s">
        <v>114</v>
      </c>
      <c r="M11" s="205"/>
      <c r="N11" s="205" t="s">
        <v>115</v>
      </c>
      <c r="O11" s="205"/>
      <c r="P11" s="205" t="s">
        <v>116</v>
      </c>
      <c r="Q11" s="187"/>
    </row>
    <row r="12" ht="20" customHeight="1" spans="2:17">
      <c r="B12" s="101"/>
      <c r="C12" s="207" t="s">
        <v>124</v>
      </c>
      <c r="D12" s="207"/>
      <c r="E12" s="284" t="s">
        <v>125</v>
      </c>
      <c r="F12" s="209"/>
      <c r="G12" s="208" t="s">
        <v>126</v>
      </c>
      <c r="H12" s="208"/>
      <c r="I12" s="208"/>
      <c r="J12" s="208"/>
      <c r="K12" s="208"/>
      <c r="L12" s="208" t="s">
        <v>127</v>
      </c>
      <c r="M12" s="208"/>
      <c r="N12" s="208" t="s">
        <v>128</v>
      </c>
      <c r="O12" s="208"/>
      <c r="P12" s="208" t="s">
        <v>129</v>
      </c>
      <c r="Q12" s="214"/>
    </row>
    <row r="13" ht="10" customHeight="1" spans="2:17">
      <c r="B13" s="210"/>
      <c r="C13" s="207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14"/>
    </row>
    <row r="14" ht="20" customHeight="1" spans="2:17">
      <c r="B14" s="211" t="s">
        <v>210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187"/>
    </row>
    <row r="15" ht="20" customHeight="1" spans="2:17">
      <c r="B15" s="108" t="s">
        <v>211</v>
      </c>
      <c r="C15" s="109">
        <v>190910000021</v>
      </c>
      <c r="D15" s="109"/>
      <c r="E15" s="110" t="s">
        <v>212</v>
      </c>
      <c r="F15" s="110"/>
      <c r="G15" s="110"/>
      <c r="H15" s="111" t="s">
        <v>213</v>
      </c>
      <c r="I15" s="111"/>
      <c r="J15" s="111"/>
      <c r="K15" s="111"/>
      <c r="L15" s="111"/>
      <c r="M15" s="111"/>
      <c r="N15" s="111"/>
      <c r="O15" s="111"/>
      <c r="P15" s="111"/>
      <c r="Q15" s="188"/>
    </row>
    <row r="16" ht="20" customHeight="1" spans="2:17">
      <c r="B16" s="108" t="s">
        <v>214</v>
      </c>
      <c r="C16" s="286" t="s">
        <v>215</v>
      </c>
      <c r="D16" s="110"/>
      <c r="E16" s="110" t="s">
        <v>216</v>
      </c>
      <c r="F16" s="110"/>
      <c r="G16" s="110"/>
      <c r="H16" s="111" t="s">
        <v>213</v>
      </c>
      <c r="I16" s="111"/>
      <c r="J16" s="111"/>
      <c r="K16" s="111"/>
      <c r="L16" s="111"/>
      <c r="M16" s="111"/>
      <c r="N16" s="111"/>
      <c r="O16" s="111"/>
      <c r="P16" s="111"/>
      <c r="Q16" s="188"/>
    </row>
    <row r="17" ht="20" customHeight="1" spans="2:17">
      <c r="B17" s="108" t="s">
        <v>217</v>
      </c>
      <c r="C17" s="286" t="s">
        <v>218</v>
      </c>
      <c r="D17" s="110"/>
      <c r="E17" s="110" t="s">
        <v>219</v>
      </c>
      <c r="F17" s="110"/>
      <c r="G17" s="110"/>
      <c r="H17" s="111" t="s">
        <v>220</v>
      </c>
      <c r="I17" s="111"/>
      <c r="J17" s="111"/>
      <c r="K17" s="111"/>
      <c r="L17" s="111"/>
      <c r="M17" s="111"/>
      <c r="N17" s="111"/>
      <c r="O17" s="111"/>
      <c r="P17" s="111"/>
      <c r="Q17" s="188"/>
    </row>
    <row r="18" ht="20" customHeight="1" spans="2:17">
      <c r="B18" s="108" t="s">
        <v>221</v>
      </c>
      <c r="C18" s="286" t="s">
        <v>222</v>
      </c>
      <c r="D18" s="110"/>
      <c r="E18" s="110" t="s">
        <v>223</v>
      </c>
      <c r="F18" s="110"/>
      <c r="G18" s="110"/>
      <c r="H18" s="111" t="s">
        <v>224</v>
      </c>
      <c r="I18" s="111"/>
      <c r="J18" s="111"/>
      <c r="K18" s="111"/>
      <c r="L18" s="111"/>
      <c r="M18" s="111"/>
      <c r="N18" s="111"/>
      <c r="O18" s="111"/>
      <c r="P18" s="111"/>
      <c r="Q18" s="188"/>
    </row>
    <row r="19" ht="10" customHeight="1" spans="2:17">
      <c r="B19" s="116"/>
      <c r="C19" s="117"/>
      <c r="D19" s="117"/>
      <c r="E19" s="117"/>
      <c r="F19" s="117"/>
      <c r="G19" s="117"/>
      <c r="H19" s="117"/>
      <c r="I19" s="117"/>
      <c r="J19" s="117"/>
      <c r="K19" s="117"/>
      <c r="L19" s="117"/>
      <c r="M19" s="117"/>
      <c r="N19" s="117"/>
      <c r="O19" s="117"/>
      <c r="P19" s="117"/>
      <c r="Q19" s="191"/>
    </row>
    <row r="20" ht="15" customHeight="1" spans="2:17">
      <c r="B20" s="118" t="s">
        <v>131</v>
      </c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92"/>
    </row>
    <row r="21" ht="22" customHeight="1" spans="2:17">
      <c r="B21" s="105" t="s">
        <v>132</v>
      </c>
      <c r="C21" s="102"/>
      <c r="D21" s="102"/>
      <c r="E21" s="102" t="s">
        <v>133</v>
      </c>
      <c r="F21" s="102" t="s">
        <v>134</v>
      </c>
      <c r="G21" s="102"/>
      <c r="H21" s="102" t="s">
        <v>135</v>
      </c>
      <c r="I21" s="102"/>
      <c r="J21" s="102" t="s">
        <v>136</v>
      </c>
      <c r="K21" s="102"/>
      <c r="L21" s="102" t="s">
        <v>137</v>
      </c>
      <c r="M21" s="102" t="s">
        <v>138</v>
      </c>
      <c r="N21" s="6" t="s">
        <v>30</v>
      </c>
      <c r="O21" s="102" t="s">
        <v>139</v>
      </c>
      <c r="P21" s="102" t="s">
        <v>140</v>
      </c>
      <c r="Q21" s="185"/>
    </row>
    <row r="22" ht="20" customHeight="1" spans="2:17">
      <c r="B22" s="16" t="s">
        <v>141</v>
      </c>
      <c r="C22" s="104"/>
      <c r="D22" s="104"/>
      <c r="E22" s="8" t="s">
        <v>142</v>
      </c>
      <c r="F22" s="120">
        <v>43756.8541666667</v>
      </c>
      <c r="G22" s="120"/>
      <c r="H22" s="121" t="s">
        <v>143</v>
      </c>
      <c r="I22" s="121"/>
      <c r="J22" s="104" t="s">
        <v>144</v>
      </c>
      <c r="K22" s="104"/>
      <c r="L22" s="104" t="s">
        <v>145</v>
      </c>
      <c r="M22" s="104">
        <v>1</v>
      </c>
      <c r="N22" s="104">
        <v>1</v>
      </c>
      <c r="O22" s="104">
        <v>60</v>
      </c>
      <c r="P22" s="121" t="s">
        <v>146</v>
      </c>
      <c r="Q22" s="193"/>
    </row>
    <row r="23" ht="20" customHeight="1" spans="2:17">
      <c r="B23" s="16" t="s">
        <v>147</v>
      </c>
      <c r="C23" s="104"/>
      <c r="D23" s="104"/>
      <c r="E23" s="8" t="s">
        <v>148</v>
      </c>
      <c r="F23" s="120">
        <v>43756.8541666667</v>
      </c>
      <c r="G23" s="120"/>
      <c r="H23" s="121" t="s">
        <v>149</v>
      </c>
      <c r="I23" s="121"/>
      <c r="J23" s="104" t="s">
        <v>144</v>
      </c>
      <c r="K23" s="104"/>
      <c r="L23" s="104" t="s">
        <v>145</v>
      </c>
      <c r="M23" s="104">
        <v>1</v>
      </c>
      <c r="N23" s="104">
        <v>1</v>
      </c>
      <c r="O23" s="104">
        <v>50</v>
      </c>
      <c r="P23" s="121"/>
      <c r="Q23" s="193"/>
    </row>
    <row r="24" ht="20" customHeight="1" spans="2:17">
      <c r="B24" s="122" t="s">
        <v>150</v>
      </c>
      <c r="C24" s="104"/>
      <c r="D24" s="104"/>
      <c r="E24" s="104" t="s">
        <v>151</v>
      </c>
      <c r="F24" s="120">
        <v>43756.8541666667</v>
      </c>
      <c r="G24" s="120"/>
      <c r="H24" s="121" t="s">
        <v>152</v>
      </c>
      <c r="I24" s="121"/>
      <c r="J24" s="104" t="s">
        <v>144</v>
      </c>
      <c r="K24" s="104"/>
      <c r="L24" s="104" t="s">
        <v>145</v>
      </c>
      <c r="M24" s="104">
        <v>1</v>
      </c>
      <c r="N24" s="104">
        <v>1</v>
      </c>
      <c r="O24" s="104">
        <v>12</v>
      </c>
      <c r="P24" s="121"/>
      <c r="Q24" s="193"/>
    </row>
    <row r="25" ht="20" customHeight="1" spans="2:17">
      <c r="B25" s="122" t="s">
        <v>153</v>
      </c>
      <c r="C25" s="104"/>
      <c r="D25" s="104"/>
      <c r="E25" s="104" t="s">
        <v>154</v>
      </c>
      <c r="F25" s="120">
        <v>43756.8541666667</v>
      </c>
      <c r="G25" s="120"/>
      <c r="H25" s="121" t="s">
        <v>155</v>
      </c>
      <c r="I25" s="121"/>
      <c r="J25" s="104" t="s">
        <v>144</v>
      </c>
      <c r="K25" s="104"/>
      <c r="L25" s="104" t="s">
        <v>145</v>
      </c>
      <c r="M25" s="104">
        <v>1</v>
      </c>
      <c r="N25" s="104">
        <v>1</v>
      </c>
      <c r="O25" s="104">
        <v>23</v>
      </c>
      <c r="P25" s="121"/>
      <c r="Q25" s="193"/>
    </row>
    <row r="26" ht="20" customHeight="1" spans="2:17">
      <c r="B26" s="122" t="s">
        <v>141</v>
      </c>
      <c r="C26" s="104"/>
      <c r="D26" s="104"/>
      <c r="E26" s="104" t="s">
        <v>151</v>
      </c>
      <c r="F26" s="120">
        <v>43756.8541666667</v>
      </c>
      <c r="G26" s="120"/>
      <c r="H26" s="121" t="s">
        <v>143</v>
      </c>
      <c r="I26" s="121"/>
      <c r="J26" s="104" t="s">
        <v>144</v>
      </c>
      <c r="K26" s="104"/>
      <c r="L26" s="104" t="s">
        <v>145</v>
      </c>
      <c r="M26" s="104">
        <v>1</v>
      </c>
      <c r="N26" s="104">
        <v>1</v>
      </c>
      <c r="O26" s="104">
        <v>60</v>
      </c>
      <c r="P26" s="121"/>
      <c r="Q26" s="193"/>
    </row>
    <row r="27" ht="20" customHeight="1" spans="2:17">
      <c r="B27" s="122" t="s">
        <v>147</v>
      </c>
      <c r="C27" s="104"/>
      <c r="D27" s="104"/>
      <c r="E27" s="104" t="s">
        <v>154</v>
      </c>
      <c r="F27" s="120">
        <v>43756.8541666667</v>
      </c>
      <c r="G27" s="120"/>
      <c r="H27" s="121" t="s">
        <v>149</v>
      </c>
      <c r="I27" s="121"/>
      <c r="J27" s="104" t="s">
        <v>144</v>
      </c>
      <c r="K27" s="104"/>
      <c r="L27" s="104" t="s">
        <v>145</v>
      </c>
      <c r="M27" s="104">
        <v>1</v>
      </c>
      <c r="N27" s="104">
        <v>1</v>
      </c>
      <c r="O27" s="104">
        <v>50</v>
      </c>
      <c r="P27" s="121"/>
      <c r="Q27" s="193"/>
    </row>
    <row r="28" ht="20" customHeight="1" spans="2:17">
      <c r="B28" s="123" t="s">
        <v>156</v>
      </c>
      <c r="C28" s="124"/>
      <c r="D28" s="124"/>
      <c r="E28" s="124" t="s">
        <v>157</v>
      </c>
      <c r="F28" s="125">
        <v>43756.8541666667</v>
      </c>
      <c r="G28" s="125"/>
      <c r="H28" s="126" t="s">
        <v>152</v>
      </c>
      <c r="I28" s="126"/>
      <c r="J28" s="124" t="s">
        <v>158</v>
      </c>
      <c r="K28" s="124"/>
      <c r="L28" s="124" t="s">
        <v>159</v>
      </c>
      <c r="M28" s="124" t="s">
        <v>157</v>
      </c>
      <c r="N28" s="124" t="s">
        <v>157</v>
      </c>
      <c r="O28" s="124" t="s">
        <v>157</v>
      </c>
      <c r="P28" s="121"/>
      <c r="Q28" s="193"/>
    </row>
    <row r="29" ht="20" customHeight="1" spans="2:17">
      <c r="B29" s="123" t="s">
        <v>160</v>
      </c>
      <c r="C29" s="124"/>
      <c r="D29" s="124"/>
      <c r="E29" s="124" t="s">
        <v>157</v>
      </c>
      <c r="F29" s="125">
        <v>43756.8541666667</v>
      </c>
      <c r="G29" s="125"/>
      <c r="H29" s="126" t="s">
        <v>155</v>
      </c>
      <c r="I29" s="126"/>
      <c r="J29" s="124" t="s">
        <v>158</v>
      </c>
      <c r="K29" s="124"/>
      <c r="L29" s="124" t="s">
        <v>159</v>
      </c>
      <c r="M29" s="124" t="s">
        <v>157</v>
      </c>
      <c r="N29" s="124" t="s">
        <v>157</v>
      </c>
      <c r="O29" s="124" t="s">
        <v>157</v>
      </c>
      <c r="P29" s="121"/>
      <c r="Q29" s="193"/>
    </row>
    <row r="30" ht="20" customHeight="1" spans="2:17">
      <c r="B30" s="123" t="s">
        <v>160</v>
      </c>
      <c r="C30" s="124"/>
      <c r="D30" s="124"/>
      <c r="E30" s="124" t="s">
        <v>157</v>
      </c>
      <c r="F30" s="125">
        <v>43756.8541666667</v>
      </c>
      <c r="G30" s="125"/>
      <c r="H30" s="126" t="s">
        <v>155</v>
      </c>
      <c r="I30" s="126"/>
      <c r="J30" s="124" t="s">
        <v>158</v>
      </c>
      <c r="K30" s="124"/>
      <c r="L30" s="124" t="s">
        <v>159</v>
      </c>
      <c r="M30" s="124" t="s">
        <v>157</v>
      </c>
      <c r="N30" s="124" t="s">
        <v>157</v>
      </c>
      <c r="O30" s="124" t="s">
        <v>157</v>
      </c>
      <c r="P30" s="121"/>
      <c r="Q30" s="193"/>
    </row>
    <row r="31" ht="20" customHeight="1" spans="2:17">
      <c r="B31" s="127" t="s">
        <v>161</v>
      </c>
      <c r="C31" s="128"/>
      <c r="D31" s="128"/>
      <c r="E31" s="128" t="s">
        <v>162</v>
      </c>
      <c r="F31" s="128" t="s">
        <v>163</v>
      </c>
      <c r="G31" s="128"/>
      <c r="H31" s="129" t="s">
        <v>164</v>
      </c>
      <c r="I31" s="129"/>
      <c r="J31" s="128" t="s">
        <v>165</v>
      </c>
      <c r="K31" s="128"/>
      <c r="L31" s="128" t="s">
        <v>166</v>
      </c>
      <c r="M31" s="128" t="s">
        <v>162</v>
      </c>
      <c r="N31" s="128" t="s">
        <v>162</v>
      </c>
      <c r="O31" s="128" t="s">
        <v>162</v>
      </c>
      <c r="P31" s="121"/>
      <c r="Q31" s="193"/>
    </row>
    <row r="32" ht="20" customHeight="1" spans="2:17">
      <c r="B32" s="212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112">
        <f t="shared" ref="M32:O32" si="0">SUM(M22:M31)</f>
        <v>6</v>
      </c>
      <c r="N32" s="112">
        <f t="shared" si="0"/>
        <v>6</v>
      </c>
      <c r="O32" s="133">
        <f t="shared" si="0"/>
        <v>255</v>
      </c>
      <c r="P32" s="133"/>
      <c r="Q32" s="194"/>
    </row>
    <row r="33" ht="10" customHeight="1" spans="2:17">
      <c r="B33" s="116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91"/>
    </row>
    <row r="34" ht="15" customHeight="1" spans="2:17">
      <c r="B34" s="118" t="s">
        <v>167</v>
      </c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92"/>
    </row>
    <row r="35" ht="22" customHeight="1" spans="2:17">
      <c r="B35" s="130" t="s">
        <v>132</v>
      </c>
      <c r="C35" s="131"/>
      <c r="D35" s="131"/>
      <c r="E35" s="131" t="s">
        <v>168</v>
      </c>
      <c r="F35" s="131"/>
      <c r="G35" s="131" t="s">
        <v>169</v>
      </c>
      <c r="H35" s="15" t="s">
        <v>170</v>
      </c>
      <c r="I35" s="131" t="s">
        <v>135</v>
      </c>
      <c r="J35" s="131"/>
      <c r="K35" s="131" t="s">
        <v>137</v>
      </c>
      <c r="L35" s="131" t="s">
        <v>171</v>
      </c>
      <c r="M35" s="131"/>
      <c r="N35" s="131" t="s">
        <v>172</v>
      </c>
      <c r="O35" s="131" t="s">
        <v>173</v>
      </c>
      <c r="P35" s="131" t="s">
        <v>174</v>
      </c>
      <c r="Q35" s="195" t="s">
        <v>175</v>
      </c>
    </row>
    <row r="36" ht="20" customHeight="1" spans="2:17">
      <c r="B36" s="132" t="s">
        <v>176</v>
      </c>
      <c r="C36" s="133"/>
      <c r="D36" s="133"/>
      <c r="E36" s="285" t="s">
        <v>177</v>
      </c>
      <c r="F36" s="112"/>
      <c r="G36" s="134" t="s">
        <v>178</v>
      </c>
      <c r="H36" s="135" t="s">
        <v>179</v>
      </c>
      <c r="I36" s="133" t="s">
        <v>143</v>
      </c>
      <c r="J36" s="133"/>
      <c r="K36" s="112" t="s">
        <v>145</v>
      </c>
      <c r="L36" s="112" t="s">
        <v>180</v>
      </c>
      <c r="M36" s="112"/>
      <c r="N36" s="112">
        <v>1</v>
      </c>
      <c r="O36" s="112">
        <v>0.0086</v>
      </c>
      <c r="P36" s="112">
        <v>1.43</v>
      </c>
      <c r="Q36" s="196">
        <v>100000</v>
      </c>
    </row>
    <row r="37" ht="20" customHeight="1" spans="2:17">
      <c r="B37" s="113" t="s">
        <v>147</v>
      </c>
      <c r="C37" s="112"/>
      <c r="D37" s="112"/>
      <c r="E37" s="285" t="s">
        <v>181</v>
      </c>
      <c r="F37" s="112"/>
      <c r="G37" s="134" t="s">
        <v>182</v>
      </c>
      <c r="H37" s="135" t="s">
        <v>179</v>
      </c>
      <c r="I37" s="133" t="s">
        <v>149</v>
      </c>
      <c r="J37" s="133"/>
      <c r="K37" s="112" t="s">
        <v>145</v>
      </c>
      <c r="L37" s="112" t="s">
        <v>183</v>
      </c>
      <c r="M37" s="112"/>
      <c r="N37" s="112">
        <v>1</v>
      </c>
      <c r="O37" s="112">
        <v>0.0019</v>
      </c>
      <c r="P37" s="112">
        <v>0.32</v>
      </c>
      <c r="Q37" s="197">
        <v>0.12</v>
      </c>
    </row>
    <row r="38" ht="20" customHeight="1" spans="2:17">
      <c r="B38" s="113" t="s">
        <v>150</v>
      </c>
      <c r="C38" s="112"/>
      <c r="D38" s="112"/>
      <c r="E38" s="285" t="s">
        <v>184</v>
      </c>
      <c r="F38" s="112"/>
      <c r="G38" s="134" t="s">
        <v>185</v>
      </c>
      <c r="H38" s="135" t="s">
        <v>179</v>
      </c>
      <c r="I38" s="133" t="s">
        <v>152</v>
      </c>
      <c r="J38" s="133"/>
      <c r="K38" s="112" t="s">
        <v>145</v>
      </c>
      <c r="L38" s="112" t="s">
        <v>186</v>
      </c>
      <c r="M38" s="112"/>
      <c r="N38" s="112">
        <v>1</v>
      </c>
      <c r="O38" s="112">
        <v>0.0052</v>
      </c>
      <c r="P38" s="112">
        <v>0.87</v>
      </c>
      <c r="Q38" s="197">
        <v>0.7</v>
      </c>
    </row>
    <row r="39" ht="20" customHeight="1" spans="2:17">
      <c r="B39" s="113" t="s">
        <v>153</v>
      </c>
      <c r="C39" s="112"/>
      <c r="D39" s="112"/>
      <c r="E39" s="285" t="s">
        <v>187</v>
      </c>
      <c r="F39" s="112"/>
      <c r="G39" s="134" t="s">
        <v>178</v>
      </c>
      <c r="H39" s="135" t="s">
        <v>179</v>
      </c>
      <c r="I39" s="133" t="s">
        <v>155</v>
      </c>
      <c r="J39" s="133"/>
      <c r="K39" s="161" t="s">
        <v>159</v>
      </c>
      <c r="L39" s="112" t="s">
        <v>188</v>
      </c>
      <c r="M39" s="112"/>
      <c r="N39" s="112">
        <v>1</v>
      </c>
      <c r="O39" s="112">
        <v>0.0245</v>
      </c>
      <c r="P39" s="112">
        <v>4.08</v>
      </c>
      <c r="Q39" s="197">
        <v>3.62</v>
      </c>
    </row>
    <row r="40" ht="20" customHeight="1" spans="2:17">
      <c r="B40" s="136"/>
      <c r="C40" s="137"/>
      <c r="D40" s="137"/>
      <c r="E40" s="137"/>
      <c r="F40" s="137"/>
      <c r="G40" s="138"/>
      <c r="H40" s="138"/>
      <c r="I40" s="138"/>
      <c r="J40" s="138"/>
      <c r="K40" s="138"/>
      <c r="L40" s="138"/>
      <c r="M40" s="138"/>
      <c r="N40" s="138">
        <f>SUM(N36:N39)</f>
        <v>4</v>
      </c>
      <c r="O40" s="162">
        <v>0.057</v>
      </c>
      <c r="P40" s="162">
        <v>16789</v>
      </c>
      <c r="Q40" s="198">
        <f>SUM(Q36:Q39)</f>
        <v>100004.44</v>
      </c>
    </row>
    <row r="41" ht="10" customHeight="1" spans="2:17">
      <c r="B41" s="116"/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  <c r="P41" s="117"/>
      <c r="Q41" s="191"/>
    </row>
    <row r="42" ht="15" customHeight="1" spans="2:17">
      <c r="B42" s="139" t="s">
        <v>189</v>
      </c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99"/>
    </row>
    <row r="43" ht="20" customHeight="1" spans="2:17">
      <c r="B43" s="141" t="s">
        <v>22</v>
      </c>
      <c r="C43" s="142" t="s">
        <v>190</v>
      </c>
      <c r="D43" s="143"/>
      <c r="E43" s="142" t="s">
        <v>191</v>
      </c>
      <c r="F43" s="143"/>
      <c r="G43" s="142" t="s">
        <v>192</v>
      </c>
      <c r="H43" s="142" t="s">
        <v>193</v>
      </c>
      <c r="I43" s="143"/>
      <c r="J43" s="142" t="s">
        <v>194</v>
      </c>
      <c r="K43" s="143"/>
      <c r="L43" s="163" t="s">
        <v>195</v>
      </c>
      <c r="M43" s="164"/>
      <c r="N43" s="165" t="s">
        <v>33</v>
      </c>
      <c r="O43" s="166"/>
      <c r="P43" s="165" t="s">
        <v>225</v>
      </c>
      <c r="Q43" s="200"/>
    </row>
    <row r="44" ht="20" customHeight="1" spans="2:17">
      <c r="B44" s="132">
        <v>1</v>
      </c>
      <c r="C44" s="133" t="s">
        <v>196</v>
      </c>
      <c r="D44" s="133"/>
      <c r="E44" s="144">
        <v>8.6</v>
      </c>
      <c r="F44" s="144"/>
      <c r="G44" s="144">
        <v>1</v>
      </c>
      <c r="H44" s="144">
        <v>8.6</v>
      </c>
      <c r="I44" s="144"/>
      <c r="J44" s="133" t="s">
        <v>124</v>
      </c>
      <c r="K44" s="133"/>
      <c r="L44" s="213">
        <v>43756.8541666667</v>
      </c>
      <c r="M44" s="213"/>
      <c r="N44" s="168" t="s">
        <v>226</v>
      </c>
      <c r="O44" s="169"/>
      <c r="P44" s="171" t="s">
        <v>227</v>
      </c>
      <c r="Q44" s="201"/>
    </row>
    <row r="45" ht="20" customHeight="1" spans="2:17">
      <c r="B45" s="132">
        <v>2</v>
      </c>
      <c r="C45" s="133" t="s">
        <v>197</v>
      </c>
      <c r="D45" s="133"/>
      <c r="E45" s="144">
        <v>7.9</v>
      </c>
      <c r="F45" s="144"/>
      <c r="G45" s="144">
        <v>20</v>
      </c>
      <c r="H45" s="144">
        <v>158</v>
      </c>
      <c r="I45" s="144"/>
      <c r="J45" s="133" t="s">
        <v>124</v>
      </c>
      <c r="K45" s="133"/>
      <c r="L45" s="213">
        <v>43756.8541666667</v>
      </c>
      <c r="M45" s="213"/>
      <c r="N45" s="169"/>
      <c r="O45" s="169"/>
      <c r="P45" s="171"/>
      <c r="Q45" s="201"/>
    </row>
    <row r="46" ht="20" customHeight="1" spans="2:17">
      <c r="B46" s="132">
        <v>3</v>
      </c>
      <c r="C46" s="133" t="s">
        <v>198</v>
      </c>
      <c r="D46" s="133"/>
      <c r="E46" s="144">
        <v>100</v>
      </c>
      <c r="F46" s="144"/>
      <c r="G46" s="144">
        <v>1</v>
      </c>
      <c r="H46" s="144">
        <v>-100</v>
      </c>
      <c r="I46" s="144"/>
      <c r="J46" s="133" t="s">
        <v>124</v>
      </c>
      <c r="K46" s="133"/>
      <c r="L46" s="213">
        <v>43756.8541666667</v>
      </c>
      <c r="M46" s="213"/>
      <c r="N46" s="169"/>
      <c r="O46" s="169"/>
      <c r="P46" s="171"/>
      <c r="Q46" s="201"/>
    </row>
    <row r="47" ht="20" customHeight="1" spans="2:17">
      <c r="B47" s="132">
        <v>4</v>
      </c>
      <c r="C47" s="133" t="s">
        <v>199</v>
      </c>
      <c r="D47" s="133"/>
      <c r="E47" s="144">
        <v>300</v>
      </c>
      <c r="F47" s="144"/>
      <c r="G47" s="144">
        <v>1</v>
      </c>
      <c r="H47" s="144">
        <v>300</v>
      </c>
      <c r="I47" s="144"/>
      <c r="J47" s="133" t="s">
        <v>124</v>
      </c>
      <c r="K47" s="133"/>
      <c r="L47" s="213">
        <v>43756.8541666667</v>
      </c>
      <c r="M47" s="213"/>
      <c r="N47" s="169"/>
      <c r="O47" s="169"/>
      <c r="P47" s="171"/>
      <c r="Q47" s="201"/>
    </row>
    <row r="48" ht="20" customHeight="1" spans="2:17">
      <c r="B48" s="132">
        <v>5</v>
      </c>
      <c r="C48" s="133" t="s">
        <v>200</v>
      </c>
      <c r="D48" s="133"/>
      <c r="E48" s="144">
        <v>39</v>
      </c>
      <c r="F48" s="144"/>
      <c r="G48" s="144">
        <v>1</v>
      </c>
      <c r="H48" s="144">
        <v>39</v>
      </c>
      <c r="I48" s="144"/>
      <c r="J48" s="133" t="s">
        <v>124</v>
      </c>
      <c r="K48" s="133"/>
      <c r="L48" s="213">
        <v>43756.8541666667</v>
      </c>
      <c r="M48" s="213"/>
      <c r="N48" s="169"/>
      <c r="O48" s="169"/>
      <c r="P48" s="171"/>
      <c r="Q48" s="201"/>
    </row>
    <row r="49" ht="20" customHeight="1" spans="2:17">
      <c r="B49" s="132">
        <v>6</v>
      </c>
      <c r="C49" s="133" t="s">
        <v>201</v>
      </c>
      <c r="D49" s="133"/>
      <c r="E49" s="144">
        <v>0</v>
      </c>
      <c r="F49" s="144"/>
      <c r="G49" s="144">
        <v>0</v>
      </c>
      <c r="H49" s="144">
        <v>0</v>
      </c>
      <c r="I49" s="144"/>
      <c r="J49" s="133" t="s">
        <v>124</v>
      </c>
      <c r="K49" s="133"/>
      <c r="L49" s="213">
        <v>43756.8541666667</v>
      </c>
      <c r="M49" s="213"/>
      <c r="N49" s="169"/>
      <c r="O49" s="169"/>
      <c r="P49" s="171"/>
      <c r="Q49" s="201"/>
    </row>
    <row r="50" ht="20" customHeight="1" spans="2:17">
      <c r="B50" s="145"/>
      <c r="C50" s="146"/>
      <c r="D50" s="146"/>
      <c r="E50" s="146"/>
      <c r="F50" s="146"/>
      <c r="G50" s="147" t="s">
        <v>202</v>
      </c>
      <c r="H50" s="54">
        <v>405.6</v>
      </c>
      <c r="I50" s="54"/>
      <c r="J50" s="172"/>
      <c r="K50" s="172"/>
      <c r="L50" s="172"/>
      <c r="M50" s="173"/>
      <c r="N50" s="172"/>
      <c r="O50" s="174"/>
      <c r="P50" s="174"/>
      <c r="Q50" s="202"/>
    </row>
    <row r="51" ht="20" customHeight="1" spans="2:27">
      <c r="B51" s="145"/>
      <c r="C51" s="148" t="s">
        <v>203</v>
      </c>
      <c r="D51" s="148"/>
      <c r="E51" s="148"/>
      <c r="F51" s="149" t="s">
        <v>204</v>
      </c>
      <c r="G51" s="149"/>
      <c r="H51" s="150">
        <v>41786.4</v>
      </c>
      <c r="I51" s="150"/>
      <c r="J51" s="175"/>
      <c r="K51" s="176"/>
      <c r="L51" s="176"/>
      <c r="M51" s="175"/>
      <c r="N51" s="176"/>
      <c r="O51" s="176"/>
      <c r="P51" s="177" t="s">
        <v>207</v>
      </c>
      <c r="Q51" s="203" t="s">
        <v>208</v>
      </c>
      <c r="S51" s="86"/>
      <c r="T51" s="86"/>
      <c r="U51" s="86"/>
      <c r="V51" s="86"/>
      <c r="W51" s="86"/>
      <c r="X51" s="86"/>
      <c r="Y51" s="86"/>
      <c r="Z51" s="86"/>
      <c r="AA51" s="86"/>
    </row>
    <row r="52" ht="24" customHeight="1" spans="2:17">
      <c r="B52" s="151" t="s">
        <v>209</v>
      </c>
      <c r="C52" s="152"/>
      <c r="D52" s="152"/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2"/>
      <c r="P52" s="152"/>
      <c r="Q52" s="204"/>
    </row>
  </sheetData>
  <mergeCells count="188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C15:D15"/>
    <mergeCell ref="E15:G15"/>
    <mergeCell ref="H15:Q15"/>
    <mergeCell ref="C16:D16"/>
    <mergeCell ref="E16:G16"/>
    <mergeCell ref="H16:Q16"/>
    <mergeCell ref="C17:D17"/>
    <mergeCell ref="E17:G17"/>
    <mergeCell ref="H17:Q17"/>
    <mergeCell ref="C18:D18"/>
    <mergeCell ref="E18:G18"/>
    <mergeCell ref="H18:Q18"/>
    <mergeCell ref="B19:Q19"/>
    <mergeCell ref="B20:Q20"/>
    <mergeCell ref="B21:D21"/>
    <mergeCell ref="F21:G21"/>
    <mergeCell ref="H21:I21"/>
    <mergeCell ref="J21:K21"/>
    <mergeCell ref="P21:Q21"/>
    <mergeCell ref="B22:D22"/>
    <mergeCell ref="F22:G22"/>
    <mergeCell ref="H22:I22"/>
    <mergeCell ref="J22:K22"/>
    <mergeCell ref="P22:Q22"/>
    <mergeCell ref="B23:D23"/>
    <mergeCell ref="F23:G23"/>
    <mergeCell ref="H23:I23"/>
    <mergeCell ref="J23:K23"/>
    <mergeCell ref="P23:Q23"/>
    <mergeCell ref="B24:D24"/>
    <mergeCell ref="F24:G24"/>
    <mergeCell ref="H24:I24"/>
    <mergeCell ref="J24:K24"/>
    <mergeCell ref="P24:Q24"/>
    <mergeCell ref="B25:D25"/>
    <mergeCell ref="F25:G25"/>
    <mergeCell ref="H25:I25"/>
    <mergeCell ref="J25:K25"/>
    <mergeCell ref="P25:Q25"/>
    <mergeCell ref="B26:D26"/>
    <mergeCell ref="F26:G26"/>
    <mergeCell ref="H26:I26"/>
    <mergeCell ref="J26:K26"/>
    <mergeCell ref="P26:Q26"/>
    <mergeCell ref="B27:D27"/>
    <mergeCell ref="F27:G27"/>
    <mergeCell ref="H27:I27"/>
    <mergeCell ref="J27:K27"/>
    <mergeCell ref="P27:Q27"/>
    <mergeCell ref="B28:D28"/>
    <mergeCell ref="F28:G28"/>
    <mergeCell ref="H28:I28"/>
    <mergeCell ref="J28:K28"/>
    <mergeCell ref="P28:Q28"/>
    <mergeCell ref="B29:D29"/>
    <mergeCell ref="F29:G29"/>
    <mergeCell ref="H29:I29"/>
    <mergeCell ref="J29:K29"/>
    <mergeCell ref="P29:Q29"/>
    <mergeCell ref="B30:D30"/>
    <mergeCell ref="F30:G30"/>
    <mergeCell ref="H30:I30"/>
    <mergeCell ref="J30:K30"/>
    <mergeCell ref="P30:Q30"/>
    <mergeCell ref="B31:D31"/>
    <mergeCell ref="F31:G31"/>
    <mergeCell ref="H31:I31"/>
    <mergeCell ref="J31:K31"/>
    <mergeCell ref="P31:Q31"/>
    <mergeCell ref="P32:Q32"/>
    <mergeCell ref="B33:Q33"/>
    <mergeCell ref="B34:Q34"/>
    <mergeCell ref="B35:D35"/>
    <mergeCell ref="E35:F35"/>
    <mergeCell ref="I35:J35"/>
    <mergeCell ref="L35:M35"/>
    <mergeCell ref="B36:D36"/>
    <mergeCell ref="E36:F36"/>
    <mergeCell ref="I36:J36"/>
    <mergeCell ref="L36:M36"/>
    <mergeCell ref="B37:D37"/>
    <mergeCell ref="E37:F37"/>
    <mergeCell ref="I37:J37"/>
    <mergeCell ref="L37:M37"/>
    <mergeCell ref="B38:D38"/>
    <mergeCell ref="E38:F38"/>
    <mergeCell ref="I38:J38"/>
    <mergeCell ref="L38:M38"/>
    <mergeCell ref="B39:D39"/>
    <mergeCell ref="E39:F39"/>
    <mergeCell ref="I39:J39"/>
    <mergeCell ref="L39:M39"/>
    <mergeCell ref="B41:Q41"/>
    <mergeCell ref="B42:Q42"/>
    <mergeCell ref="C43:D43"/>
    <mergeCell ref="E43:F43"/>
    <mergeCell ref="H43:I43"/>
    <mergeCell ref="J43:K43"/>
    <mergeCell ref="L43:M43"/>
    <mergeCell ref="N43:O43"/>
    <mergeCell ref="P43:Q43"/>
    <mergeCell ref="C44:D44"/>
    <mergeCell ref="E44:F44"/>
    <mergeCell ref="H44:I44"/>
    <mergeCell ref="J44:K44"/>
    <mergeCell ref="L44:M44"/>
    <mergeCell ref="C45:D45"/>
    <mergeCell ref="E45:F45"/>
    <mergeCell ref="H45:I45"/>
    <mergeCell ref="J45:K45"/>
    <mergeCell ref="L45:M45"/>
    <mergeCell ref="C46:D46"/>
    <mergeCell ref="E46:F46"/>
    <mergeCell ref="H46:I46"/>
    <mergeCell ref="J46:K46"/>
    <mergeCell ref="L46:M46"/>
    <mergeCell ref="C47:D47"/>
    <mergeCell ref="E47:F47"/>
    <mergeCell ref="H47:I47"/>
    <mergeCell ref="J47:K47"/>
    <mergeCell ref="L47:M47"/>
    <mergeCell ref="C48:D48"/>
    <mergeCell ref="E48:F48"/>
    <mergeCell ref="H48:I48"/>
    <mergeCell ref="J48:K48"/>
    <mergeCell ref="L48:M48"/>
    <mergeCell ref="C49:D49"/>
    <mergeCell ref="E49:F49"/>
    <mergeCell ref="H49:I49"/>
    <mergeCell ref="J49:K49"/>
    <mergeCell ref="L49:M49"/>
    <mergeCell ref="H50:I50"/>
    <mergeCell ref="C51:E51"/>
    <mergeCell ref="F51:G51"/>
    <mergeCell ref="H51:I51"/>
    <mergeCell ref="J51:L51"/>
    <mergeCell ref="M51:O51"/>
    <mergeCell ref="B52:Q52"/>
    <mergeCell ref="B9:B10"/>
    <mergeCell ref="B11:B12"/>
    <mergeCell ref="N44:O49"/>
    <mergeCell ref="P44:Q49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A62"/>
  <sheetViews>
    <sheetView workbookViewId="0">
      <selection activeCell="L12" sqref="L12:M12"/>
    </sheetView>
  </sheetViews>
  <sheetFormatPr defaultColWidth="9" defaultRowHeight="12"/>
  <cols>
    <col min="1" max="1" width="9" style="85"/>
    <col min="2" max="17" width="10.625" style="85" customWidth="1"/>
    <col min="18" max="34" width="9" style="86"/>
    <col min="35" max="16384" width="9" style="85"/>
  </cols>
  <sheetData>
    <row r="1" ht="24" customHeight="1" spans="2:17">
      <c r="B1" s="37" t="s">
        <v>91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178"/>
    </row>
    <row r="2" s="85" customFormat="1" ht="22" customHeight="1" spans="2:18">
      <c r="B2" s="287" t="s">
        <v>228</v>
      </c>
      <c r="C2" s="89"/>
      <c r="D2" s="90" t="s">
        <v>38</v>
      </c>
      <c r="E2" s="91" t="s">
        <v>92</v>
      </c>
      <c r="F2" s="89"/>
      <c r="G2" s="89"/>
      <c r="H2" s="89"/>
      <c r="I2" s="153"/>
      <c r="J2" s="153"/>
      <c r="K2" s="153"/>
      <c r="L2" s="153"/>
      <c r="M2" s="153"/>
      <c r="N2" s="153"/>
      <c r="O2" s="153"/>
      <c r="P2" s="89"/>
      <c r="Q2" s="179"/>
      <c r="R2" s="86"/>
    </row>
    <row r="3" s="85" customFormat="1" ht="22" customHeight="1" spans="2:18">
      <c r="B3" s="92" t="s">
        <v>93</v>
      </c>
      <c r="C3" s="93"/>
      <c r="D3" s="93"/>
      <c r="E3" s="93" t="s">
        <v>94</v>
      </c>
      <c r="F3" s="93"/>
      <c r="G3" s="93"/>
      <c r="H3" s="93" t="s">
        <v>95</v>
      </c>
      <c r="I3" s="93"/>
      <c r="J3" s="93" t="s">
        <v>96</v>
      </c>
      <c r="K3" s="93"/>
      <c r="L3" s="93" t="s">
        <v>97</v>
      </c>
      <c r="M3" s="93"/>
      <c r="N3" s="93" t="s">
        <v>98</v>
      </c>
      <c r="O3" s="93"/>
      <c r="P3" s="93"/>
      <c r="Q3" s="180"/>
      <c r="R3" s="86"/>
    </row>
    <row r="4" ht="22" customHeight="1" spans="2:17">
      <c r="B4" s="94" t="s">
        <v>99</v>
      </c>
      <c r="C4" s="95"/>
      <c r="D4" s="95"/>
      <c r="E4" s="95" t="s">
        <v>100</v>
      </c>
      <c r="F4" s="95"/>
      <c r="G4" s="95"/>
      <c r="H4" s="95"/>
      <c r="I4" s="95"/>
      <c r="J4" s="95"/>
      <c r="K4" s="154" t="s">
        <v>101</v>
      </c>
      <c r="L4" s="154"/>
      <c r="M4" s="154"/>
      <c r="N4" s="155" t="s">
        <v>102</v>
      </c>
      <c r="O4" s="156"/>
      <c r="P4" s="157"/>
      <c r="Q4" s="180"/>
    </row>
    <row r="5" ht="22" customHeight="1" spans="2:17">
      <c r="B5" s="94" t="s">
        <v>103</v>
      </c>
      <c r="C5" s="96"/>
      <c r="D5" s="96"/>
      <c r="E5" s="96"/>
      <c r="F5" s="96" t="s">
        <v>104</v>
      </c>
      <c r="G5" s="96"/>
      <c r="H5" s="96"/>
      <c r="I5" s="158" t="s">
        <v>105</v>
      </c>
      <c r="J5" s="158"/>
      <c r="K5" s="155" t="s">
        <v>106</v>
      </c>
      <c r="L5" s="157"/>
      <c r="M5" s="96" t="s">
        <v>107</v>
      </c>
      <c r="N5" s="95"/>
      <c r="O5" s="95"/>
      <c r="P5" s="95"/>
      <c r="Q5" s="181"/>
    </row>
    <row r="6" ht="22" customHeight="1" spans="2:17">
      <c r="B6" s="94" t="s">
        <v>108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182"/>
    </row>
    <row r="7" ht="10" customHeight="1" spans="2:17">
      <c r="B7" s="97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183"/>
    </row>
    <row r="8" ht="18" customHeight="1" spans="2:17">
      <c r="B8" s="99" t="s">
        <v>109</v>
      </c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84"/>
    </row>
    <row r="9" ht="18" customHeight="1" spans="2:17">
      <c r="B9" s="101" t="s">
        <v>110</v>
      </c>
      <c r="C9" s="102" t="s">
        <v>111</v>
      </c>
      <c r="D9" s="102"/>
      <c r="E9" s="102" t="s">
        <v>112</v>
      </c>
      <c r="F9" s="103"/>
      <c r="G9" s="102" t="s">
        <v>113</v>
      </c>
      <c r="H9" s="102"/>
      <c r="I9" s="102"/>
      <c r="J9" s="102"/>
      <c r="K9" s="102"/>
      <c r="L9" s="102" t="s">
        <v>114</v>
      </c>
      <c r="M9" s="102"/>
      <c r="N9" s="102" t="s">
        <v>115</v>
      </c>
      <c r="O9" s="102"/>
      <c r="P9" s="102" t="s">
        <v>116</v>
      </c>
      <c r="Q9" s="185"/>
    </row>
    <row r="10" ht="20" customHeight="1" spans="2:17">
      <c r="B10" s="101"/>
      <c r="C10" s="102" t="s">
        <v>117</v>
      </c>
      <c r="D10" s="102"/>
      <c r="E10" s="288" t="s">
        <v>118</v>
      </c>
      <c r="F10" s="17"/>
      <c r="G10" s="104" t="s">
        <v>119</v>
      </c>
      <c r="H10" s="104"/>
      <c r="I10" s="104"/>
      <c r="J10" s="104"/>
      <c r="K10" s="104"/>
      <c r="L10" s="104" t="s">
        <v>120</v>
      </c>
      <c r="M10" s="104"/>
      <c r="N10" s="104" t="s">
        <v>121</v>
      </c>
      <c r="O10" s="104"/>
      <c r="P10" s="104" t="s">
        <v>122</v>
      </c>
      <c r="Q10" s="186"/>
    </row>
    <row r="11" ht="18" customHeight="1" spans="2:17">
      <c r="B11" s="101" t="s">
        <v>123</v>
      </c>
      <c r="C11" s="102" t="s">
        <v>111</v>
      </c>
      <c r="D11" s="102"/>
      <c r="E11" s="102" t="s">
        <v>112</v>
      </c>
      <c r="F11" s="103"/>
      <c r="G11" s="102" t="s">
        <v>113</v>
      </c>
      <c r="H11" s="102"/>
      <c r="I11" s="102"/>
      <c r="J11" s="102"/>
      <c r="K11" s="102"/>
      <c r="L11" s="102" t="s">
        <v>114</v>
      </c>
      <c r="M11" s="102"/>
      <c r="N11" s="102" t="s">
        <v>115</v>
      </c>
      <c r="O11" s="102"/>
      <c r="P11" s="102" t="s">
        <v>116</v>
      </c>
      <c r="Q11" s="185"/>
    </row>
    <row r="12" ht="20" customHeight="1" spans="2:17">
      <c r="B12" s="101"/>
      <c r="C12" s="102" t="s">
        <v>124</v>
      </c>
      <c r="D12" s="102"/>
      <c r="E12" s="288" t="s">
        <v>125</v>
      </c>
      <c r="F12" s="17"/>
      <c r="G12" s="104" t="s">
        <v>126</v>
      </c>
      <c r="H12" s="104"/>
      <c r="I12" s="104"/>
      <c r="J12" s="104"/>
      <c r="K12" s="104"/>
      <c r="L12" s="104" t="s">
        <v>127</v>
      </c>
      <c r="M12" s="104"/>
      <c r="N12" s="104" t="s">
        <v>128</v>
      </c>
      <c r="O12" s="104"/>
      <c r="P12" s="104" t="s">
        <v>129</v>
      </c>
      <c r="Q12" s="186"/>
    </row>
    <row r="13" ht="10" customHeight="1" spans="2:17">
      <c r="B13" s="105"/>
      <c r="C13" s="102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  <c r="P13" s="104"/>
      <c r="Q13" s="186"/>
    </row>
    <row r="14" ht="20" customHeight="1" spans="2:17">
      <c r="B14" s="106" t="s">
        <v>229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  <c r="O14" s="107"/>
      <c r="P14" s="107"/>
      <c r="Q14" s="187"/>
    </row>
    <row r="15" ht="20" customHeight="1" spans="2:17">
      <c r="B15" s="108" t="s">
        <v>211</v>
      </c>
      <c r="C15" s="109" t="s">
        <v>230</v>
      </c>
      <c r="D15" s="109"/>
      <c r="E15" s="110" t="s">
        <v>212</v>
      </c>
      <c r="F15" s="110"/>
      <c r="G15" s="110"/>
      <c r="H15" s="111" t="s">
        <v>231</v>
      </c>
      <c r="I15" s="111"/>
      <c r="J15" s="111"/>
      <c r="K15" s="111"/>
      <c r="L15" s="111"/>
      <c r="M15" s="111"/>
      <c r="N15" s="111"/>
      <c r="O15" s="111"/>
      <c r="P15" s="111"/>
      <c r="Q15" s="188"/>
    </row>
    <row r="16" ht="17" customHeight="1" spans="2:17">
      <c r="B16" s="20" t="s">
        <v>232</v>
      </c>
      <c r="C16" s="112"/>
      <c r="D16" s="23" t="s">
        <v>233</v>
      </c>
      <c r="E16" s="21"/>
      <c r="F16" s="23" t="s">
        <v>234</v>
      </c>
      <c r="G16" s="21"/>
      <c r="H16" s="23" t="s">
        <v>235</v>
      </c>
      <c r="I16" s="112"/>
      <c r="J16" s="112"/>
      <c r="K16" s="112"/>
      <c r="L16" s="112"/>
      <c r="M16" s="21"/>
      <c r="N16" s="112"/>
      <c r="O16" s="112"/>
      <c r="P16" s="133"/>
      <c r="Q16" s="189"/>
    </row>
    <row r="17" ht="17" customHeight="1" spans="2:17">
      <c r="B17" s="113"/>
      <c r="C17" s="112"/>
      <c r="D17" s="114">
        <v>43762.6325925926</v>
      </c>
      <c r="E17" s="115"/>
      <c r="F17" s="114">
        <v>43762.6325925926</v>
      </c>
      <c r="G17" s="115"/>
      <c r="H17" s="114">
        <v>43762.6325925926</v>
      </c>
      <c r="I17" s="114"/>
      <c r="J17" s="114"/>
      <c r="K17" s="114"/>
      <c r="L17" s="159"/>
      <c r="M17" s="160"/>
      <c r="N17" s="159"/>
      <c r="O17" s="159"/>
      <c r="P17" s="159"/>
      <c r="Q17" s="190"/>
    </row>
    <row r="18" ht="17" customHeight="1" spans="2:17">
      <c r="B18" s="20" t="s">
        <v>236</v>
      </c>
      <c r="C18" s="112"/>
      <c r="D18" s="23" t="s">
        <v>233</v>
      </c>
      <c r="E18" s="21"/>
      <c r="F18" s="23" t="s">
        <v>235</v>
      </c>
      <c r="G18" s="112"/>
      <c r="H18" s="23" t="s">
        <v>237</v>
      </c>
      <c r="I18" s="112"/>
      <c r="J18" s="23" t="s">
        <v>238</v>
      </c>
      <c r="K18" s="21"/>
      <c r="L18" s="23" t="s">
        <v>239</v>
      </c>
      <c r="M18" s="112"/>
      <c r="N18" s="23" t="s">
        <v>240</v>
      </c>
      <c r="O18" s="112"/>
      <c r="P18" s="22" t="s">
        <v>241</v>
      </c>
      <c r="Q18" s="189"/>
    </row>
    <row r="19" ht="17" customHeight="1" spans="2:17">
      <c r="B19" s="113"/>
      <c r="C19" s="112"/>
      <c r="D19" s="114">
        <v>43762.6325925926</v>
      </c>
      <c r="E19" s="115"/>
      <c r="F19" s="114">
        <v>43762.6325925926</v>
      </c>
      <c r="G19" s="115"/>
      <c r="H19" s="114">
        <v>43762.6325925926</v>
      </c>
      <c r="I19" s="114"/>
      <c r="J19" s="114">
        <v>43764.6620833333</v>
      </c>
      <c r="K19" s="114"/>
      <c r="L19" s="159">
        <v>43762.6325925926</v>
      </c>
      <c r="M19" s="160"/>
      <c r="N19" s="159">
        <v>43762.6325925926</v>
      </c>
      <c r="O19" s="160"/>
      <c r="P19" s="159">
        <v>43762.6325925926</v>
      </c>
      <c r="Q19" s="190"/>
    </row>
    <row r="20" ht="17" customHeight="1" spans="2:17">
      <c r="B20" s="20" t="s">
        <v>242</v>
      </c>
      <c r="C20" s="112"/>
      <c r="D20" s="23" t="s">
        <v>237</v>
      </c>
      <c r="E20" s="112"/>
      <c r="F20" s="23" t="s">
        <v>238</v>
      </c>
      <c r="G20" s="21"/>
      <c r="H20" s="23" t="s">
        <v>239</v>
      </c>
      <c r="I20" s="112"/>
      <c r="J20" s="23" t="s">
        <v>240</v>
      </c>
      <c r="K20" s="112"/>
      <c r="L20" s="23" t="s">
        <v>233</v>
      </c>
      <c r="M20" s="112"/>
      <c r="N20" s="23" t="s">
        <v>235</v>
      </c>
      <c r="O20" s="21"/>
      <c r="P20" s="133"/>
      <c r="Q20" s="189"/>
    </row>
    <row r="21" ht="17" customHeight="1" spans="2:17">
      <c r="B21" s="113"/>
      <c r="C21" s="112"/>
      <c r="D21" s="114">
        <v>43762.6325925926</v>
      </c>
      <c r="E21" s="115"/>
      <c r="F21" s="114">
        <v>43762.6325925926</v>
      </c>
      <c r="G21" s="115"/>
      <c r="H21" s="114">
        <v>43762.6325925926</v>
      </c>
      <c r="I21" s="114"/>
      <c r="J21" s="114">
        <v>43762.6325925926</v>
      </c>
      <c r="K21" s="114"/>
      <c r="L21" s="114">
        <v>43764.6620833333</v>
      </c>
      <c r="M21" s="114"/>
      <c r="N21" s="159">
        <v>43762.6325925926</v>
      </c>
      <c r="O21" s="160"/>
      <c r="P21" s="159"/>
      <c r="Q21" s="190"/>
    </row>
    <row r="22" ht="17" customHeight="1" spans="2:17">
      <c r="B22" s="20" t="s">
        <v>243</v>
      </c>
      <c r="C22" s="112"/>
      <c r="D22" s="23" t="s">
        <v>233</v>
      </c>
      <c r="E22" s="21"/>
      <c r="F22" s="23" t="s">
        <v>235</v>
      </c>
      <c r="G22" s="112"/>
      <c r="H22" s="112"/>
      <c r="I22" s="112"/>
      <c r="J22" s="112"/>
      <c r="K22" s="112"/>
      <c r="L22" s="112"/>
      <c r="M22" s="21"/>
      <c r="N22" s="112"/>
      <c r="O22" s="112"/>
      <c r="P22" s="133"/>
      <c r="Q22" s="189"/>
    </row>
    <row r="23" ht="17" customHeight="1" spans="2:17">
      <c r="B23" s="113"/>
      <c r="C23" s="112"/>
      <c r="D23" s="114">
        <v>43762.6325925926</v>
      </c>
      <c r="E23" s="115"/>
      <c r="F23" s="114">
        <v>43762.6325925926</v>
      </c>
      <c r="G23" s="114"/>
      <c r="H23" s="114"/>
      <c r="I23" s="114"/>
      <c r="J23" s="114"/>
      <c r="K23" s="114"/>
      <c r="L23" s="159"/>
      <c r="M23" s="160"/>
      <c r="N23" s="159"/>
      <c r="O23" s="159"/>
      <c r="P23" s="159"/>
      <c r="Q23" s="190"/>
    </row>
    <row r="24" ht="17" customHeight="1" spans="2:17">
      <c r="B24" s="20" t="s">
        <v>244</v>
      </c>
      <c r="C24" s="112"/>
      <c r="D24" s="23" t="s">
        <v>233</v>
      </c>
      <c r="E24" s="21"/>
      <c r="F24" s="23" t="s">
        <v>245</v>
      </c>
      <c r="G24" s="21"/>
      <c r="H24" s="23" t="s">
        <v>235</v>
      </c>
      <c r="I24" s="112"/>
      <c r="J24" s="23" t="s">
        <v>246</v>
      </c>
      <c r="K24" s="112"/>
      <c r="L24" s="112"/>
      <c r="M24" s="21"/>
      <c r="N24" s="112"/>
      <c r="O24" s="112"/>
      <c r="P24" s="133"/>
      <c r="Q24" s="189"/>
    </row>
    <row r="25" ht="17" customHeight="1" spans="2:17">
      <c r="B25" s="113"/>
      <c r="C25" s="112"/>
      <c r="D25" s="114">
        <v>43762.6325925926</v>
      </c>
      <c r="E25" s="115"/>
      <c r="F25" s="114">
        <v>43762.6325925926</v>
      </c>
      <c r="G25" s="115"/>
      <c r="H25" s="114">
        <v>43762.6325925926</v>
      </c>
      <c r="I25" s="114"/>
      <c r="J25" s="114">
        <v>43764.6620833333</v>
      </c>
      <c r="K25" s="114"/>
      <c r="L25" s="159"/>
      <c r="M25" s="160"/>
      <c r="N25" s="159"/>
      <c r="O25" s="159"/>
      <c r="P25" s="159"/>
      <c r="Q25" s="190"/>
    </row>
    <row r="26" ht="20" customHeight="1" spans="2:17">
      <c r="B26" s="108" t="s">
        <v>214</v>
      </c>
      <c r="C26" s="110" t="s">
        <v>247</v>
      </c>
      <c r="D26" s="110"/>
      <c r="E26" s="110" t="s">
        <v>216</v>
      </c>
      <c r="F26" s="110"/>
      <c r="G26" s="110"/>
      <c r="H26" s="111" t="s">
        <v>231</v>
      </c>
      <c r="I26" s="111"/>
      <c r="J26" s="111"/>
      <c r="K26" s="111"/>
      <c r="L26" s="111"/>
      <c r="M26" s="111"/>
      <c r="N26" s="111"/>
      <c r="O26" s="111"/>
      <c r="P26" s="111"/>
      <c r="Q26" s="188"/>
    </row>
    <row r="27" ht="20" customHeight="1" spans="2:17">
      <c r="B27" s="108" t="s">
        <v>217</v>
      </c>
      <c r="C27" s="110" t="s">
        <v>248</v>
      </c>
      <c r="D27" s="110"/>
      <c r="E27" s="110" t="s">
        <v>219</v>
      </c>
      <c r="F27" s="110"/>
      <c r="G27" s="110"/>
      <c r="H27" s="111" t="s">
        <v>249</v>
      </c>
      <c r="I27" s="111"/>
      <c r="J27" s="111"/>
      <c r="K27" s="111"/>
      <c r="L27" s="111"/>
      <c r="M27" s="111"/>
      <c r="N27" s="111"/>
      <c r="O27" s="111"/>
      <c r="P27" s="111"/>
      <c r="Q27" s="188"/>
    </row>
    <row r="28" ht="20" customHeight="1" spans="2:17">
      <c r="B28" s="108" t="s">
        <v>221</v>
      </c>
      <c r="C28" s="110" t="s">
        <v>250</v>
      </c>
      <c r="D28" s="110"/>
      <c r="E28" s="110" t="s">
        <v>223</v>
      </c>
      <c r="F28" s="110"/>
      <c r="G28" s="110"/>
      <c r="H28" s="111" t="s">
        <v>251</v>
      </c>
      <c r="I28" s="111"/>
      <c r="J28" s="111"/>
      <c r="K28" s="111"/>
      <c r="L28" s="111"/>
      <c r="M28" s="111"/>
      <c r="N28" s="111"/>
      <c r="O28" s="111"/>
      <c r="P28" s="111"/>
      <c r="Q28" s="188"/>
    </row>
    <row r="29" ht="10" customHeight="1" spans="2:17"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91"/>
    </row>
    <row r="30" ht="15" customHeight="1" spans="2:17">
      <c r="B30" s="118" t="s">
        <v>131</v>
      </c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92"/>
    </row>
    <row r="31" ht="22" customHeight="1" spans="2:17">
      <c r="B31" s="105" t="s">
        <v>132</v>
      </c>
      <c r="C31" s="102"/>
      <c r="D31" s="102"/>
      <c r="E31" s="102" t="s">
        <v>133</v>
      </c>
      <c r="F31" s="102" t="s">
        <v>134</v>
      </c>
      <c r="G31" s="102"/>
      <c r="H31" s="102" t="s">
        <v>135</v>
      </c>
      <c r="I31" s="102"/>
      <c r="J31" s="102" t="s">
        <v>136</v>
      </c>
      <c r="K31" s="102"/>
      <c r="L31" s="102" t="s">
        <v>137</v>
      </c>
      <c r="M31" s="102" t="s">
        <v>138</v>
      </c>
      <c r="N31" s="6" t="s">
        <v>30</v>
      </c>
      <c r="O31" s="102" t="s">
        <v>139</v>
      </c>
      <c r="P31" s="102" t="s">
        <v>140</v>
      </c>
      <c r="Q31" s="185"/>
    </row>
    <row r="32" ht="20" customHeight="1" spans="2:17">
      <c r="B32" s="16" t="s">
        <v>141</v>
      </c>
      <c r="C32" s="104"/>
      <c r="D32" s="104"/>
      <c r="E32" s="8" t="s">
        <v>142</v>
      </c>
      <c r="F32" s="120">
        <v>43756.8541666667</v>
      </c>
      <c r="G32" s="120"/>
      <c r="H32" s="121" t="s">
        <v>143</v>
      </c>
      <c r="I32" s="121"/>
      <c r="J32" s="104" t="s">
        <v>144</v>
      </c>
      <c r="K32" s="104"/>
      <c r="L32" s="104" t="s">
        <v>145</v>
      </c>
      <c r="M32" s="104">
        <v>1</v>
      </c>
      <c r="N32" s="104">
        <v>1</v>
      </c>
      <c r="O32" s="104">
        <v>60</v>
      </c>
      <c r="P32" s="121" t="s">
        <v>146</v>
      </c>
      <c r="Q32" s="193"/>
    </row>
    <row r="33" ht="20" customHeight="1" spans="2:17">
      <c r="B33" s="16" t="s">
        <v>147</v>
      </c>
      <c r="C33" s="104"/>
      <c r="D33" s="104"/>
      <c r="E33" s="8" t="s">
        <v>148</v>
      </c>
      <c r="F33" s="120">
        <v>43756.8541666667</v>
      </c>
      <c r="G33" s="120"/>
      <c r="H33" s="121" t="s">
        <v>149</v>
      </c>
      <c r="I33" s="121"/>
      <c r="J33" s="104" t="s">
        <v>144</v>
      </c>
      <c r="K33" s="104"/>
      <c r="L33" s="104" t="s">
        <v>145</v>
      </c>
      <c r="M33" s="104">
        <v>1</v>
      </c>
      <c r="N33" s="104">
        <v>1</v>
      </c>
      <c r="O33" s="104">
        <v>50</v>
      </c>
      <c r="P33" s="121"/>
      <c r="Q33" s="193"/>
    </row>
    <row r="34" ht="20" customHeight="1" spans="2:17">
      <c r="B34" s="122" t="s">
        <v>150</v>
      </c>
      <c r="C34" s="104"/>
      <c r="D34" s="104"/>
      <c r="E34" s="104" t="s">
        <v>151</v>
      </c>
      <c r="F34" s="120">
        <v>43756.8541666667</v>
      </c>
      <c r="G34" s="120"/>
      <c r="H34" s="121" t="s">
        <v>152</v>
      </c>
      <c r="I34" s="121"/>
      <c r="J34" s="104" t="s">
        <v>144</v>
      </c>
      <c r="K34" s="104"/>
      <c r="L34" s="104" t="s">
        <v>145</v>
      </c>
      <c r="M34" s="104">
        <v>1</v>
      </c>
      <c r="N34" s="104">
        <v>1</v>
      </c>
      <c r="O34" s="104">
        <v>12</v>
      </c>
      <c r="P34" s="121"/>
      <c r="Q34" s="193"/>
    </row>
    <row r="35" ht="20" customHeight="1" spans="2:17">
      <c r="B35" s="122" t="s">
        <v>153</v>
      </c>
      <c r="C35" s="104"/>
      <c r="D35" s="104"/>
      <c r="E35" s="104" t="s">
        <v>154</v>
      </c>
      <c r="F35" s="120">
        <v>43756.8541666667</v>
      </c>
      <c r="G35" s="120"/>
      <c r="H35" s="121" t="s">
        <v>155</v>
      </c>
      <c r="I35" s="121"/>
      <c r="J35" s="104" t="s">
        <v>144</v>
      </c>
      <c r="K35" s="104"/>
      <c r="L35" s="104" t="s">
        <v>145</v>
      </c>
      <c r="M35" s="104">
        <v>1</v>
      </c>
      <c r="N35" s="104">
        <v>1</v>
      </c>
      <c r="O35" s="104">
        <v>23</v>
      </c>
      <c r="P35" s="121"/>
      <c r="Q35" s="193"/>
    </row>
    <row r="36" ht="20" customHeight="1" spans="2:17">
      <c r="B36" s="122" t="s">
        <v>141</v>
      </c>
      <c r="C36" s="104"/>
      <c r="D36" s="104"/>
      <c r="E36" s="104" t="s">
        <v>151</v>
      </c>
      <c r="F36" s="120">
        <v>43756.8541666667</v>
      </c>
      <c r="G36" s="120"/>
      <c r="H36" s="121" t="s">
        <v>143</v>
      </c>
      <c r="I36" s="121"/>
      <c r="J36" s="104" t="s">
        <v>144</v>
      </c>
      <c r="K36" s="104"/>
      <c r="L36" s="104" t="s">
        <v>145</v>
      </c>
      <c r="M36" s="104">
        <v>1</v>
      </c>
      <c r="N36" s="104">
        <v>1</v>
      </c>
      <c r="O36" s="104">
        <v>60</v>
      </c>
      <c r="P36" s="121"/>
      <c r="Q36" s="193"/>
    </row>
    <row r="37" ht="20" customHeight="1" spans="2:17">
      <c r="B37" s="122" t="s">
        <v>147</v>
      </c>
      <c r="C37" s="104"/>
      <c r="D37" s="104"/>
      <c r="E37" s="104" t="s">
        <v>154</v>
      </c>
      <c r="F37" s="120">
        <v>43756.8541666667</v>
      </c>
      <c r="G37" s="120"/>
      <c r="H37" s="121" t="s">
        <v>149</v>
      </c>
      <c r="I37" s="121"/>
      <c r="J37" s="104" t="s">
        <v>144</v>
      </c>
      <c r="K37" s="104"/>
      <c r="L37" s="104" t="s">
        <v>145</v>
      </c>
      <c r="M37" s="104">
        <v>1</v>
      </c>
      <c r="N37" s="104">
        <v>1</v>
      </c>
      <c r="O37" s="104">
        <v>50</v>
      </c>
      <c r="P37" s="121"/>
      <c r="Q37" s="193"/>
    </row>
    <row r="38" ht="20" customHeight="1" spans="2:17">
      <c r="B38" s="123" t="s">
        <v>156</v>
      </c>
      <c r="C38" s="124"/>
      <c r="D38" s="124"/>
      <c r="E38" s="124" t="s">
        <v>157</v>
      </c>
      <c r="F38" s="125">
        <v>43756.8541666667</v>
      </c>
      <c r="G38" s="125"/>
      <c r="H38" s="126" t="s">
        <v>152</v>
      </c>
      <c r="I38" s="126"/>
      <c r="J38" s="124" t="s">
        <v>158</v>
      </c>
      <c r="K38" s="124"/>
      <c r="L38" s="124" t="s">
        <v>159</v>
      </c>
      <c r="M38" s="124" t="s">
        <v>157</v>
      </c>
      <c r="N38" s="124" t="s">
        <v>157</v>
      </c>
      <c r="O38" s="124" t="s">
        <v>157</v>
      </c>
      <c r="P38" s="121"/>
      <c r="Q38" s="193"/>
    </row>
    <row r="39" ht="20" customHeight="1" spans="2:17">
      <c r="B39" s="123" t="s">
        <v>160</v>
      </c>
      <c r="C39" s="124"/>
      <c r="D39" s="124"/>
      <c r="E39" s="124" t="s">
        <v>157</v>
      </c>
      <c r="F39" s="125">
        <v>43756.8541666667</v>
      </c>
      <c r="G39" s="125"/>
      <c r="H39" s="126" t="s">
        <v>155</v>
      </c>
      <c r="I39" s="126"/>
      <c r="J39" s="124" t="s">
        <v>158</v>
      </c>
      <c r="K39" s="124"/>
      <c r="L39" s="124" t="s">
        <v>159</v>
      </c>
      <c r="M39" s="124" t="s">
        <v>157</v>
      </c>
      <c r="N39" s="124" t="s">
        <v>157</v>
      </c>
      <c r="O39" s="124" t="s">
        <v>157</v>
      </c>
      <c r="P39" s="121"/>
      <c r="Q39" s="193"/>
    </row>
    <row r="40" ht="20" customHeight="1" spans="2:17">
      <c r="B40" s="123" t="s">
        <v>160</v>
      </c>
      <c r="C40" s="124"/>
      <c r="D40" s="124"/>
      <c r="E40" s="124" t="s">
        <v>157</v>
      </c>
      <c r="F40" s="125">
        <v>43756.8541666667</v>
      </c>
      <c r="G40" s="125"/>
      <c r="H40" s="126" t="s">
        <v>155</v>
      </c>
      <c r="I40" s="126"/>
      <c r="J40" s="124" t="s">
        <v>158</v>
      </c>
      <c r="K40" s="124"/>
      <c r="L40" s="124" t="s">
        <v>159</v>
      </c>
      <c r="M40" s="124" t="s">
        <v>157</v>
      </c>
      <c r="N40" s="124" t="s">
        <v>157</v>
      </c>
      <c r="O40" s="124" t="s">
        <v>157</v>
      </c>
      <c r="P40" s="121"/>
      <c r="Q40" s="193"/>
    </row>
    <row r="41" ht="20" customHeight="1" spans="2:17">
      <c r="B41" s="127" t="s">
        <v>161</v>
      </c>
      <c r="C41" s="128"/>
      <c r="D41" s="128"/>
      <c r="E41" s="128" t="s">
        <v>162</v>
      </c>
      <c r="F41" s="128" t="s">
        <v>163</v>
      </c>
      <c r="G41" s="128"/>
      <c r="H41" s="129" t="s">
        <v>164</v>
      </c>
      <c r="I41" s="129"/>
      <c r="J41" s="128" t="s">
        <v>165</v>
      </c>
      <c r="K41" s="128"/>
      <c r="L41" s="128" t="s">
        <v>166</v>
      </c>
      <c r="M41" s="128" t="s">
        <v>162</v>
      </c>
      <c r="N41" s="128" t="s">
        <v>162</v>
      </c>
      <c r="O41" s="128" t="s">
        <v>162</v>
      </c>
      <c r="P41" s="121"/>
      <c r="Q41" s="193"/>
    </row>
    <row r="42" ht="20" customHeight="1" spans="2:17">
      <c r="B42" s="113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>
        <f t="shared" ref="M42:O42" si="0">SUM(M32:M41)</f>
        <v>6</v>
      </c>
      <c r="N42" s="112">
        <f t="shared" si="0"/>
        <v>6</v>
      </c>
      <c r="O42" s="133">
        <f t="shared" si="0"/>
        <v>255</v>
      </c>
      <c r="P42" s="133"/>
      <c r="Q42" s="194"/>
    </row>
    <row r="43" ht="10" customHeight="1" spans="2:17">
      <c r="B43" s="116"/>
      <c r="C43" s="117"/>
      <c r="D43" s="117"/>
      <c r="E43" s="117"/>
      <c r="F43" s="117"/>
      <c r="G43" s="117"/>
      <c r="H43" s="117"/>
      <c r="I43" s="117"/>
      <c r="J43" s="117"/>
      <c r="K43" s="117"/>
      <c r="L43" s="117"/>
      <c r="M43" s="117"/>
      <c r="N43" s="117"/>
      <c r="O43" s="117"/>
      <c r="P43" s="117"/>
      <c r="Q43" s="191"/>
    </row>
    <row r="44" ht="15" customHeight="1" spans="2:17">
      <c r="B44" s="118" t="s">
        <v>167</v>
      </c>
      <c r="C44" s="119"/>
      <c r="D44" s="119"/>
      <c r="E44" s="119"/>
      <c r="F44" s="119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Q44" s="192"/>
    </row>
    <row r="45" ht="22" customHeight="1" spans="2:17">
      <c r="B45" s="130" t="s">
        <v>132</v>
      </c>
      <c r="C45" s="131"/>
      <c r="D45" s="131"/>
      <c r="E45" s="131" t="s">
        <v>168</v>
      </c>
      <c r="F45" s="131"/>
      <c r="G45" s="131" t="s">
        <v>169</v>
      </c>
      <c r="H45" s="15" t="s">
        <v>170</v>
      </c>
      <c r="I45" s="131" t="s">
        <v>135</v>
      </c>
      <c r="J45" s="131"/>
      <c r="K45" s="131" t="s">
        <v>137</v>
      </c>
      <c r="L45" s="131" t="s">
        <v>171</v>
      </c>
      <c r="M45" s="131"/>
      <c r="N45" s="131" t="s">
        <v>172</v>
      </c>
      <c r="O45" s="131" t="s">
        <v>173</v>
      </c>
      <c r="P45" s="131" t="s">
        <v>174</v>
      </c>
      <c r="Q45" s="195" t="s">
        <v>175</v>
      </c>
    </row>
    <row r="46" ht="20" customHeight="1" spans="2:17">
      <c r="B46" s="132" t="s">
        <v>176</v>
      </c>
      <c r="C46" s="133"/>
      <c r="D46" s="133"/>
      <c r="E46" s="285" t="s">
        <v>177</v>
      </c>
      <c r="F46" s="112"/>
      <c r="G46" s="134" t="s">
        <v>178</v>
      </c>
      <c r="H46" s="135" t="s">
        <v>179</v>
      </c>
      <c r="I46" s="133" t="s">
        <v>143</v>
      </c>
      <c r="J46" s="133"/>
      <c r="K46" s="112" t="s">
        <v>145</v>
      </c>
      <c r="L46" s="112" t="s">
        <v>180</v>
      </c>
      <c r="M46" s="112"/>
      <c r="N46" s="112">
        <v>1</v>
      </c>
      <c r="O46" s="112">
        <v>0.0086</v>
      </c>
      <c r="P46" s="112">
        <v>1.43</v>
      </c>
      <c r="Q46" s="196">
        <v>100000</v>
      </c>
    </row>
    <row r="47" ht="20" customHeight="1" spans="2:17">
      <c r="B47" s="113" t="s">
        <v>147</v>
      </c>
      <c r="C47" s="112"/>
      <c r="D47" s="112"/>
      <c r="E47" s="285" t="s">
        <v>181</v>
      </c>
      <c r="F47" s="112"/>
      <c r="G47" s="134" t="s">
        <v>182</v>
      </c>
      <c r="H47" s="135" t="s">
        <v>179</v>
      </c>
      <c r="I47" s="133" t="s">
        <v>149</v>
      </c>
      <c r="J47" s="133"/>
      <c r="K47" s="112" t="s">
        <v>145</v>
      </c>
      <c r="L47" s="112" t="s">
        <v>183</v>
      </c>
      <c r="M47" s="112"/>
      <c r="N47" s="112">
        <v>1</v>
      </c>
      <c r="O47" s="112">
        <v>0.0019</v>
      </c>
      <c r="P47" s="112">
        <v>0.32</v>
      </c>
      <c r="Q47" s="197">
        <v>0.12</v>
      </c>
    </row>
    <row r="48" ht="20" customHeight="1" spans="2:17">
      <c r="B48" s="113" t="s">
        <v>150</v>
      </c>
      <c r="C48" s="112"/>
      <c r="D48" s="112"/>
      <c r="E48" s="285" t="s">
        <v>184</v>
      </c>
      <c r="F48" s="112"/>
      <c r="G48" s="134" t="s">
        <v>185</v>
      </c>
      <c r="H48" s="135" t="s">
        <v>179</v>
      </c>
      <c r="I48" s="133" t="s">
        <v>152</v>
      </c>
      <c r="J48" s="133"/>
      <c r="K48" s="112" t="s">
        <v>145</v>
      </c>
      <c r="L48" s="112" t="s">
        <v>186</v>
      </c>
      <c r="M48" s="112"/>
      <c r="N48" s="112">
        <v>1</v>
      </c>
      <c r="O48" s="112">
        <v>0.0052</v>
      </c>
      <c r="P48" s="112">
        <v>0.87</v>
      </c>
      <c r="Q48" s="197">
        <v>0.7</v>
      </c>
    </row>
    <row r="49" ht="20" customHeight="1" spans="2:17">
      <c r="B49" s="113" t="s">
        <v>153</v>
      </c>
      <c r="C49" s="112"/>
      <c r="D49" s="112"/>
      <c r="E49" s="285" t="s">
        <v>187</v>
      </c>
      <c r="F49" s="112"/>
      <c r="G49" s="134" t="s">
        <v>178</v>
      </c>
      <c r="H49" s="135" t="s">
        <v>179</v>
      </c>
      <c r="I49" s="133" t="s">
        <v>155</v>
      </c>
      <c r="J49" s="133"/>
      <c r="K49" s="161" t="s">
        <v>159</v>
      </c>
      <c r="L49" s="112" t="s">
        <v>188</v>
      </c>
      <c r="M49" s="112"/>
      <c r="N49" s="112">
        <v>1</v>
      </c>
      <c r="O49" s="112">
        <v>0.0245</v>
      </c>
      <c r="P49" s="112">
        <v>4.08</v>
      </c>
      <c r="Q49" s="197">
        <v>3.62</v>
      </c>
    </row>
    <row r="50" ht="20" customHeight="1" spans="2:17">
      <c r="B50" s="136"/>
      <c r="C50" s="137"/>
      <c r="D50" s="137"/>
      <c r="E50" s="137"/>
      <c r="F50" s="137"/>
      <c r="G50" s="138"/>
      <c r="H50" s="138"/>
      <c r="I50" s="138"/>
      <c r="J50" s="138"/>
      <c r="K50" s="138"/>
      <c r="L50" s="138"/>
      <c r="M50" s="138"/>
      <c r="N50" s="138">
        <f>SUM(N46:N49)</f>
        <v>4</v>
      </c>
      <c r="O50" s="162">
        <v>0.057</v>
      </c>
      <c r="P50" s="162">
        <v>16789</v>
      </c>
      <c r="Q50" s="198">
        <f>SUM(Q46:Q49)</f>
        <v>100004.44</v>
      </c>
    </row>
    <row r="51" ht="10" customHeight="1" spans="2:17">
      <c r="B51" s="116"/>
      <c r="C51" s="117"/>
      <c r="D51" s="117"/>
      <c r="E51" s="117"/>
      <c r="F51" s="117"/>
      <c r="G51" s="117"/>
      <c r="H51" s="117"/>
      <c r="I51" s="117"/>
      <c r="J51" s="117"/>
      <c r="K51" s="117"/>
      <c r="L51" s="117"/>
      <c r="M51" s="117"/>
      <c r="N51" s="117"/>
      <c r="O51" s="117"/>
      <c r="P51" s="117"/>
      <c r="Q51" s="191"/>
    </row>
    <row r="52" ht="15" customHeight="1" spans="2:17">
      <c r="B52" s="139" t="s">
        <v>189</v>
      </c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99"/>
    </row>
    <row r="53" ht="20" customHeight="1" spans="2:17">
      <c r="B53" s="141" t="s">
        <v>22</v>
      </c>
      <c r="C53" s="142" t="s">
        <v>190</v>
      </c>
      <c r="D53" s="143"/>
      <c r="E53" s="142" t="s">
        <v>191</v>
      </c>
      <c r="F53" s="143"/>
      <c r="G53" s="142" t="s">
        <v>192</v>
      </c>
      <c r="H53" s="142" t="s">
        <v>193</v>
      </c>
      <c r="I53" s="143"/>
      <c r="J53" s="142"/>
      <c r="K53" s="142"/>
      <c r="L53" s="163" t="s">
        <v>252</v>
      </c>
      <c r="M53" s="164"/>
      <c r="N53" s="165" t="s">
        <v>33</v>
      </c>
      <c r="O53" s="166"/>
      <c r="P53" s="165" t="s">
        <v>225</v>
      </c>
      <c r="Q53" s="200"/>
    </row>
    <row r="54" ht="20" customHeight="1" spans="2:17">
      <c r="B54" s="132">
        <v>1</v>
      </c>
      <c r="C54" s="133" t="s">
        <v>196</v>
      </c>
      <c r="D54" s="133"/>
      <c r="E54" s="144">
        <v>8.6</v>
      </c>
      <c r="F54" s="144"/>
      <c r="G54" s="144">
        <v>1</v>
      </c>
      <c r="H54" s="144">
        <v>8.6</v>
      </c>
      <c r="I54" s="144"/>
      <c r="J54" s="133"/>
      <c r="K54" s="133"/>
      <c r="L54" s="167" t="s">
        <v>253</v>
      </c>
      <c r="M54" s="167"/>
      <c r="N54" s="168" t="s">
        <v>226</v>
      </c>
      <c r="O54" s="169"/>
      <c r="P54" s="170" t="s">
        <v>254</v>
      </c>
      <c r="Q54" s="201"/>
    </row>
    <row r="55" ht="20" customHeight="1" spans="2:17">
      <c r="B55" s="132">
        <v>2</v>
      </c>
      <c r="C55" s="133" t="s">
        <v>197</v>
      </c>
      <c r="D55" s="133"/>
      <c r="E55" s="144">
        <v>7.9</v>
      </c>
      <c r="F55" s="144"/>
      <c r="G55" s="144">
        <v>20</v>
      </c>
      <c r="H55" s="144">
        <v>158</v>
      </c>
      <c r="I55" s="144"/>
      <c r="J55" s="133"/>
      <c r="K55" s="133"/>
      <c r="L55" s="167" t="s">
        <v>253</v>
      </c>
      <c r="M55" s="167"/>
      <c r="N55" s="169"/>
      <c r="O55" s="169"/>
      <c r="P55" s="171"/>
      <c r="Q55" s="201"/>
    </row>
    <row r="56" ht="20" customHeight="1" spans="2:17">
      <c r="B56" s="132">
        <v>3</v>
      </c>
      <c r="C56" s="133" t="s">
        <v>198</v>
      </c>
      <c r="D56" s="133"/>
      <c r="E56" s="144">
        <v>100</v>
      </c>
      <c r="F56" s="144"/>
      <c r="G56" s="144">
        <v>1</v>
      </c>
      <c r="H56" s="144">
        <v>-100</v>
      </c>
      <c r="I56" s="144"/>
      <c r="J56" s="133"/>
      <c r="K56" s="133"/>
      <c r="L56" s="167" t="s">
        <v>253</v>
      </c>
      <c r="M56" s="167"/>
      <c r="N56" s="169"/>
      <c r="O56" s="169"/>
      <c r="P56" s="171"/>
      <c r="Q56" s="201"/>
    </row>
    <row r="57" ht="20" customHeight="1" spans="2:17">
      <c r="B57" s="132">
        <v>4</v>
      </c>
      <c r="C57" s="133" t="s">
        <v>199</v>
      </c>
      <c r="D57" s="133"/>
      <c r="E57" s="144">
        <v>300</v>
      </c>
      <c r="F57" s="144"/>
      <c r="G57" s="144">
        <v>1</v>
      </c>
      <c r="H57" s="144">
        <v>300</v>
      </c>
      <c r="I57" s="144"/>
      <c r="J57" s="133"/>
      <c r="K57" s="133"/>
      <c r="L57" s="167" t="s">
        <v>253</v>
      </c>
      <c r="M57" s="167"/>
      <c r="N57" s="169"/>
      <c r="O57" s="169"/>
      <c r="P57" s="171"/>
      <c r="Q57" s="201"/>
    </row>
    <row r="58" ht="20" customHeight="1" spans="2:17">
      <c r="B58" s="132">
        <v>5</v>
      </c>
      <c r="C58" s="133" t="s">
        <v>200</v>
      </c>
      <c r="D58" s="133"/>
      <c r="E58" s="144">
        <v>39</v>
      </c>
      <c r="F58" s="144"/>
      <c r="G58" s="144">
        <v>1</v>
      </c>
      <c r="H58" s="144">
        <v>39</v>
      </c>
      <c r="I58" s="144"/>
      <c r="J58" s="133"/>
      <c r="K58" s="133"/>
      <c r="L58" s="167" t="s">
        <v>253</v>
      </c>
      <c r="M58" s="167"/>
      <c r="N58" s="169"/>
      <c r="O58" s="169"/>
      <c r="P58" s="171"/>
      <c r="Q58" s="201"/>
    </row>
    <row r="59" ht="20" customHeight="1" spans="2:17">
      <c r="B59" s="132">
        <v>6</v>
      </c>
      <c r="C59" s="133" t="s">
        <v>201</v>
      </c>
      <c r="D59" s="133"/>
      <c r="E59" s="144">
        <v>0</v>
      </c>
      <c r="F59" s="144"/>
      <c r="G59" s="144">
        <v>0</v>
      </c>
      <c r="H59" s="144">
        <v>0</v>
      </c>
      <c r="I59" s="144"/>
      <c r="J59" s="133"/>
      <c r="K59" s="133"/>
      <c r="L59" s="167" t="s">
        <v>253</v>
      </c>
      <c r="M59" s="167"/>
      <c r="N59" s="169"/>
      <c r="O59" s="169"/>
      <c r="P59" s="171"/>
      <c r="Q59" s="201"/>
    </row>
    <row r="60" s="85" customFormat="1" ht="20" customHeight="1" spans="2:18">
      <c r="B60" s="145"/>
      <c r="C60" s="146"/>
      <c r="D60" s="146"/>
      <c r="E60" s="146"/>
      <c r="F60" s="146"/>
      <c r="G60" s="147" t="s">
        <v>202</v>
      </c>
      <c r="H60" s="54">
        <v>405.6</v>
      </c>
      <c r="I60" s="54"/>
      <c r="J60" s="172"/>
      <c r="K60" s="172"/>
      <c r="L60" s="172"/>
      <c r="M60" s="173"/>
      <c r="N60" s="172"/>
      <c r="O60" s="174"/>
      <c r="P60" s="174"/>
      <c r="Q60" s="202"/>
      <c r="R60" s="86"/>
    </row>
    <row r="61" s="85" customFormat="1" ht="20" customHeight="1" spans="2:27">
      <c r="B61" s="145"/>
      <c r="C61" s="148" t="s">
        <v>203</v>
      </c>
      <c r="D61" s="148"/>
      <c r="E61" s="148"/>
      <c r="F61" s="149" t="s">
        <v>204</v>
      </c>
      <c r="G61" s="149"/>
      <c r="H61" s="150">
        <v>41786.4</v>
      </c>
      <c r="I61" s="150"/>
      <c r="J61" s="175"/>
      <c r="K61" s="176"/>
      <c r="L61" s="176"/>
      <c r="M61" s="175"/>
      <c r="N61" s="176"/>
      <c r="O61" s="176"/>
      <c r="P61" s="177" t="s">
        <v>207</v>
      </c>
      <c r="Q61" s="203" t="s">
        <v>208</v>
      </c>
      <c r="R61" s="86"/>
      <c r="S61" s="86"/>
      <c r="T61" s="86"/>
      <c r="U61" s="86"/>
      <c r="V61" s="86"/>
      <c r="W61" s="86"/>
      <c r="X61" s="86"/>
      <c r="Y61" s="86"/>
      <c r="Z61" s="86"/>
      <c r="AA61" s="86"/>
    </row>
    <row r="62" ht="24" customHeight="1" spans="2:17">
      <c r="B62" s="151" t="s">
        <v>209</v>
      </c>
      <c r="C62" s="152"/>
      <c r="D62" s="152"/>
      <c r="E62" s="152"/>
      <c r="F62" s="152"/>
      <c r="G62" s="152"/>
      <c r="H62" s="152"/>
      <c r="I62" s="152"/>
      <c r="J62" s="152"/>
      <c r="K62" s="152"/>
      <c r="L62" s="152"/>
      <c r="M62" s="152"/>
      <c r="N62" s="152"/>
      <c r="O62" s="152"/>
      <c r="P62" s="152"/>
      <c r="Q62" s="204"/>
    </row>
  </sheetData>
  <mergeCells count="257">
    <mergeCell ref="B1:Q1"/>
    <mergeCell ref="B2:C2"/>
    <mergeCell ref="E2:F2"/>
    <mergeCell ref="G2:H2"/>
    <mergeCell ref="P2:Q2"/>
    <mergeCell ref="B3:D3"/>
    <mergeCell ref="E3:G3"/>
    <mergeCell ref="H3:I3"/>
    <mergeCell ref="J3:K3"/>
    <mergeCell ref="L3:M3"/>
    <mergeCell ref="N3:P3"/>
    <mergeCell ref="B4:D4"/>
    <mergeCell ref="E4:J4"/>
    <mergeCell ref="K4:M4"/>
    <mergeCell ref="B5:E5"/>
    <mergeCell ref="F5:H5"/>
    <mergeCell ref="I5:J5"/>
    <mergeCell ref="M5:Q5"/>
    <mergeCell ref="B6:Q6"/>
    <mergeCell ref="B7:Q7"/>
    <mergeCell ref="B8:Q8"/>
    <mergeCell ref="C9:D9"/>
    <mergeCell ref="E9:F9"/>
    <mergeCell ref="G9:K9"/>
    <mergeCell ref="L9:M9"/>
    <mergeCell ref="N9:O9"/>
    <mergeCell ref="P9:Q9"/>
    <mergeCell ref="C10:D10"/>
    <mergeCell ref="E10:F10"/>
    <mergeCell ref="G10:K10"/>
    <mergeCell ref="L10:M10"/>
    <mergeCell ref="N10:O10"/>
    <mergeCell ref="P10:Q10"/>
    <mergeCell ref="C11:D11"/>
    <mergeCell ref="E11:F11"/>
    <mergeCell ref="G11:K11"/>
    <mergeCell ref="L11:M11"/>
    <mergeCell ref="N11:O11"/>
    <mergeCell ref="P11:Q11"/>
    <mergeCell ref="C12:D12"/>
    <mergeCell ref="E12:F12"/>
    <mergeCell ref="G12:K12"/>
    <mergeCell ref="L12:M12"/>
    <mergeCell ref="N12:O12"/>
    <mergeCell ref="P12:Q12"/>
    <mergeCell ref="B14:Q14"/>
    <mergeCell ref="C15:D15"/>
    <mergeCell ref="E15:G15"/>
    <mergeCell ref="H15:Q15"/>
    <mergeCell ref="D16:E16"/>
    <mergeCell ref="F16:G16"/>
    <mergeCell ref="H16:I16"/>
    <mergeCell ref="J16:K16"/>
    <mergeCell ref="L16:M16"/>
    <mergeCell ref="N16:O16"/>
    <mergeCell ref="P16:Q16"/>
    <mergeCell ref="D17:E17"/>
    <mergeCell ref="F17:G17"/>
    <mergeCell ref="H17:I17"/>
    <mergeCell ref="J17:K17"/>
    <mergeCell ref="L17:M17"/>
    <mergeCell ref="N17:O17"/>
    <mergeCell ref="P17:Q17"/>
    <mergeCell ref="D18:E18"/>
    <mergeCell ref="F18:G18"/>
    <mergeCell ref="H18:I18"/>
    <mergeCell ref="J18:K18"/>
    <mergeCell ref="L18:M18"/>
    <mergeCell ref="N18:O18"/>
    <mergeCell ref="P18:Q18"/>
    <mergeCell ref="D19:E19"/>
    <mergeCell ref="F19:G19"/>
    <mergeCell ref="H19:I19"/>
    <mergeCell ref="J19:K19"/>
    <mergeCell ref="L19:M19"/>
    <mergeCell ref="N19:O19"/>
    <mergeCell ref="P19:Q19"/>
    <mergeCell ref="D20:E20"/>
    <mergeCell ref="F20:G20"/>
    <mergeCell ref="H20:I20"/>
    <mergeCell ref="J20:K20"/>
    <mergeCell ref="L20:M20"/>
    <mergeCell ref="N20:O20"/>
    <mergeCell ref="P20:Q20"/>
    <mergeCell ref="D21:E21"/>
    <mergeCell ref="F21:G21"/>
    <mergeCell ref="H21:I21"/>
    <mergeCell ref="J21:K21"/>
    <mergeCell ref="L21:M21"/>
    <mergeCell ref="N21:O21"/>
    <mergeCell ref="P21:Q21"/>
    <mergeCell ref="D22:E22"/>
    <mergeCell ref="F22:G22"/>
    <mergeCell ref="H22:I22"/>
    <mergeCell ref="J22:K22"/>
    <mergeCell ref="L22:M22"/>
    <mergeCell ref="N22:O22"/>
    <mergeCell ref="P22:Q22"/>
    <mergeCell ref="D23:E23"/>
    <mergeCell ref="F23:G23"/>
    <mergeCell ref="H23:I23"/>
    <mergeCell ref="J23:K23"/>
    <mergeCell ref="L23:M23"/>
    <mergeCell ref="N23:O23"/>
    <mergeCell ref="P23:Q23"/>
    <mergeCell ref="D24:E24"/>
    <mergeCell ref="F24:G24"/>
    <mergeCell ref="H24:I24"/>
    <mergeCell ref="J24:K24"/>
    <mergeCell ref="L24:M24"/>
    <mergeCell ref="N24:O24"/>
    <mergeCell ref="P24:Q24"/>
    <mergeCell ref="D25:E25"/>
    <mergeCell ref="F25:G25"/>
    <mergeCell ref="H25:I25"/>
    <mergeCell ref="J25:K25"/>
    <mergeCell ref="L25:M25"/>
    <mergeCell ref="N25:O25"/>
    <mergeCell ref="P25:Q25"/>
    <mergeCell ref="C26:D26"/>
    <mergeCell ref="E26:G26"/>
    <mergeCell ref="H26:Q26"/>
    <mergeCell ref="C27:D27"/>
    <mergeCell ref="E27:G27"/>
    <mergeCell ref="H27:Q27"/>
    <mergeCell ref="C28:D28"/>
    <mergeCell ref="E28:G28"/>
    <mergeCell ref="H28:Q28"/>
    <mergeCell ref="B29:Q29"/>
    <mergeCell ref="B30:Q30"/>
    <mergeCell ref="B31:D31"/>
    <mergeCell ref="F31:G31"/>
    <mergeCell ref="H31:I31"/>
    <mergeCell ref="J31:K31"/>
    <mergeCell ref="P31:Q31"/>
    <mergeCell ref="B32:D32"/>
    <mergeCell ref="F32:G32"/>
    <mergeCell ref="H32:I32"/>
    <mergeCell ref="J32:K32"/>
    <mergeCell ref="P32:Q32"/>
    <mergeCell ref="B33:D33"/>
    <mergeCell ref="F33:G33"/>
    <mergeCell ref="H33:I33"/>
    <mergeCell ref="J33:K33"/>
    <mergeCell ref="P33:Q33"/>
    <mergeCell ref="B34:D34"/>
    <mergeCell ref="F34:G34"/>
    <mergeCell ref="H34:I34"/>
    <mergeCell ref="J34:K34"/>
    <mergeCell ref="P34:Q34"/>
    <mergeCell ref="B35:D35"/>
    <mergeCell ref="F35:G35"/>
    <mergeCell ref="H35:I35"/>
    <mergeCell ref="J35:K35"/>
    <mergeCell ref="P35:Q35"/>
    <mergeCell ref="B36:D36"/>
    <mergeCell ref="F36:G36"/>
    <mergeCell ref="H36:I36"/>
    <mergeCell ref="J36:K36"/>
    <mergeCell ref="P36:Q36"/>
    <mergeCell ref="B37:D37"/>
    <mergeCell ref="F37:G37"/>
    <mergeCell ref="H37:I37"/>
    <mergeCell ref="J37:K37"/>
    <mergeCell ref="P37:Q37"/>
    <mergeCell ref="B38:D38"/>
    <mergeCell ref="F38:G38"/>
    <mergeCell ref="H38:I38"/>
    <mergeCell ref="J38:K38"/>
    <mergeCell ref="P38:Q38"/>
    <mergeCell ref="B39:D39"/>
    <mergeCell ref="F39:G39"/>
    <mergeCell ref="H39:I39"/>
    <mergeCell ref="J39:K39"/>
    <mergeCell ref="P39:Q39"/>
    <mergeCell ref="B40:D40"/>
    <mergeCell ref="F40:G40"/>
    <mergeCell ref="H40:I40"/>
    <mergeCell ref="J40:K40"/>
    <mergeCell ref="P40:Q40"/>
    <mergeCell ref="B41:D41"/>
    <mergeCell ref="F41:G41"/>
    <mergeCell ref="H41:I41"/>
    <mergeCell ref="J41:K41"/>
    <mergeCell ref="P41:Q41"/>
    <mergeCell ref="B42:L42"/>
    <mergeCell ref="P42:Q42"/>
    <mergeCell ref="B43:Q43"/>
    <mergeCell ref="B44:Q44"/>
    <mergeCell ref="B45:D45"/>
    <mergeCell ref="E45:F45"/>
    <mergeCell ref="I45:J45"/>
    <mergeCell ref="L45:M45"/>
    <mergeCell ref="B46:D46"/>
    <mergeCell ref="E46:F46"/>
    <mergeCell ref="I46:J46"/>
    <mergeCell ref="L46:M46"/>
    <mergeCell ref="B47:D47"/>
    <mergeCell ref="E47:F47"/>
    <mergeCell ref="I47:J47"/>
    <mergeCell ref="L47:M47"/>
    <mergeCell ref="B48:D48"/>
    <mergeCell ref="E48:F48"/>
    <mergeCell ref="I48:J48"/>
    <mergeCell ref="L48:M48"/>
    <mergeCell ref="B49:D49"/>
    <mergeCell ref="E49:F49"/>
    <mergeCell ref="I49:J49"/>
    <mergeCell ref="L49:M49"/>
    <mergeCell ref="B51:Q51"/>
    <mergeCell ref="B52:Q52"/>
    <mergeCell ref="C53:D53"/>
    <mergeCell ref="E53:F53"/>
    <mergeCell ref="H53:I53"/>
    <mergeCell ref="L53:M53"/>
    <mergeCell ref="N53:O53"/>
    <mergeCell ref="P53:Q53"/>
    <mergeCell ref="C54:D54"/>
    <mergeCell ref="E54:F54"/>
    <mergeCell ref="H54:I54"/>
    <mergeCell ref="L54:M54"/>
    <mergeCell ref="C55:D55"/>
    <mergeCell ref="E55:F55"/>
    <mergeCell ref="H55:I55"/>
    <mergeCell ref="L55:M55"/>
    <mergeCell ref="C56:D56"/>
    <mergeCell ref="E56:F56"/>
    <mergeCell ref="H56:I56"/>
    <mergeCell ref="L56:M56"/>
    <mergeCell ref="C57:D57"/>
    <mergeCell ref="E57:F57"/>
    <mergeCell ref="H57:I57"/>
    <mergeCell ref="L57:M57"/>
    <mergeCell ref="C58:D58"/>
    <mergeCell ref="E58:F58"/>
    <mergeCell ref="H58:I58"/>
    <mergeCell ref="L58:M58"/>
    <mergeCell ref="C59:D59"/>
    <mergeCell ref="E59:F59"/>
    <mergeCell ref="H59:I59"/>
    <mergeCell ref="L59:M59"/>
    <mergeCell ref="H60:I60"/>
    <mergeCell ref="C61:E61"/>
    <mergeCell ref="F61:G61"/>
    <mergeCell ref="H61:I61"/>
    <mergeCell ref="J61:L61"/>
    <mergeCell ref="M61:O61"/>
    <mergeCell ref="B62:Q62"/>
    <mergeCell ref="B9:B10"/>
    <mergeCell ref="B11:B12"/>
    <mergeCell ref="B16:C17"/>
    <mergeCell ref="B18:C19"/>
    <mergeCell ref="B20:C21"/>
    <mergeCell ref="B22:C23"/>
    <mergeCell ref="B24:C25"/>
    <mergeCell ref="N54:O59"/>
    <mergeCell ref="P54:Q59"/>
  </mergeCells>
  <pageMargins left="1.10208333333333" right="0.393055555555556" top="0" bottom="0" header="0.5" footer="0.5"/>
  <pageSetup paperSize="5" orientation="landscape" horizontalDpi="6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9"/>
  <sheetViews>
    <sheetView workbookViewId="0">
      <selection activeCell="J9" sqref="J9"/>
    </sheetView>
  </sheetViews>
  <sheetFormatPr defaultColWidth="9" defaultRowHeight="13.5" outlineLevelCol="4"/>
  <cols>
    <col min="2" max="5" width="15.625" customWidth="1"/>
    <col min="7" max="29" width="10.625" customWidth="1"/>
  </cols>
  <sheetData>
    <row r="2" ht="25" customHeight="1" spans="2:5">
      <c r="B2" s="2" t="s">
        <v>255</v>
      </c>
      <c r="C2" s="3"/>
      <c r="D2" s="3"/>
      <c r="E2" s="28"/>
    </row>
    <row r="3" ht="30" customHeight="1" spans="2:5">
      <c r="B3" s="75" t="s">
        <v>256</v>
      </c>
      <c r="C3" s="76"/>
      <c r="D3" s="76" t="s">
        <v>257</v>
      </c>
      <c r="E3" s="77"/>
    </row>
    <row r="4" ht="30" customHeight="1" spans="2:5">
      <c r="B4" s="78">
        <v>43484</v>
      </c>
      <c r="C4" s="79"/>
      <c r="D4" s="80" t="s">
        <v>258</v>
      </c>
      <c r="E4" s="81"/>
    </row>
    <row r="5" ht="30" customHeight="1" spans="2:5">
      <c r="B5" s="78">
        <v>43595</v>
      </c>
      <c r="C5" s="79"/>
      <c r="D5" s="79"/>
      <c r="E5" s="81"/>
    </row>
    <row r="6" ht="30" customHeight="1" spans="2:5">
      <c r="B6" s="78">
        <v>43535</v>
      </c>
      <c r="C6" s="79"/>
      <c r="D6" s="79"/>
      <c r="E6" s="81"/>
    </row>
    <row r="7" ht="30" customHeight="1" spans="2:5">
      <c r="B7" s="78" t="s">
        <v>259</v>
      </c>
      <c r="C7" s="82"/>
      <c r="D7" s="83"/>
      <c r="E7" s="84"/>
    </row>
    <row r="8" ht="25" customHeight="1" spans="2:5">
      <c r="B8" s="72" t="s">
        <v>260</v>
      </c>
      <c r="C8" s="73"/>
      <c r="D8" s="73"/>
      <c r="E8" s="74"/>
    </row>
    <row r="9" ht="30" customHeight="1"/>
  </sheetData>
  <mergeCells count="9">
    <mergeCell ref="B2:E2"/>
    <mergeCell ref="B3:C3"/>
    <mergeCell ref="D3:E3"/>
    <mergeCell ref="B4:C4"/>
    <mergeCell ref="B5:C5"/>
    <mergeCell ref="B6:C6"/>
    <mergeCell ref="B7:C7"/>
    <mergeCell ref="B8:E8"/>
    <mergeCell ref="D4:E6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6"/>
  <sheetViews>
    <sheetView workbookViewId="0">
      <selection activeCell="I16" sqref="I16"/>
    </sheetView>
  </sheetViews>
  <sheetFormatPr defaultColWidth="9" defaultRowHeight="13.5" outlineLevelCol="5"/>
  <cols>
    <col min="2" max="6" width="20.625" customWidth="1"/>
  </cols>
  <sheetData>
    <row r="2" customHeight="1"/>
    <row r="3" customHeight="1"/>
    <row r="4" ht="25" customHeight="1" spans="2:6">
      <c r="B4" s="37" t="s">
        <v>261</v>
      </c>
      <c r="C4" s="38"/>
      <c r="D4" s="38"/>
      <c r="E4" s="38"/>
      <c r="F4" s="39"/>
    </row>
    <row r="5" ht="25" customHeight="1" spans="2:6">
      <c r="B5" s="40" t="s">
        <v>68</v>
      </c>
      <c r="C5" s="41" t="s">
        <v>262</v>
      </c>
      <c r="D5" s="42"/>
      <c r="E5" s="43" t="s">
        <v>263</v>
      </c>
      <c r="F5" s="44"/>
    </row>
    <row r="6" ht="1" customHeight="1" spans="2:6">
      <c r="B6" s="45"/>
      <c r="C6" s="46"/>
      <c r="D6" s="47"/>
      <c r="E6" s="48"/>
      <c r="F6" s="49"/>
    </row>
    <row r="7" ht="25" customHeight="1" spans="2:6">
      <c r="B7" s="50" t="s">
        <v>264</v>
      </c>
      <c r="C7" s="51" t="s">
        <v>265</v>
      </c>
      <c r="D7" s="51"/>
      <c r="E7" s="51" t="s">
        <v>266</v>
      </c>
      <c r="F7" s="52" t="s">
        <v>267</v>
      </c>
    </row>
    <row r="8" ht="25" customHeight="1" spans="2:6">
      <c r="B8" s="50"/>
      <c r="C8" s="51"/>
      <c r="D8" s="51"/>
      <c r="E8" s="51" t="s">
        <v>268</v>
      </c>
      <c r="F8" s="52" t="s">
        <v>269</v>
      </c>
    </row>
    <row r="9" customFormat="1" ht="1" customHeight="1" spans="2:6">
      <c r="B9" s="53"/>
      <c r="C9" s="54"/>
      <c r="D9" s="54"/>
      <c r="E9" s="54"/>
      <c r="F9" s="55"/>
    </row>
    <row r="10" s="36" customFormat="1" ht="25" customHeight="1" spans="2:6">
      <c r="B10" s="56" t="s">
        <v>270</v>
      </c>
      <c r="C10" s="57" t="s">
        <v>271</v>
      </c>
      <c r="D10" s="58" t="s">
        <v>272</v>
      </c>
      <c r="E10" s="59">
        <v>70</v>
      </c>
      <c r="F10" s="60">
        <v>10.2</v>
      </c>
    </row>
    <row r="11" s="36" customFormat="1" ht="2" customHeight="1" spans="2:6">
      <c r="B11" s="56"/>
      <c r="C11" s="61"/>
      <c r="D11" s="61"/>
      <c r="E11" s="61"/>
      <c r="F11" s="62"/>
    </row>
    <row r="12" s="36" customFormat="1" ht="25" customHeight="1" spans="2:6">
      <c r="B12" s="56"/>
      <c r="C12" s="57" t="s">
        <v>273</v>
      </c>
      <c r="D12" s="58" t="s">
        <v>274</v>
      </c>
      <c r="E12" s="59">
        <v>65</v>
      </c>
      <c r="F12" s="60">
        <v>9.5</v>
      </c>
    </row>
    <row r="13" s="36" customFormat="1" ht="25" customHeight="1" spans="2:6">
      <c r="B13" s="56"/>
      <c r="C13" s="57"/>
      <c r="D13" s="58" t="s">
        <v>275</v>
      </c>
      <c r="E13" s="59">
        <v>55</v>
      </c>
      <c r="F13" s="60">
        <v>8</v>
      </c>
    </row>
    <row r="14" s="36" customFormat="1" ht="1" customHeight="1" spans="2:6">
      <c r="B14" s="63"/>
      <c r="C14" s="61"/>
      <c r="D14" s="61"/>
      <c r="E14" s="64"/>
      <c r="F14" s="65"/>
    </row>
    <row r="15" s="36" customFormat="1" ht="25" customHeight="1" spans="2:6">
      <c r="B15" s="66" t="s">
        <v>276</v>
      </c>
      <c r="C15" s="67"/>
      <c r="D15" s="67"/>
      <c r="E15" s="67"/>
      <c r="F15" s="68"/>
    </row>
    <row r="16" s="36" customFormat="1" ht="25" customHeight="1" spans="2:6">
      <c r="B16" s="69" t="s">
        <v>277</v>
      </c>
      <c r="C16" s="70"/>
      <c r="D16" s="70"/>
      <c r="E16" s="70"/>
      <c r="F16" s="71"/>
    </row>
    <row r="17" s="36" customFormat="1" ht="25" customHeight="1" spans="2:6">
      <c r="B17" s="69" t="s">
        <v>278</v>
      </c>
      <c r="C17" s="70"/>
      <c r="D17" s="70"/>
      <c r="E17" s="70"/>
      <c r="F17" s="71"/>
    </row>
    <row r="18" s="36" customFormat="1" ht="25" customHeight="1" spans="2:6">
      <c r="B18" s="66" t="s">
        <v>279</v>
      </c>
      <c r="C18" s="67"/>
      <c r="D18" s="67"/>
      <c r="E18" s="67"/>
      <c r="F18" s="68"/>
    </row>
    <row r="19" s="36" customFormat="1" ht="25" customHeight="1" spans="2:6">
      <c r="B19" s="69" t="s">
        <v>280</v>
      </c>
      <c r="C19" s="70"/>
      <c r="D19" s="70"/>
      <c r="E19" s="70"/>
      <c r="F19" s="71"/>
    </row>
    <row r="20" s="36" customFormat="1" ht="51" customHeight="1" spans="2:6">
      <c r="B20" s="66" t="s">
        <v>281</v>
      </c>
      <c r="C20" s="67"/>
      <c r="D20" s="67"/>
      <c r="E20" s="67"/>
      <c r="F20" s="68"/>
    </row>
    <row r="21" s="36" customFormat="1" ht="25" customHeight="1" spans="2:6">
      <c r="B21" s="69" t="s">
        <v>282</v>
      </c>
      <c r="C21" s="70"/>
      <c r="D21" s="70"/>
      <c r="E21" s="70"/>
      <c r="F21" s="71"/>
    </row>
    <row r="22" s="36" customFormat="1" ht="25" customHeight="1" spans="2:6">
      <c r="B22" s="69" t="s">
        <v>283</v>
      </c>
      <c r="C22" s="70"/>
      <c r="D22" s="70"/>
      <c r="E22" s="70"/>
      <c r="F22" s="71"/>
    </row>
    <row r="23" s="36" customFormat="1" ht="25" customHeight="1" spans="2:6">
      <c r="B23" s="69" t="s">
        <v>284</v>
      </c>
      <c r="C23" s="70"/>
      <c r="D23" s="70"/>
      <c r="E23" s="70"/>
      <c r="F23" s="71"/>
    </row>
    <row r="24" s="36" customFormat="1" ht="25" customHeight="1" spans="2:6">
      <c r="B24" s="69" t="s">
        <v>285</v>
      </c>
      <c r="C24" s="70"/>
      <c r="D24" s="70"/>
      <c r="E24" s="70"/>
      <c r="F24" s="71"/>
    </row>
    <row r="25" s="36" customFormat="1" ht="25" customHeight="1" spans="2:6">
      <c r="B25" s="69" t="s">
        <v>286</v>
      </c>
      <c r="C25" s="70"/>
      <c r="D25" s="70"/>
      <c r="E25" s="70"/>
      <c r="F25" s="71"/>
    </row>
    <row r="26" ht="25" customHeight="1" spans="2:6">
      <c r="B26" s="72" t="s">
        <v>260</v>
      </c>
      <c r="C26" s="73"/>
      <c r="D26" s="73"/>
      <c r="E26" s="73"/>
      <c r="F26" s="74"/>
    </row>
  </sheetData>
  <mergeCells count="19">
    <mergeCell ref="B4:F4"/>
    <mergeCell ref="E5:F5"/>
    <mergeCell ref="C11:F11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7:B8"/>
    <mergeCell ref="B10:B13"/>
    <mergeCell ref="C12:C13"/>
    <mergeCell ref="C7:D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8"/>
  <sheetViews>
    <sheetView workbookViewId="0">
      <selection activeCell="L8" sqref="L8"/>
    </sheetView>
  </sheetViews>
  <sheetFormatPr defaultColWidth="9" defaultRowHeight="13.5"/>
  <cols>
    <col min="2" max="2" width="16.25" style="1" customWidth="1"/>
    <col min="3" max="10" width="20.625" style="1" customWidth="1"/>
  </cols>
  <sheetData>
    <row r="1" ht="25" customHeight="1"/>
    <row r="2" ht="25" customHeight="1"/>
    <row r="3" ht="30" customHeight="1" spans="2:10">
      <c r="B3" s="2" t="s">
        <v>20</v>
      </c>
      <c r="C3" s="3"/>
      <c r="D3" s="3"/>
      <c r="E3" s="3"/>
      <c r="F3" s="3"/>
      <c r="G3" s="3"/>
      <c r="H3" s="3"/>
      <c r="I3" s="3"/>
      <c r="J3" s="28"/>
    </row>
    <row r="4" ht="35" customHeight="1" spans="2:10">
      <c r="B4" s="4" t="s">
        <v>287</v>
      </c>
      <c r="C4" s="5" t="s">
        <v>288</v>
      </c>
      <c r="D4" s="5" t="s">
        <v>289</v>
      </c>
      <c r="E4" s="5" t="s">
        <v>290</v>
      </c>
      <c r="F4" s="5"/>
      <c r="G4" s="5"/>
      <c r="H4" s="5" t="s">
        <v>291</v>
      </c>
      <c r="I4" s="5" t="s">
        <v>292</v>
      </c>
      <c r="J4" s="29" t="s">
        <v>293</v>
      </c>
    </row>
    <row r="5" ht="35" customHeight="1" spans="2:10">
      <c r="B5" s="4"/>
      <c r="C5" s="6" t="s">
        <v>124</v>
      </c>
      <c r="D5" s="289" t="s">
        <v>118</v>
      </c>
      <c r="E5" s="8" t="s">
        <v>294</v>
      </c>
      <c r="F5" s="8"/>
      <c r="G5" s="8"/>
      <c r="H5" s="8" t="s">
        <v>295</v>
      </c>
      <c r="I5" s="8" t="s">
        <v>296</v>
      </c>
      <c r="J5" s="30" t="s">
        <v>4</v>
      </c>
    </row>
    <row r="6" ht="1" customHeight="1" spans="2:10">
      <c r="B6" s="9"/>
      <c r="C6" s="10"/>
      <c r="D6" s="11"/>
      <c r="E6" s="11"/>
      <c r="F6" s="11"/>
      <c r="G6" s="11"/>
      <c r="H6" s="11"/>
      <c r="I6" s="11"/>
      <c r="J6" s="31"/>
    </row>
    <row r="7" ht="35" customHeight="1" spans="2:10">
      <c r="B7" s="4" t="s">
        <v>297</v>
      </c>
      <c r="C7" s="5" t="s">
        <v>288</v>
      </c>
      <c r="D7" s="5" t="s">
        <v>289</v>
      </c>
      <c r="E7" s="5" t="s">
        <v>290</v>
      </c>
      <c r="F7" s="5"/>
      <c r="G7" s="5"/>
      <c r="H7" s="5" t="s">
        <v>291</v>
      </c>
      <c r="I7" s="5" t="s">
        <v>292</v>
      </c>
      <c r="J7" s="29" t="s">
        <v>293</v>
      </c>
    </row>
    <row r="8" ht="35" customHeight="1" spans="2:10">
      <c r="B8" s="4"/>
      <c r="C8" s="6" t="s">
        <v>124</v>
      </c>
      <c r="D8" s="8" t="s">
        <v>298</v>
      </c>
      <c r="E8" s="8" t="s">
        <v>299</v>
      </c>
      <c r="F8" s="8"/>
      <c r="G8" s="8"/>
      <c r="H8" s="8" t="s">
        <v>300</v>
      </c>
      <c r="I8" s="8" t="s">
        <v>300</v>
      </c>
      <c r="J8" s="30" t="s">
        <v>300</v>
      </c>
    </row>
    <row r="9" ht="1" customHeight="1" spans="2:10">
      <c r="B9" s="12"/>
      <c r="C9" s="13"/>
      <c r="D9" s="13"/>
      <c r="E9" s="13"/>
      <c r="F9" s="13"/>
      <c r="G9" s="13"/>
      <c r="H9" s="13"/>
      <c r="I9" s="13"/>
      <c r="J9" s="32"/>
    </row>
    <row r="10" ht="30" customHeight="1" spans="2:10">
      <c r="B10" s="14" t="s">
        <v>301</v>
      </c>
      <c r="C10" s="15"/>
      <c r="D10" s="15" t="s">
        <v>302</v>
      </c>
      <c r="E10" s="15" t="s">
        <v>303</v>
      </c>
      <c r="F10" s="15" t="s">
        <v>28</v>
      </c>
      <c r="G10" s="15" t="s">
        <v>304</v>
      </c>
      <c r="H10" s="15" t="s">
        <v>305</v>
      </c>
      <c r="I10" s="15" t="s">
        <v>306</v>
      </c>
      <c r="J10" s="33" t="s">
        <v>307</v>
      </c>
    </row>
    <row r="11" ht="35" customHeight="1" spans="2:10">
      <c r="B11" s="16" t="s">
        <v>308</v>
      </c>
      <c r="C11" s="17" t="s">
        <v>309</v>
      </c>
      <c r="D11" s="18" t="s">
        <v>310</v>
      </c>
      <c r="E11" s="8" t="s">
        <v>300</v>
      </c>
      <c r="F11" s="8" t="s">
        <v>300</v>
      </c>
      <c r="G11" s="19">
        <v>125</v>
      </c>
      <c r="H11" s="8">
        <v>1</v>
      </c>
      <c r="I11" s="19">
        <v>50</v>
      </c>
      <c r="J11" s="30" t="s">
        <v>300</v>
      </c>
    </row>
    <row r="12" ht="35" customHeight="1" spans="2:10">
      <c r="B12" s="16" t="s">
        <v>308</v>
      </c>
      <c r="C12" s="17" t="s">
        <v>309</v>
      </c>
      <c r="D12" s="18" t="s">
        <v>310</v>
      </c>
      <c r="E12" s="8" t="s">
        <v>300</v>
      </c>
      <c r="F12" s="8" t="s">
        <v>300</v>
      </c>
      <c r="G12" s="8" t="s">
        <v>310</v>
      </c>
      <c r="H12" s="8" t="s">
        <v>310</v>
      </c>
      <c r="I12" s="8" t="s">
        <v>310</v>
      </c>
      <c r="J12" s="30" t="s">
        <v>300</v>
      </c>
    </row>
    <row r="13" ht="35" customHeight="1" spans="2:10">
      <c r="B13" s="16" t="s">
        <v>308</v>
      </c>
      <c r="C13" s="17" t="s">
        <v>309</v>
      </c>
      <c r="D13" s="18" t="s">
        <v>310</v>
      </c>
      <c r="E13" s="8" t="s">
        <v>300</v>
      </c>
      <c r="F13" s="8" t="s">
        <v>300</v>
      </c>
      <c r="G13" s="8" t="s">
        <v>310</v>
      </c>
      <c r="H13" s="8" t="s">
        <v>310</v>
      </c>
      <c r="I13" s="8" t="s">
        <v>310</v>
      </c>
      <c r="J13" s="30" t="s">
        <v>300</v>
      </c>
    </row>
    <row r="14" ht="35" customHeight="1" spans="2:10">
      <c r="B14" s="16" t="s">
        <v>308</v>
      </c>
      <c r="C14" s="17" t="s">
        <v>309</v>
      </c>
      <c r="D14" s="18" t="s">
        <v>310</v>
      </c>
      <c r="E14" s="8" t="s">
        <v>300</v>
      </c>
      <c r="F14" s="8" t="s">
        <v>300</v>
      </c>
      <c r="G14" s="8" t="s">
        <v>310</v>
      </c>
      <c r="H14" s="8" t="s">
        <v>310</v>
      </c>
      <c r="I14" s="8" t="s">
        <v>310</v>
      </c>
      <c r="J14" s="30" t="s">
        <v>300</v>
      </c>
    </row>
    <row r="15" ht="35" customHeight="1" spans="2:10">
      <c r="B15" s="16" t="s">
        <v>308</v>
      </c>
      <c r="C15" s="17" t="s">
        <v>309</v>
      </c>
      <c r="D15" s="18" t="s">
        <v>310</v>
      </c>
      <c r="E15" s="8" t="s">
        <v>300</v>
      </c>
      <c r="F15" s="8" t="s">
        <v>300</v>
      </c>
      <c r="G15" s="8" t="s">
        <v>310</v>
      </c>
      <c r="H15" s="8" t="s">
        <v>310</v>
      </c>
      <c r="I15" s="8" t="s">
        <v>310</v>
      </c>
      <c r="J15" s="30" t="s">
        <v>300</v>
      </c>
    </row>
    <row r="16" ht="35" customHeight="1" spans="2:10">
      <c r="B16" s="16" t="s">
        <v>308</v>
      </c>
      <c r="C16" s="17" t="s">
        <v>309</v>
      </c>
      <c r="D16" s="18" t="s">
        <v>310</v>
      </c>
      <c r="E16" s="8" t="s">
        <v>300</v>
      </c>
      <c r="F16" s="8" t="s">
        <v>300</v>
      </c>
      <c r="G16" s="8" t="s">
        <v>310</v>
      </c>
      <c r="H16" s="8" t="s">
        <v>310</v>
      </c>
      <c r="I16" s="8" t="s">
        <v>310</v>
      </c>
      <c r="J16" s="30" t="s">
        <v>300</v>
      </c>
    </row>
    <row r="17" ht="35" customHeight="1" spans="2:10">
      <c r="B17" s="20"/>
      <c r="C17" s="21"/>
      <c r="D17" s="22"/>
      <c r="E17" s="23"/>
      <c r="F17" s="23"/>
      <c r="G17" s="24">
        <v>125</v>
      </c>
      <c r="H17" s="25">
        <v>1</v>
      </c>
      <c r="I17" s="24">
        <v>50</v>
      </c>
      <c r="J17" s="34"/>
    </row>
    <row r="18" ht="30" customHeight="1" spans="2:10">
      <c r="B18" s="26" t="s">
        <v>311</v>
      </c>
      <c r="C18" s="27"/>
      <c r="D18" s="27"/>
      <c r="E18" s="27"/>
      <c r="F18" s="27"/>
      <c r="G18" s="27"/>
      <c r="H18" s="27"/>
      <c r="I18" s="27"/>
      <c r="J18" s="35"/>
    </row>
  </sheetData>
  <mergeCells count="10">
    <mergeCell ref="B3:J3"/>
    <mergeCell ref="E4:G4"/>
    <mergeCell ref="E5:G5"/>
    <mergeCell ref="E7:G7"/>
    <mergeCell ref="E8:G8"/>
    <mergeCell ref="B9:J9"/>
    <mergeCell ref="B10:C10"/>
    <mergeCell ref="B18:J18"/>
    <mergeCell ref="B4:B5"/>
    <mergeCell ref="B7:B8"/>
  </mergeCells>
  <pageMargins left="1.10208333333333" right="0.393055555555556" top="0" bottom="0" header="0.5" footer="0.5"/>
  <pageSetup paperSize="5" orientation="landscape" horizontalDpi="6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1">
    <comment s:ref="G6" rgbClr="76C618"/>
    <comment s:ref="M7" rgbClr="39CA84"/>
  </commentList>
  <commentList sheetStid="4">
    <comment s:ref="C6" rgbClr="39CA84"/>
    <comment s:ref="D6" rgbClr="39CA84"/>
    <comment s:ref="G6" rgbClr="76C618"/>
    <comment s:ref="L7" rgbClr="39CA84"/>
  </commentList>
  <commentList sheetStid="5">
    <comment s:ref="B4" rgbClr="4F9D9C"/>
    <comment s:ref="P18" rgbClr="4F9D9C"/>
    <comment s:ref="E21" rgbClr="4F9D9C"/>
  </commentList>
  <commentList sheetStid="6">
    <comment s:ref="B4" rgbClr="BEC3DC"/>
    <comment s:ref="P22" rgbClr="BEC3DC"/>
    <comment s:ref="E25" rgbClr="BEC3DC"/>
  </commentList>
  <commentList sheetStid="7">
    <comment s:ref="B4" rgbClr="BEC3DC"/>
    <comment s:ref="P32" rgbClr="BEC3DC"/>
    <comment s:ref="E35" rgbClr="BEC3DC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列表</vt:lpstr>
      <vt:lpstr>展列表开</vt:lpstr>
      <vt:lpstr>订单详情</vt:lpstr>
      <vt:lpstr>订单详情-展开</vt:lpstr>
      <vt:lpstr>订单详情-展开-子状态</vt:lpstr>
      <vt:lpstr>价格-日期</vt:lpstr>
      <vt:lpstr>价格显示</vt:lpstr>
      <vt:lpstr>创建订单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2019-10-25T16:12:00Z</dcterms:created>
  <dcterms:modified xsi:type="dcterms:W3CDTF">2022-06-27T10:09:15Z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FEC582990951467CA75E78C7851704A4</vt:lpwstr>
  </property>
</Properties>
</file>