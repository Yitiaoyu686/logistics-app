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正常" sheetId="3" r:id="rId1"/>
    <sheet name="展开状态" sheetId="1" r:id="rId2"/>
    <sheet name="展开子状态" sheetId="2" r:id="rId3"/>
  </sheets>
  <calcPr calcId="144525"/>
</workbook>
</file>

<file path=xl/comments1.xml><?xml version="1.0" encoding="utf-8"?>
<comments xmlns="http://schemas.openxmlformats.org/spreadsheetml/2006/main">
  <authors>
    <author>SamPao</author>
  </authors>
  <commentList>
    <comment ref="B4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点击用户名称可以显示最近发运的5个订单，点击订单号可查询详情</t>
        </r>
      </text>
    </comment>
    <comment ref="P18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只显示18字符，超过时移至这里浮显，前端备注可以选择录入也可以手动录入</t>
        </r>
      </text>
    </comment>
    <comment ref="E21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鼠标移至此处显示删除原因</t>
        </r>
      </text>
    </comment>
  </commentList>
</comments>
</file>

<file path=xl/comments2.xml><?xml version="1.0" encoding="utf-8"?>
<comments xmlns="http://schemas.openxmlformats.org/spreadsheetml/2006/main">
  <authors>
    <author>SamPao</author>
  </authors>
  <commentList>
    <comment ref="B4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点击用户名称可以显示最近发运的5个订单，点击订单号可查询详情</t>
        </r>
      </text>
    </comment>
    <comment ref="P22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只显示18字符，超过时移至这里浮显，前端备注可以选择录入也可以手动录入</t>
        </r>
      </text>
    </comment>
    <comment ref="E25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鼠标移至此处显示删除原因</t>
        </r>
      </text>
    </comment>
  </commentList>
</comments>
</file>

<file path=xl/comments3.xml><?xml version="1.0" encoding="utf-8"?>
<comments xmlns="http://schemas.openxmlformats.org/spreadsheetml/2006/main">
  <authors>
    <author>SamPao</author>
  </authors>
  <commentList>
    <comment ref="B4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点击用户名称可以显示最近发运的5个订单，点击订单号可查询详情</t>
        </r>
      </text>
    </comment>
    <comment ref="P32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只显示18字符，超过时移至这里浮显，前端备注可以选择录入也可以手动录入</t>
        </r>
      </text>
    </comment>
    <comment ref="E35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鼠标移至此处显示删除原因</t>
        </r>
      </text>
    </comment>
  </commentList>
</comments>
</file>

<file path=xl/sharedStrings.xml><?xml version="1.0" encoding="utf-8"?>
<sst xmlns="http://schemas.openxmlformats.org/spreadsheetml/2006/main" count="637" uniqueCount="158">
  <si>
    <t>订单详情</t>
  </si>
  <si>
    <t>2341234567890 001</t>
  </si>
  <si>
    <t>特快</t>
  </si>
  <si>
    <r>
      <rPr>
        <b/>
        <sz val="11"/>
        <color theme="1"/>
        <rFont val="宋体"/>
        <charset val="134"/>
      </rPr>
      <t>业务员</t>
    </r>
    <r>
      <rPr>
        <b/>
        <sz val="11"/>
        <color theme="1"/>
        <rFont val="Arial"/>
        <charset val="134"/>
      </rPr>
      <t>:SAMPAO</t>
    </r>
  </si>
  <si>
    <t>JOB123456</t>
  </si>
  <si>
    <r>
      <rPr>
        <sz val="9"/>
        <color theme="1"/>
        <rFont val="Microsoft JhengHei"/>
        <charset val="134"/>
      </rPr>
      <t>下单日期</t>
    </r>
    <r>
      <rPr>
        <sz val="9"/>
        <color theme="1"/>
        <rFont val="Arial"/>
        <charset val="134"/>
      </rPr>
      <t>2019/8/28 15:01:22</t>
    </r>
  </si>
  <si>
    <r>
      <rPr>
        <sz val="9"/>
        <color theme="1"/>
        <rFont val="Microsoft JhengHei"/>
        <charset val="134"/>
      </rPr>
      <t>支付方式</t>
    </r>
    <r>
      <rPr>
        <sz val="9"/>
        <color theme="1"/>
        <rFont val="Arial"/>
        <charset val="134"/>
      </rPr>
      <t>:</t>
    </r>
    <r>
      <rPr>
        <sz val="9"/>
        <color theme="1"/>
        <rFont val="Microsoft JhengHei"/>
        <charset val="134"/>
      </rPr>
      <t>到付</t>
    </r>
  </si>
  <si>
    <r>
      <rPr>
        <sz val="9"/>
        <color theme="1"/>
        <rFont val="Microsoft JhengHei"/>
        <charset val="134"/>
      </rPr>
      <t>支付状态</t>
    </r>
    <r>
      <rPr>
        <sz val="9"/>
        <color theme="1"/>
        <rFont val="Arial"/>
        <charset val="134"/>
      </rPr>
      <t>:</t>
    </r>
    <r>
      <rPr>
        <sz val="9"/>
        <color theme="1"/>
        <rFont val="Microsoft JhengHei"/>
        <charset val="134"/>
      </rPr>
      <t>未付</t>
    </r>
  </si>
  <si>
    <r>
      <rPr>
        <sz val="9"/>
        <color theme="1"/>
        <rFont val="Microsoft JhengHei"/>
        <charset val="134"/>
      </rPr>
      <t>支付途径</t>
    </r>
    <r>
      <rPr>
        <sz val="9"/>
        <color theme="1"/>
        <rFont val="Arial"/>
        <charset val="134"/>
      </rPr>
      <t>:</t>
    </r>
    <r>
      <rPr>
        <sz val="9"/>
        <color theme="1"/>
        <rFont val="Microsoft JhengHei"/>
        <charset val="134"/>
      </rPr>
      <t>微信</t>
    </r>
  </si>
  <si>
    <r>
      <rPr>
        <sz val="9"/>
        <color theme="1"/>
        <rFont val="宋体"/>
        <charset val="134"/>
      </rPr>
      <t>支付日期：</t>
    </r>
    <r>
      <rPr>
        <sz val="9"/>
        <color theme="1"/>
        <rFont val="Arial"/>
        <charset val="134"/>
      </rPr>
      <t>019/10/18 20:30:00</t>
    </r>
  </si>
  <si>
    <r>
      <rPr>
        <sz val="9"/>
        <color theme="1"/>
        <rFont val="Microsoft JhengHei"/>
        <charset val="134"/>
      </rPr>
      <t>用户</t>
    </r>
    <r>
      <rPr>
        <sz val="9"/>
        <color theme="1"/>
        <rFont val="Arial"/>
        <charset val="134"/>
      </rPr>
      <t>:JohnnyAmy</t>
    </r>
  </si>
  <si>
    <r>
      <rPr>
        <sz val="9"/>
        <color theme="1"/>
        <rFont val="Microsoft JhengHei"/>
        <charset val="134"/>
      </rPr>
      <t>公司</t>
    </r>
    <r>
      <rPr>
        <sz val="9"/>
        <color theme="1"/>
        <rFont val="Arial"/>
        <charset val="134"/>
      </rPr>
      <t xml:space="preserve"> :Guangzhou Mailmail International Fowarding CO.,LTD</t>
    </r>
  </si>
  <si>
    <r>
      <rPr>
        <sz val="9"/>
        <color theme="1"/>
        <rFont val="Microsoft JhengHei"/>
        <charset val="134"/>
      </rPr>
      <t>邮箱</t>
    </r>
    <r>
      <rPr>
        <sz val="9"/>
        <color theme="1"/>
        <rFont val="Arial"/>
        <charset val="134"/>
      </rPr>
      <t>:Sampao@mailmailexp.com</t>
    </r>
  </si>
  <si>
    <r>
      <rPr>
        <sz val="9"/>
        <color theme="1"/>
        <rFont val="宋体"/>
        <charset val="134"/>
      </rPr>
      <t>电话：</t>
    </r>
    <r>
      <rPr>
        <sz val="9"/>
        <color theme="1"/>
        <rFont val="Arial"/>
        <charset val="134"/>
      </rPr>
      <t>+86 13570217212</t>
    </r>
  </si>
  <si>
    <t>发票信息：广州喵喵国际货运代理有限公司广州分公司</t>
  </si>
  <si>
    <r>
      <rPr>
        <sz val="9"/>
        <color theme="1"/>
        <rFont val="Microsoft JhengHei"/>
        <charset val="134"/>
      </rPr>
      <t>信用代码</t>
    </r>
    <r>
      <rPr>
        <sz val="9"/>
        <color theme="1"/>
        <rFont val="Arial"/>
        <charset val="134"/>
      </rPr>
      <t>:91440101MA59OXOJLW</t>
    </r>
  </si>
  <si>
    <t>联系人：李先生</t>
  </si>
  <si>
    <r>
      <rPr>
        <sz val="9"/>
        <color theme="1"/>
        <rFont val="宋体"/>
        <charset val="134"/>
      </rPr>
      <t>电话</t>
    </r>
    <r>
      <rPr>
        <sz val="9"/>
        <color theme="1"/>
        <rFont val="Arial"/>
        <charset val="134"/>
      </rPr>
      <t>+86 13570217212</t>
    </r>
  </si>
  <si>
    <r>
      <rPr>
        <sz val="9"/>
        <color theme="1"/>
        <rFont val="Microsoft JhengHei"/>
        <charset val="134"/>
      </rPr>
      <t>地址</t>
    </r>
    <r>
      <rPr>
        <sz val="9"/>
        <color theme="1"/>
        <rFont val="Arial"/>
        <charset val="134"/>
      </rPr>
      <t>:</t>
    </r>
    <r>
      <rPr>
        <sz val="9"/>
        <color theme="1"/>
        <rFont val="Microsoft JhengHei"/>
        <charset val="134"/>
      </rPr>
      <t>广东省广州市白云区黄石路江夏北二路</t>
    </r>
    <r>
      <rPr>
        <sz val="9"/>
        <color theme="1"/>
        <rFont val="Arial"/>
        <charset val="134"/>
      </rPr>
      <t>3</t>
    </r>
    <r>
      <rPr>
        <sz val="9"/>
        <color theme="1"/>
        <rFont val="Microsoft JhengHei"/>
        <charset val="134"/>
      </rPr>
      <t>号云商易城</t>
    </r>
    <r>
      <rPr>
        <sz val="9"/>
        <color theme="1"/>
        <rFont val="Arial"/>
        <charset val="134"/>
      </rPr>
      <t>B</t>
    </r>
    <r>
      <rPr>
        <sz val="9"/>
        <color theme="1"/>
        <rFont val="Microsoft JhengHei"/>
        <charset val="134"/>
      </rPr>
      <t>栋</t>
    </r>
    <r>
      <rPr>
        <sz val="9"/>
        <color theme="1"/>
        <rFont val="Arial"/>
        <charset val="134"/>
      </rPr>
      <t>110</t>
    </r>
  </si>
  <si>
    <t>开户行及账号：中国工商银行股份有限公司广州市同福中路支行 3602 0011 0920 1040 290</t>
  </si>
  <si>
    <t>CAN.CHN→LOS.NGN</t>
  </si>
  <si>
    <r>
      <rPr>
        <b/>
        <sz val="9"/>
        <color theme="1"/>
        <rFont val="Microsoft JhengHei"/>
        <charset val="134"/>
      </rPr>
      <t>发货人</t>
    </r>
  </si>
  <si>
    <r>
      <rPr>
        <b/>
        <sz val="9"/>
        <color theme="1"/>
        <rFont val="Microsoft JhengHei"/>
        <charset val="134"/>
      </rPr>
      <t>名字</t>
    </r>
  </si>
  <si>
    <r>
      <rPr>
        <b/>
        <sz val="9"/>
        <color theme="1"/>
        <rFont val="Microsoft JhengHei"/>
        <charset val="134"/>
      </rPr>
      <t>电话</t>
    </r>
  </si>
  <si>
    <r>
      <rPr>
        <b/>
        <sz val="9"/>
        <color theme="1"/>
        <rFont val="Microsoft JhengHei"/>
        <charset val="134"/>
      </rPr>
      <t>详细地址</t>
    </r>
  </si>
  <si>
    <r>
      <rPr>
        <b/>
        <sz val="9"/>
        <color theme="1"/>
        <rFont val="Microsoft JhengHei"/>
        <charset val="134"/>
      </rPr>
      <t>区</t>
    </r>
  </si>
  <si>
    <r>
      <rPr>
        <b/>
        <sz val="9"/>
        <color theme="1"/>
        <rFont val="Microsoft JhengHei"/>
        <charset val="134"/>
      </rPr>
      <t>城市</t>
    </r>
  </si>
  <si>
    <r>
      <rPr>
        <b/>
        <sz val="9"/>
        <color theme="1"/>
        <rFont val="Microsoft JhengHei"/>
        <charset val="134"/>
      </rPr>
      <t>国家</t>
    </r>
  </si>
  <si>
    <t>AkinGbolahan</t>
  </si>
  <si>
    <t>+233 0508319735</t>
  </si>
  <si>
    <r>
      <rPr>
        <sz val="9"/>
        <color theme="1"/>
        <rFont val="Microsoft JhengHei"/>
        <charset val="134"/>
      </rPr>
      <t>黄石路江夏北二路</t>
    </r>
    <r>
      <rPr>
        <sz val="9"/>
        <color theme="1"/>
        <rFont val="Arial"/>
        <charset val="134"/>
      </rPr>
      <t>3</t>
    </r>
    <r>
      <rPr>
        <sz val="9"/>
        <color theme="1"/>
        <rFont val="Microsoft JhengHei"/>
        <charset val="134"/>
      </rPr>
      <t>号云商易城</t>
    </r>
    <r>
      <rPr>
        <sz val="9"/>
        <color theme="1"/>
        <rFont val="Arial"/>
        <charset val="134"/>
      </rPr>
      <t>B</t>
    </r>
    <r>
      <rPr>
        <sz val="9"/>
        <color theme="1"/>
        <rFont val="Microsoft JhengHei"/>
        <charset val="134"/>
      </rPr>
      <t>栋</t>
    </r>
    <r>
      <rPr>
        <sz val="9"/>
        <color theme="1"/>
        <rFont val="Arial"/>
        <charset val="134"/>
      </rPr>
      <t>110</t>
    </r>
  </si>
  <si>
    <t>Baiyun</t>
  </si>
  <si>
    <t>CAN</t>
  </si>
  <si>
    <t>CHN</t>
  </si>
  <si>
    <r>
      <rPr>
        <b/>
        <sz val="9"/>
        <color theme="1"/>
        <rFont val="Microsoft JhengHei"/>
        <charset val="134"/>
      </rPr>
      <t>收货人</t>
    </r>
    <r>
      <rPr>
        <b/>
        <sz val="9"/>
        <color rgb="FFFF0000"/>
        <rFont val="Arial"/>
        <charset val="134"/>
      </rPr>
      <t>@</t>
    </r>
  </si>
  <si>
    <t>SAMPAO</t>
  </si>
  <si>
    <t>+233 501234567</t>
  </si>
  <si>
    <t>5 Mojidi Street (by Eco Bank) Off Toyin Street</t>
  </si>
  <si>
    <t>LUDO</t>
  </si>
  <si>
    <t>ACC</t>
  </si>
  <si>
    <t>GHA</t>
  </si>
  <si>
    <t>展开状态栏</t>
  </si>
  <si>
    <r>
      <rPr>
        <b/>
        <sz val="9"/>
        <color theme="1"/>
        <rFont val="Microsoft JhengHei"/>
        <charset val="134"/>
      </rPr>
      <t>订单初始信息</t>
    </r>
  </si>
  <si>
    <r>
      <rPr>
        <b/>
        <sz val="9"/>
        <color theme="1"/>
        <rFont val="Microsoft JhengHei"/>
        <charset val="134"/>
      </rPr>
      <t>第三方运单</t>
    </r>
  </si>
  <si>
    <r>
      <rPr>
        <b/>
        <sz val="9"/>
        <color theme="1"/>
        <rFont val="Microsoft JhengHei"/>
        <charset val="134"/>
      </rPr>
      <t>状态</t>
    </r>
  </si>
  <si>
    <r>
      <rPr>
        <b/>
        <sz val="9"/>
        <color theme="1"/>
        <rFont val="Microsoft JhengHei"/>
        <charset val="134"/>
      </rPr>
      <t>更新日期</t>
    </r>
  </si>
  <si>
    <r>
      <rPr>
        <b/>
        <sz val="9"/>
        <color theme="1"/>
        <rFont val="Microsoft JhengHei"/>
        <charset val="134"/>
      </rPr>
      <t>品名</t>
    </r>
  </si>
  <si>
    <r>
      <rPr>
        <b/>
        <sz val="9"/>
        <color theme="1"/>
        <rFont val="Microsoft JhengHei"/>
        <charset val="134"/>
      </rPr>
      <t>类别</t>
    </r>
  </si>
  <si>
    <r>
      <rPr>
        <b/>
        <sz val="9"/>
        <color theme="1"/>
        <rFont val="Microsoft JhengHei"/>
        <charset val="134"/>
      </rPr>
      <t>说明</t>
    </r>
  </si>
  <si>
    <r>
      <rPr>
        <b/>
        <sz val="9"/>
        <color theme="1"/>
        <rFont val="Microsoft JhengHei"/>
        <charset val="134"/>
      </rPr>
      <t>重量</t>
    </r>
    <r>
      <rPr>
        <b/>
        <sz val="9"/>
        <color theme="1"/>
        <rFont val="Arial"/>
        <charset val="134"/>
      </rPr>
      <t>Kg</t>
    </r>
  </si>
  <si>
    <t>件数</t>
  </si>
  <si>
    <r>
      <rPr>
        <b/>
        <sz val="9"/>
        <color theme="1"/>
        <rFont val="Microsoft JhengHei"/>
        <charset val="134"/>
      </rPr>
      <t>货值</t>
    </r>
    <r>
      <rPr>
        <b/>
        <sz val="9"/>
        <color theme="1"/>
        <rFont val="Arial"/>
        <charset val="134"/>
      </rPr>
      <t>USD</t>
    </r>
  </si>
  <si>
    <r>
      <rPr>
        <b/>
        <sz val="9"/>
        <color theme="1"/>
        <rFont val="Microsoft JhengHei"/>
        <charset val="134"/>
      </rPr>
      <t>备注</t>
    </r>
  </si>
  <si>
    <r>
      <rPr>
        <sz val="9"/>
        <color theme="1"/>
        <rFont val="Microsoft JhengHei"/>
        <charset val="134"/>
      </rPr>
      <t>顺丰速运</t>
    </r>
    <r>
      <rPr>
        <sz val="9"/>
        <color theme="1"/>
        <rFont val="Arial"/>
        <charset val="134"/>
      </rPr>
      <t xml:space="preserve">  SF1012605193752</t>
    </r>
  </si>
  <si>
    <t>未签收</t>
  </si>
  <si>
    <t>Seat cushion</t>
  </si>
  <si>
    <r>
      <rPr>
        <sz val="9"/>
        <color theme="1"/>
        <rFont val="Microsoft JhengHei"/>
        <charset val="134"/>
      </rPr>
      <t>日用百货</t>
    </r>
  </si>
  <si>
    <r>
      <rPr>
        <sz val="9"/>
        <color theme="1"/>
        <rFont val="Microsoft JhengHei"/>
        <charset val="134"/>
      </rPr>
      <t>普货</t>
    </r>
  </si>
  <si>
    <r>
      <rPr>
        <sz val="9"/>
        <color theme="1"/>
        <rFont val="宋体"/>
        <charset val="134"/>
      </rPr>
      <t>我们一起去吃饭好不好啊</t>
    </r>
  </si>
  <si>
    <r>
      <rPr>
        <sz val="9"/>
        <color theme="1"/>
        <rFont val="Microsoft JhengHei"/>
        <charset val="134"/>
      </rPr>
      <t>韵达快递</t>
    </r>
    <r>
      <rPr>
        <sz val="9"/>
        <color theme="1"/>
        <rFont val="Arial"/>
        <charset val="134"/>
      </rPr>
      <t xml:space="preserve">  4301568788544</t>
    </r>
  </si>
  <si>
    <t>已签收</t>
  </si>
  <si>
    <t>maching parts</t>
  </si>
  <si>
    <r>
      <rPr>
        <sz val="9"/>
        <color theme="1"/>
        <rFont val="Microsoft JhengHei"/>
        <charset val="134"/>
      </rPr>
      <t>圆通速递</t>
    </r>
    <r>
      <rPr>
        <sz val="9"/>
        <color theme="1"/>
        <rFont val="Arial"/>
        <charset val="134"/>
      </rPr>
      <t xml:space="preserve">  YT4144353928655</t>
    </r>
  </si>
  <si>
    <r>
      <rPr>
        <sz val="9"/>
        <color theme="1"/>
        <rFont val="Microsoft JhengHei"/>
        <charset val="134"/>
      </rPr>
      <t>已入库</t>
    </r>
  </si>
  <si>
    <t>clothes</t>
  </si>
  <si>
    <r>
      <rPr>
        <sz val="9"/>
        <color theme="1"/>
        <rFont val="Microsoft JhengHei"/>
        <charset val="134"/>
      </rPr>
      <t>顺丰速运</t>
    </r>
    <r>
      <rPr>
        <sz val="9"/>
        <color theme="1"/>
        <rFont val="Arial"/>
        <charset val="134"/>
      </rPr>
      <t xml:space="preserve">  163262639592</t>
    </r>
  </si>
  <si>
    <r>
      <rPr>
        <sz val="9"/>
        <color theme="1"/>
        <rFont val="Microsoft JhengHei"/>
        <charset val="134"/>
      </rPr>
      <t>已删除</t>
    </r>
  </si>
  <si>
    <t>huoguolu</t>
  </si>
  <si>
    <r>
      <rPr>
        <sz val="9"/>
        <color rgb="FFFF0000"/>
        <rFont val="Microsoft JhengHei"/>
        <charset val="134"/>
      </rPr>
      <t>圆通速递</t>
    </r>
    <r>
      <rPr>
        <sz val="9"/>
        <color rgb="FFFF0000"/>
        <rFont val="Arial"/>
        <charset val="134"/>
      </rPr>
      <t xml:space="preserve">  YT4144353928655</t>
    </r>
  </si>
  <si>
    <r>
      <rPr>
        <sz val="9"/>
        <color rgb="FFFF0000"/>
        <rFont val="Microsoft JhengHei"/>
        <charset val="134"/>
      </rPr>
      <t>已删除</t>
    </r>
  </si>
  <si>
    <r>
      <rPr>
        <sz val="9"/>
        <color rgb="FFFF0000"/>
        <rFont val="Microsoft JhengHei"/>
        <charset val="134"/>
      </rPr>
      <t>日用百货</t>
    </r>
  </si>
  <si>
    <r>
      <rPr>
        <sz val="9"/>
        <color rgb="FFFF0000"/>
        <rFont val="Microsoft JhengHei"/>
        <charset val="134"/>
      </rPr>
      <t>普货</t>
    </r>
  </si>
  <si>
    <r>
      <rPr>
        <sz val="9"/>
        <color rgb="FFFF0000"/>
        <rFont val="Microsoft JhengHei"/>
        <charset val="134"/>
      </rPr>
      <t>顺丰速运</t>
    </r>
    <r>
      <rPr>
        <sz val="9"/>
        <color rgb="FFFF0000"/>
        <rFont val="Arial"/>
        <charset val="134"/>
      </rPr>
      <t xml:space="preserve">  163262639592</t>
    </r>
  </si>
  <si>
    <r>
      <rPr>
        <sz val="9"/>
        <color theme="9" tint="-0.25"/>
        <rFont val="Microsoft JhengHei"/>
        <charset val="134"/>
      </rPr>
      <t>韵达快递</t>
    </r>
    <r>
      <rPr>
        <sz val="9"/>
        <color theme="9" tint="-0.25"/>
        <rFont val="Arial"/>
        <charset val="134"/>
      </rPr>
      <t xml:space="preserve">  4301576169763</t>
    </r>
  </si>
  <si>
    <r>
      <rPr>
        <sz val="9"/>
        <color theme="9" tint="-0.25"/>
        <rFont val="Microsoft JhengHei"/>
        <charset val="134"/>
      </rPr>
      <t>已删除</t>
    </r>
  </si>
  <si>
    <t>Unkonw</t>
  </si>
  <si>
    <t>cylinder cover</t>
  </si>
  <si>
    <r>
      <rPr>
        <sz val="9"/>
        <color theme="9" tint="-0.25"/>
        <rFont val="Microsoft JhengHei"/>
        <charset val="134"/>
      </rPr>
      <t>日用百货</t>
    </r>
  </si>
  <si>
    <r>
      <rPr>
        <sz val="9"/>
        <color theme="9" tint="-0.25"/>
        <rFont val="Microsoft JhengHei"/>
        <charset val="134"/>
      </rPr>
      <t>普货</t>
    </r>
  </si>
  <si>
    <r>
      <rPr>
        <b/>
        <sz val="9"/>
        <color theme="1"/>
        <rFont val="Microsoft JhengHei"/>
        <charset val="134"/>
      </rPr>
      <t>订单实际信息</t>
    </r>
  </si>
  <si>
    <r>
      <rPr>
        <b/>
        <sz val="9"/>
        <color theme="1"/>
        <rFont val="Microsoft JhengHei"/>
        <charset val="134"/>
      </rPr>
      <t>订单号</t>
    </r>
  </si>
  <si>
    <r>
      <rPr>
        <b/>
        <sz val="9"/>
        <color theme="1"/>
        <rFont val="Microsoft JhengHei"/>
        <charset val="134"/>
      </rPr>
      <t>集装号</t>
    </r>
  </si>
  <si>
    <t>状态</t>
  </si>
  <si>
    <r>
      <rPr>
        <b/>
        <sz val="9"/>
        <color theme="1"/>
        <rFont val="Microsoft JhengHei"/>
        <charset val="134"/>
      </rPr>
      <t>尺寸</t>
    </r>
    <r>
      <rPr>
        <b/>
        <sz val="9"/>
        <color theme="1"/>
        <rFont val="Arial"/>
        <charset val="134"/>
      </rPr>
      <t>cm</t>
    </r>
  </si>
  <si>
    <r>
      <rPr>
        <b/>
        <sz val="9"/>
        <color theme="1"/>
        <rFont val="Microsoft JhengHei"/>
        <charset val="134"/>
      </rPr>
      <t>件数</t>
    </r>
  </si>
  <si>
    <r>
      <rPr>
        <b/>
        <sz val="9"/>
        <color theme="1"/>
        <rFont val="Microsoft JhengHei"/>
        <charset val="134"/>
      </rPr>
      <t>体积</t>
    </r>
    <r>
      <rPr>
        <b/>
        <sz val="9"/>
        <color theme="1"/>
        <rFont val="Arial"/>
        <charset val="134"/>
      </rPr>
      <t>CBM</t>
    </r>
  </si>
  <si>
    <r>
      <rPr>
        <b/>
        <sz val="9"/>
        <color theme="1"/>
        <rFont val="Microsoft JhengHei"/>
        <charset val="134"/>
      </rPr>
      <t>体积重</t>
    </r>
    <r>
      <rPr>
        <b/>
        <sz val="9"/>
        <color theme="1"/>
        <rFont val="Arial"/>
        <charset val="134"/>
      </rPr>
      <t>Kg</t>
    </r>
  </si>
  <si>
    <r>
      <rPr>
        <b/>
        <sz val="9"/>
        <color theme="1"/>
        <rFont val="Microsoft JhengHei"/>
        <charset val="134"/>
      </rPr>
      <t>毛重</t>
    </r>
    <r>
      <rPr>
        <b/>
        <sz val="9"/>
        <color theme="1"/>
        <rFont val="Arial"/>
        <charset val="134"/>
      </rPr>
      <t>Kg</t>
    </r>
  </si>
  <si>
    <t>顺丰速运  SF1012605193752</t>
  </si>
  <si>
    <t>190910000021</t>
  </si>
  <si>
    <t>AK1</t>
  </si>
  <si>
    <t>已集装</t>
  </si>
  <si>
    <t>24.5*20*17.5</t>
  </si>
  <si>
    <t>190910000021-1</t>
  </si>
  <si>
    <t>AK2</t>
  </si>
  <si>
    <t>18*11.5*9</t>
  </si>
  <si>
    <t>190910000021-2</t>
  </si>
  <si>
    <t>AK5</t>
  </si>
  <si>
    <t>29*18*10</t>
  </si>
  <si>
    <t>190910000021-3</t>
  </si>
  <si>
    <t>40*36*17</t>
  </si>
  <si>
    <t>应收明细</t>
  </si>
  <si>
    <t>序号</t>
  </si>
  <si>
    <t>项目</t>
  </si>
  <si>
    <r>
      <rPr>
        <b/>
        <sz val="9"/>
        <color theme="1"/>
        <rFont val="宋体"/>
        <charset val="134"/>
      </rPr>
      <t>单价</t>
    </r>
    <r>
      <rPr>
        <b/>
        <sz val="9"/>
        <color theme="1"/>
        <rFont val="Arial"/>
        <charset val="134"/>
      </rPr>
      <t>USD</t>
    </r>
  </si>
  <si>
    <t>数量</t>
  </si>
  <si>
    <r>
      <rPr>
        <b/>
        <sz val="9"/>
        <color theme="1"/>
        <rFont val="宋体"/>
        <charset val="134"/>
      </rPr>
      <t>小计</t>
    </r>
    <r>
      <rPr>
        <b/>
        <sz val="9"/>
        <color theme="1"/>
        <rFont val="Arial"/>
        <charset val="134"/>
      </rPr>
      <t>USD</t>
    </r>
  </si>
  <si>
    <t>录入账号</t>
  </si>
  <si>
    <t>录入日期</t>
  </si>
  <si>
    <t>支付方式</t>
  </si>
  <si>
    <t>支付状态</t>
  </si>
  <si>
    <r>
      <rPr>
        <sz val="9"/>
        <color theme="1"/>
        <rFont val="宋体"/>
        <charset val="134"/>
      </rPr>
      <t>首重</t>
    </r>
  </si>
  <si>
    <t>预付</t>
  </si>
  <si>
    <t>已付</t>
  </si>
  <si>
    <r>
      <rPr>
        <sz val="9"/>
        <color theme="1"/>
        <rFont val="宋体"/>
        <charset val="134"/>
      </rPr>
      <t>续重</t>
    </r>
  </si>
  <si>
    <r>
      <rPr>
        <sz val="9"/>
        <color theme="1"/>
        <rFont val="宋体"/>
        <charset val="134"/>
      </rPr>
      <t>扣减运费</t>
    </r>
  </si>
  <si>
    <r>
      <rPr>
        <sz val="9"/>
        <color theme="1"/>
        <rFont val="宋体"/>
        <charset val="134"/>
      </rPr>
      <t>进口报关费</t>
    </r>
  </si>
  <si>
    <r>
      <rPr>
        <sz val="9"/>
        <color theme="1"/>
        <rFont val="宋体"/>
        <charset val="134"/>
      </rPr>
      <t>到门费用</t>
    </r>
  </si>
  <si>
    <r>
      <rPr>
        <sz val="9"/>
        <color theme="1"/>
        <rFont val="宋体"/>
        <charset val="134"/>
      </rPr>
      <t>折扣</t>
    </r>
  </si>
  <si>
    <r>
      <rPr>
        <b/>
        <sz val="10"/>
        <color rgb="FFFF0000"/>
        <rFont val="宋体"/>
        <charset val="134"/>
      </rPr>
      <t>合计</t>
    </r>
    <r>
      <rPr>
        <b/>
        <sz val="10"/>
        <color rgb="FFFF0000"/>
        <rFont val="Arial"/>
        <charset val="134"/>
      </rPr>
      <t>USD</t>
    </r>
  </si>
  <si>
    <r>
      <rPr>
        <b/>
        <sz val="10"/>
        <color rgb="FF0070C0"/>
        <rFont val="宋体"/>
        <charset val="134"/>
      </rPr>
      <t>汇率</t>
    </r>
    <r>
      <rPr>
        <b/>
        <sz val="10"/>
        <color rgb="FF0070C0"/>
        <rFont val="Arial"/>
        <charset val="134"/>
      </rPr>
      <t>:</t>
    </r>
    <r>
      <rPr>
        <b/>
        <sz val="10"/>
        <color rgb="FF0070C0"/>
        <rFont val="宋体"/>
        <charset val="134"/>
      </rPr>
      <t>USD1.00=NGN535.00</t>
    </r>
  </si>
  <si>
    <r>
      <rPr>
        <b/>
        <sz val="10"/>
        <color rgb="FFFF0000"/>
        <rFont val="宋体"/>
        <charset val="134"/>
      </rPr>
      <t>折合当地货币</t>
    </r>
    <r>
      <rPr>
        <b/>
        <sz val="10"/>
        <color rgb="FFFF0000"/>
        <rFont val="Arial"/>
        <charset val="134"/>
      </rPr>
      <t>NGN</t>
    </r>
  </si>
  <si>
    <r>
      <rPr>
        <sz val="9"/>
        <color rgb="FF0070C0"/>
        <rFont val="宋体"/>
        <charset val="134"/>
      </rPr>
      <t>支付途径：公账工（</t>
    </r>
    <r>
      <rPr>
        <sz val="9"/>
        <color rgb="FF0070C0"/>
        <rFont val="Arial"/>
        <charset val="134"/>
      </rPr>
      <t>7228</t>
    </r>
    <r>
      <rPr>
        <sz val="9"/>
        <color rgb="FF0070C0"/>
        <rFont val="宋体"/>
        <charset val="134"/>
      </rPr>
      <t>）</t>
    </r>
  </si>
  <si>
    <t>支付日期：019/10/18 20:30:00</t>
  </si>
  <si>
    <t>应收比例</t>
  </si>
  <si>
    <t>运价列表</t>
  </si>
  <si>
    <t>导出账单</t>
  </si>
  <si>
    <r>
      <rPr>
        <b/>
        <sz val="9"/>
        <color theme="0"/>
        <rFont val="宋体"/>
        <charset val="134"/>
      </rPr>
      <t>返回</t>
    </r>
    <r>
      <rPr>
        <b/>
        <sz val="9"/>
        <color theme="0"/>
        <rFont val="Arial"/>
        <charset val="134"/>
      </rPr>
      <t xml:space="preserve"> </t>
    </r>
    <r>
      <rPr>
        <b/>
        <sz val="9"/>
        <color theme="0"/>
        <rFont val="宋体"/>
        <charset val="134"/>
      </rPr>
      <t>打印面单</t>
    </r>
  </si>
  <si>
    <r>
      <rPr>
        <b/>
        <sz val="9"/>
        <color rgb="FF0070C0"/>
        <rFont val="宋体"/>
        <charset val="134"/>
      </rPr>
      <t>收起状态栏</t>
    </r>
  </si>
  <si>
    <r>
      <rPr>
        <sz val="9"/>
        <color theme="1"/>
        <rFont val="宋体"/>
        <charset val="134"/>
      </rPr>
      <t>顺丰速运</t>
    </r>
    <r>
      <rPr>
        <sz val="9"/>
        <color theme="1"/>
        <rFont val="Arial"/>
        <charset val="134"/>
      </rPr>
      <t xml:space="preserve">  SF1012605193752</t>
    </r>
  </si>
  <si>
    <r>
      <rPr>
        <sz val="9"/>
        <color theme="1"/>
        <rFont val="Arial"/>
        <charset val="134"/>
      </rPr>
      <t xml:space="preserve">CAN-HKG-ADD-LOS    ET     071-12345678    AK2    </t>
    </r>
    <r>
      <rPr>
        <sz val="9"/>
        <color theme="1"/>
        <rFont val="宋体"/>
        <charset val="134"/>
      </rPr>
      <t>已完成</t>
    </r>
    <r>
      <rPr>
        <sz val="9"/>
        <color theme="1"/>
        <rFont val="Arial"/>
        <charset val="134"/>
      </rPr>
      <t xml:space="preserve">    2019/10/18 20:30:01     </t>
    </r>
    <r>
      <rPr>
        <sz val="9"/>
        <color rgb="FF0070C0"/>
        <rFont val="宋体"/>
        <charset val="134"/>
      </rPr>
      <t>展开</t>
    </r>
  </si>
  <si>
    <t>190910000021 001</t>
  </si>
  <si>
    <r>
      <rPr>
        <sz val="9"/>
        <color theme="1"/>
        <rFont val="宋体"/>
        <charset val="134"/>
      </rPr>
      <t>韵达快递</t>
    </r>
    <r>
      <rPr>
        <sz val="9"/>
        <color theme="1"/>
        <rFont val="Arial"/>
        <charset val="134"/>
      </rPr>
      <t xml:space="preserve">  4301568788544</t>
    </r>
  </si>
  <si>
    <t>190910000021 002</t>
  </si>
  <si>
    <r>
      <rPr>
        <sz val="9"/>
        <color theme="1"/>
        <rFont val="宋体"/>
        <charset val="134"/>
      </rPr>
      <t>圆通速递</t>
    </r>
    <r>
      <rPr>
        <sz val="9"/>
        <color theme="1"/>
        <rFont val="Arial"/>
        <charset val="134"/>
      </rPr>
      <t xml:space="preserve">  YT4144353928655</t>
    </r>
  </si>
  <si>
    <r>
      <rPr>
        <sz val="9"/>
        <color theme="1"/>
        <rFont val="Arial"/>
        <charset val="134"/>
      </rPr>
      <t xml:space="preserve">CAN-HKG-ADD-LOS    ET     071-12345678    AK5    </t>
    </r>
    <r>
      <rPr>
        <sz val="9"/>
        <color theme="1"/>
        <rFont val="宋体"/>
        <charset val="134"/>
      </rPr>
      <t>已完成</t>
    </r>
    <r>
      <rPr>
        <sz val="9"/>
        <color theme="1"/>
        <rFont val="Arial"/>
        <charset val="134"/>
      </rPr>
      <t xml:space="preserve">    2019/10/18 20:30:02    </t>
    </r>
    <r>
      <rPr>
        <sz val="9"/>
        <color rgb="FF0070C0"/>
        <rFont val="Arial"/>
        <charset val="134"/>
      </rPr>
      <t xml:space="preserve"> </t>
    </r>
    <r>
      <rPr>
        <sz val="9"/>
        <color rgb="FF0070C0"/>
        <rFont val="宋体"/>
        <charset val="134"/>
      </rPr>
      <t>展开</t>
    </r>
  </si>
  <si>
    <t>190910000021 003</t>
  </si>
  <si>
    <r>
      <rPr>
        <sz val="9"/>
        <color theme="1"/>
        <rFont val="宋体"/>
        <charset val="134"/>
      </rPr>
      <t>顺丰速运</t>
    </r>
    <r>
      <rPr>
        <sz val="9"/>
        <color theme="1"/>
        <rFont val="Arial"/>
        <charset val="134"/>
      </rPr>
      <t xml:space="preserve">  163262639592</t>
    </r>
  </si>
  <si>
    <r>
      <rPr>
        <sz val="9"/>
        <color theme="1"/>
        <rFont val="Arial"/>
        <charset val="134"/>
      </rPr>
      <t xml:space="preserve">CAN-HKG-ADD-LOS    ET     071-12345678    AK1    </t>
    </r>
    <r>
      <rPr>
        <sz val="9"/>
        <color theme="1"/>
        <rFont val="宋体"/>
        <charset val="134"/>
      </rPr>
      <t>已完成</t>
    </r>
    <r>
      <rPr>
        <sz val="9"/>
        <color theme="1"/>
        <rFont val="Arial"/>
        <charset val="134"/>
      </rPr>
      <t xml:space="preserve">    2019/10/18 20:30:03     </t>
    </r>
    <r>
      <rPr>
        <sz val="9"/>
        <color rgb="FF0070C0"/>
        <rFont val="宋体"/>
        <charset val="134"/>
      </rPr>
      <t>展开</t>
    </r>
  </si>
  <si>
    <r>
      <rPr>
        <b/>
        <sz val="10"/>
        <color rgb="FFFF0000"/>
        <rFont val="宋体"/>
        <charset val="134"/>
      </rPr>
      <t>汇率</t>
    </r>
    <r>
      <rPr>
        <b/>
        <sz val="10"/>
        <color rgb="FFFF0000"/>
        <rFont val="Arial"/>
        <charset val="134"/>
      </rPr>
      <t>:</t>
    </r>
    <r>
      <rPr>
        <b/>
        <sz val="10"/>
        <color rgb="FFFF0000"/>
        <rFont val="宋体"/>
        <charset val="134"/>
      </rPr>
      <t>USD1.00=NGN535.00</t>
    </r>
  </si>
  <si>
    <t>收起状态栏</t>
  </si>
  <si>
    <r>
      <rPr>
        <sz val="9"/>
        <color theme="1"/>
        <rFont val="Arial"/>
        <charset val="134"/>
      </rPr>
      <t xml:space="preserve">CAN-HKG-ADD-LOS    ET     071-12345678    AK2    </t>
    </r>
    <r>
      <rPr>
        <sz val="9"/>
        <color theme="1"/>
        <rFont val="宋体"/>
        <charset val="134"/>
      </rPr>
      <t>已完成</t>
    </r>
    <r>
      <rPr>
        <sz val="9"/>
        <color theme="1"/>
        <rFont val="Arial"/>
        <charset val="134"/>
      </rPr>
      <t xml:space="preserve">    2019/10/18 20:30:01     </t>
    </r>
    <r>
      <rPr>
        <sz val="9"/>
        <color rgb="FF0070C0"/>
        <rFont val="宋体"/>
        <charset val="134"/>
      </rPr>
      <t>收起</t>
    </r>
  </si>
  <si>
    <r>
      <rPr>
        <sz val="9"/>
        <color theme="1"/>
        <rFont val="Microsoft JhengHei"/>
        <charset val="134"/>
      </rPr>
      <t>站点</t>
    </r>
    <r>
      <rPr>
        <sz val="9"/>
        <color theme="1"/>
        <rFont val="Arial"/>
        <charset val="134"/>
      </rPr>
      <t>1</t>
    </r>
  </si>
  <si>
    <t>入库</t>
  </si>
  <si>
    <t>集装</t>
  </si>
  <si>
    <t>离库</t>
  </si>
  <si>
    <r>
      <rPr>
        <sz val="9"/>
        <color theme="1"/>
        <rFont val="Microsoft JhengHei"/>
        <charset val="134"/>
      </rPr>
      <t>白云区站点</t>
    </r>
    <r>
      <rPr>
        <sz val="9"/>
        <color theme="1"/>
        <rFont val="Arial"/>
        <charset val="134"/>
      </rPr>
      <t xml:space="preserve">                                 </t>
    </r>
    <r>
      <rPr>
        <sz val="9"/>
        <color theme="1"/>
        <rFont val="Microsoft JhengHei"/>
        <charset val="134"/>
      </rPr>
      <t>（广州总调度中心）</t>
    </r>
  </si>
  <si>
    <t>到达机场</t>
  </si>
  <si>
    <t>报关</t>
  </si>
  <si>
    <t>查验</t>
  </si>
  <si>
    <t>放行</t>
  </si>
  <si>
    <t>离境</t>
  </si>
  <si>
    <r>
      <rPr>
        <sz val="9"/>
        <color theme="1"/>
        <rFont val="Microsoft JhengHei"/>
        <charset val="134"/>
      </rPr>
      <t>伊科贾站点</t>
    </r>
    <r>
      <rPr>
        <sz val="9"/>
        <color theme="1"/>
        <rFont val="Arial"/>
        <charset val="134"/>
      </rPr>
      <t xml:space="preserve">                              </t>
    </r>
    <r>
      <rPr>
        <sz val="9"/>
        <color theme="1"/>
        <rFont val="Microsoft JhengHei"/>
        <charset val="134"/>
      </rPr>
      <t>（拉各斯总调度中心）</t>
    </r>
  </si>
  <si>
    <r>
      <rPr>
        <sz val="9"/>
        <color theme="1"/>
        <rFont val="Microsoft JhengHei"/>
        <charset val="134"/>
      </rPr>
      <t>甲毕站点</t>
    </r>
    <r>
      <rPr>
        <sz val="9"/>
        <color theme="1"/>
        <rFont val="Arial"/>
        <charset val="134"/>
      </rPr>
      <t xml:space="preserve">                                   </t>
    </r>
    <r>
      <rPr>
        <sz val="9"/>
        <color theme="1"/>
        <rFont val="Microsoft JhengHei"/>
        <charset val="134"/>
      </rPr>
      <t>（阿布贾调度中心）</t>
    </r>
  </si>
  <si>
    <r>
      <rPr>
        <sz val="9"/>
        <color theme="1"/>
        <rFont val="Microsoft JhengHei"/>
        <charset val="134"/>
      </rPr>
      <t>站点</t>
    </r>
    <r>
      <rPr>
        <sz val="9"/>
        <color theme="1"/>
        <rFont val="Arial"/>
        <charset val="134"/>
      </rPr>
      <t>4</t>
    </r>
  </si>
  <si>
    <t>通知</t>
  </si>
  <si>
    <t>已完成</t>
  </si>
  <si>
    <r>
      <rPr>
        <sz val="9"/>
        <color theme="1"/>
        <rFont val="Arial"/>
        <charset val="134"/>
      </rPr>
      <t xml:space="preserve">CAN-HKG-ADD-LOS    ET     071-12345678    AK5    </t>
    </r>
    <r>
      <rPr>
        <sz val="9"/>
        <color theme="1"/>
        <rFont val="宋体"/>
        <charset val="134"/>
      </rPr>
      <t>已完成</t>
    </r>
    <r>
      <rPr>
        <sz val="9"/>
        <color theme="1"/>
        <rFont val="Arial"/>
        <charset val="134"/>
      </rPr>
      <t xml:space="preserve">    2019/10/18 20:30:02     </t>
    </r>
    <r>
      <rPr>
        <sz val="9"/>
        <color rgb="FF0070C0"/>
        <rFont val="宋体"/>
        <charset val="134"/>
      </rPr>
      <t>展开</t>
    </r>
  </si>
</sst>
</file>

<file path=xl/styles.xml><?xml version="1.0" encoding="utf-8"?>
<styleSheet xmlns="http://schemas.openxmlformats.org/spreadsheetml/2006/main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  <numFmt numFmtId="178" formatCode="#,##0.00_ "/>
  </numFmts>
  <fonts count="55">
    <font>
      <sz val="11"/>
      <color theme="1"/>
      <name val="宋体"/>
      <charset val="134"/>
      <scheme val="minor"/>
    </font>
    <font>
      <sz val="9"/>
      <color theme="1"/>
      <name val="Arial"/>
      <charset val="134"/>
    </font>
    <font>
      <b/>
      <sz val="14"/>
      <color theme="0"/>
      <name val="Microsoft JhengHei"/>
      <charset val="134"/>
    </font>
    <font>
      <b/>
      <sz val="14"/>
      <color theme="0"/>
      <name val="Arial"/>
      <charset val="134"/>
    </font>
    <font>
      <b/>
      <sz val="11"/>
      <color theme="1"/>
      <name val="Arial"/>
      <charset val="134"/>
    </font>
    <font>
      <b/>
      <sz val="11"/>
      <color rgb="FFFF0000"/>
      <name val="宋体"/>
      <charset val="134"/>
    </font>
    <font>
      <b/>
      <sz val="11"/>
      <color theme="1"/>
      <name val="宋体"/>
      <charset val="134"/>
    </font>
    <font>
      <sz val="9"/>
      <color theme="1"/>
      <name val="Microsoft JhengHei"/>
      <charset val="134"/>
    </font>
    <font>
      <b/>
      <sz val="9"/>
      <color theme="1"/>
      <name val="Arial"/>
      <charset val="134"/>
    </font>
    <font>
      <b/>
      <sz val="9"/>
      <color rgb="FF0070C0"/>
      <name val="宋体"/>
      <charset val="134"/>
    </font>
    <font>
      <b/>
      <sz val="9"/>
      <color rgb="FFFF0000"/>
      <name val="Arial"/>
      <charset val="134"/>
    </font>
    <font>
      <sz val="9"/>
      <color theme="1"/>
      <name val="宋体"/>
      <charset val="134"/>
    </font>
    <font>
      <sz val="9"/>
      <color theme="0"/>
      <name val="Arial"/>
      <charset val="134"/>
    </font>
    <font>
      <sz val="9"/>
      <color rgb="FFFF0000"/>
      <name val="Microsoft JhengHei"/>
      <charset val="134"/>
    </font>
    <font>
      <sz val="9"/>
      <color rgb="FFFF0000"/>
      <name val="Arial"/>
      <charset val="134"/>
    </font>
    <font>
      <sz val="9"/>
      <color theme="9" tint="-0.25"/>
      <name val="Microsoft JhengHei"/>
      <charset val="134"/>
    </font>
    <font>
      <sz val="9"/>
      <color theme="9" tint="-0.25"/>
      <name val="Arial"/>
      <charset val="134"/>
    </font>
    <font>
      <b/>
      <sz val="9"/>
      <color theme="1"/>
      <name val="Microsoft JhengHei"/>
      <charset val="134"/>
    </font>
    <font>
      <sz val="9"/>
      <color rgb="FF0070C0"/>
      <name val="宋体"/>
      <charset val="134"/>
    </font>
    <font>
      <b/>
      <sz val="9"/>
      <color rgb="FF393939"/>
      <name val="Microsoft JhengHei"/>
      <charset val="134"/>
    </font>
    <font>
      <b/>
      <sz val="9"/>
      <color rgb="FF393939"/>
      <name val="Arial"/>
      <charset val="134"/>
    </font>
    <font>
      <b/>
      <sz val="9"/>
      <color theme="1"/>
      <name val="宋体"/>
      <charset val="134"/>
    </font>
    <font>
      <b/>
      <sz val="10"/>
      <color rgb="FFFF0000"/>
      <name val="Arial"/>
      <charset val="134"/>
    </font>
    <font>
      <b/>
      <sz val="10"/>
      <color rgb="FFFF0000"/>
      <name val="宋体"/>
      <charset val="134"/>
    </font>
    <font>
      <sz val="10"/>
      <color theme="1"/>
      <name val="Arial"/>
      <charset val="134"/>
    </font>
    <font>
      <b/>
      <sz val="9"/>
      <color theme="0"/>
      <name val="Arial"/>
      <charset val="134"/>
    </font>
    <font>
      <b/>
      <sz val="9"/>
      <color rgb="FF393939"/>
      <name val="宋体"/>
      <charset val="134"/>
    </font>
    <font>
      <sz val="9"/>
      <color rgb="FF393939"/>
      <name val="Arial"/>
      <charset val="134"/>
    </font>
    <font>
      <sz val="9"/>
      <color rgb="FF393939"/>
      <name val="宋体"/>
      <charset val="134"/>
    </font>
    <font>
      <sz val="9"/>
      <color rgb="FF0070C0"/>
      <name val="Arial"/>
      <charset val="134"/>
    </font>
    <font>
      <b/>
      <sz val="9"/>
      <color rgb="FF0070C0"/>
      <name val="Arial"/>
      <charset val="134"/>
    </font>
    <font>
      <b/>
      <sz val="10"/>
      <color rgb="FF0070C0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9"/>
      <color theme="0"/>
      <name val="宋体"/>
      <charset val="134"/>
    </font>
    <font>
      <b/>
      <sz val="10"/>
      <color rgb="FF0070C0"/>
      <name val="Arial"/>
      <charset val="134"/>
    </font>
    <font>
      <sz val="9"/>
      <name val="宋体"/>
      <charset val="134"/>
    </font>
    <font>
      <b/>
      <sz val="9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5" fillId="14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0" fillId="22" borderId="11" applyNumberFormat="0" applyFont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12" applyNumberFormat="0" applyFill="0" applyAlignment="0" applyProtection="0">
      <alignment vertical="center"/>
    </xf>
    <xf numFmtId="0" fontId="46" fillId="0" borderId="12" applyNumberFormat="0" applyFill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40" fillId="0" borderId="13" applyNumberFormat="0" applyFill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48" fillId="36" borderId="15" applyNumberFormat="0" applyAlignment="0" applyProtection="0">
      <alignment vertical="center"/>
    </xf>
    <xf numFmtId="0" fontId="49" fillId="36" borderId="10" applyNumberFormat="0" applyAlignment="0" applyProtection="0">
      <alignment vertical="center"/>
    </xf>
    <xf numFmtId="0" fontId="34" fillId="13" borderId="9" applyNumberFormat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47" fillId="0" borderId="14" applyNumberFormat="0" applyFill="0" applyAlignment="0" applyProtection="0">
      <alignment vertical="center"/>
    </xf>
    <xf numFmtId="0" fontId="50" fillId="0" borderId="16" applyNumberFormat="0" applyFill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</cellStyleXfs>
  <cellXfs count="14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horizontal="center" vertical="center" wrapText="1"/>
    </xf>
    <xf numFmtId="0" fontId="5" fillId="4" borderId="0" xfId="0" applyFont="1" applyFill="1" applyBorder="1" applyAlignment="1">
      <alignment horizontal="center" vertical="center" wrapText="1"/>
    </xf>
    <xf numFmtId="0" fontId="6" fillId="4" borderId="0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left" vertical="center" wrapText="1"/>
    </xf>
    <xf numFmtId="0" fontId="1" fillId="4" borderId="0" xfId="0" applyFont="1" applyFill="1" applyBorder="1" applyAlignment="1">
      <alignment horizontal="left" vertical="center" wrapText="1"/>
    </xf>
    <xf numFmtId="0" fontId="7" fillId="4" borderId="0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vertical="center" wrapText="1"/>
    </xf>
    <xf numFmtId="0" fontId="1" fillId="3" borderId="0" xfId="0" applyFont="1" applyFill="1" applyBorder="1" applyAlignment="1">
      <alignment vertical="center" wrapText="1"/>
    </xf>
    <xf numFmtId="0" fontId="4" fillId="5" borderId="3" xfId="0" applyFont="1" applyFill="1" applyBorder="1" applyAlignment="1">
      <alignment horizontal="left" vertical="center" wrapText="1"/>
    </xf>
    <xf numFmtId="0" fontId="4" fillId="5" borderId="0" xfId="0" applyFont="1" applyFill="1" applyBorder="1" applyAlignment="1">
      <alignment horizontal="left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8" fillId="6" borderId="0" xfId="0" applyFont="1" applyFill="1" applyBorder="1" applyAlignment="1">
      <alignment horizontal="center" vertical="center" wrapText="1"/>
    </xf>
    <xf numFmtId="0" fontId="8" fillId="6" borderId="0" xfId="0" applyFont="1" applyFill="1" applyBorder="1" applyAlignment="1">
      <alignment vertical="center" wrapText="1"/>
    </xf>
    <xf numFmtId="0" fontId="8" fillId="7" borderId="0" xfId="0" applyFont="1" applyFill="1" applyBorder="1" applyAlignment="1">
      <alignment horizontal="center" vertical="center" wrapText="1"/>
    </xf>
    <xf numFmtId="0" fontId="1" fillId="7" borderId="0" xfId="0" applyFont="1" applyFill="1" applyBorder="1" applyAlignment="1">
      <alignment horizontal="center" vertical="center" wrapText="1"/>
    </xf>
    <xf numFmtId="0" fontId="1" fillId="7" borderId="0" xfId="0" applyFont="1" applyFill="1" applyBorder="1" applyAlignment="1">
      <alignment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176" fontId="10" fillId="6" borderId="3" xfId="0" applyNumberFormat="1" applyFont="1" applyFill="1" applyBorder="1" applyAlignment="1">
      <alignment horizontal="center" vertical="center" wrapText="1"/>
    </xf>
    <xf numFmtId="176" fontId="10" fillId="6" borderId="0" xfId="0" applyNumberFormat="1" applyFont="1" applyFill="1" applyAlignment="1">
      <alignment horizontal="center" vertical="center" wrapText="1"/>
    </xf>
    <xf numFmtId="0" fontId="11" fillId="6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left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1" fillId="6" borderId="0" xfId="0" applyFont="1" applyFill="1" applyBorder="1" applyAlignment="1">
      <alignment horizontal="center" vertical="center" wrapText="1"/>
    </xf>
    <xf numFmtId="0" fontId="7" fillId="6" borderId="0" xfId="0" applyFont="1" applyFill="1" applyBorder="1" applyAlignment="1">
      <alignment horizontal="center" vertical="center" wrapText="1"/>
    </xf>
    <xf numFmtId="0" fontId="1" fillId="6" borderId="0" xfId="0" applyFont="1" applyFill="1" applyBorder="1" applyAlignment="1">
      <alignment vertical="center" wrapText="1"/>
    </xf>
    <xf numFmtId="0" fontId="1" fillId="6" borderId="3" xfId="0" applyFont="1" applyFill="1" applyBorder="1" applyAlignment="1">
      <alignment horizontal="center" vertical="center" wrapText="1"/>
    </xf>
    <xf numFmtId="22" fontId="1" fillId="7" borderId="0" xfId="0" applyNumberFormat="1" applyFont="1" applyFill="1" applyBorder="1" applyAlignment="1">
      <alignment horizontal="center" vertical="center" wrapText="1"/>
    </xf>
    <xf numFmtId="22" fontId="1" fillId="7" borderId="0" xfId="0" applyNumberFormat="1" applyFont="1" applyFill="1" applyBorder="1" applyAlignment="1">
      <alignment vertical="center" wrapText="1"/>
    </xf>
    <xf numFmtId="0" fontId="12" fillId="3" borderId="3" xfId="0" applyFont="1" applyFill="1" applyBorder="1" applyAlignment="1">
      <alignment horizontal="center" vertical="center"/>
    </xf>
    <xf numFmtId="0" fontId="12" fillId="3" borderId="0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left" vertical="center" wrapText="1"/>
    </xf>
    <xf numFmtId="0" fontId="8" fillId="6" borderId="0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 wrapText="1"/>
    </xf>
    <xf numFmtId="22" fontId="1" fillId="2" borderId="0" xfId="0" applyNumberFormat="1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4" fillId="2" borderId="0" xfId="0" applyFont="1" applyFill="1" applyBorder="1" applyAlignment="1">
      <alignment horizontal="center" vertical="center" wrapText="1"/>
    </xf>
    <xf numFmtId="22" fontId="14" fillId="2" borderId="0" xfId="0" applyNumberFormat="1" applyFont="1" applyFill="1" applyBorder="1" applyAlignment="1">
      <alignment horizontal="center" vertical="center" wrapText="1"/>
    </xf>
    <xf numFmtId="0" fontId="14" fillId="2" borderId="0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 wrapText="1"/>
    </xf>
    <xf numFmtId="0" fontId="16" fillId="2" borderId="0" xfId="0" applyFont="1" applyFill="1" applyBorder="1" applyAlignment="1">
      <alignment horizontal="center" vertical="center" wrapText="1"/>
    </xf>
    <xf numFmtId="0" fontId="16" fillId="2" borderId="0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 wrapText="1"/>
    </xf>
    <xf numFmtId="0" fontId="8" fillId="5" borderId="0" xfId="0" applyFont="1" applyFill="1" applyBorder="1" applyAlignment="1">
      <alignment horizontal="center" vertical="center" wrapText="1"/>
    </xf>
    <xf numFmtId="0" fontId="17" fillId="5" borderId="0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/>
    </xf>
    <xf numFmtId="0" fontId="1" fillId="6" borderId="0" xfId="0" applyFont="1" applyFill="1" applyBorder="1" applyAlignment="1">
      <alignment horizontal="center" vertical="center"/>
    </xf>
    <xf numFmtId="22" fontId="1" fillId="6" borderId="0" xfId="0" applyNumberFormat="1" applyFont="1" applyFill="1" applyBorder="1" applyAlignment="1">
      <alignment horizontal="center" vertical="center" wrapText="1"/>
    </xf>
    <xf numFmtId="22" fontId="18" fillId="6" borderId="0" xfId="0" applyNumberFormat="1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vertical="center" wrapText="1"/>
    </xf>
    <xf numFmtId="0" fontId="1" fillId="5" borderId="0" xfId="0" applyFont="1" applyFill="1" applyBorder="1" applyAlignment="1">
      <alignment vertical="center" wrapText="1"/>
    </xf>
    <xf numFmtId="0" fontId="1" fillId="5" borderId="0" xfId="0" applyFont="1" applyFill="1" applyBorder="1" applyAlignment="1">
      <alignment horizontal="center" vertical="center" wrapText="1"/>
    </xf>
    <xf numFmtId="0" fontId="19" fillId="6" borderId="3" xfId="0" applyFont="1" applyFill="1" applyBorder="1" applyAlignment="1">
      <alignment horizontal="left" vertical="center" wrapText="1"/>
    </xf>
    <xf numFmtId="0" fontId="20" fillId="6" borderId="0" xfId="0" applyFont="1" applyFill="1" applyBorder="1" applyAlignment="1">
      <alignment horizontal="left" vertical="center" wrapText="1"/>
    </xf>
    <xf numFmtId="0" fontId="21" fillId="8" borderId="3" xfId="0" applyFont="1" applyFill="1" applyBorder="1" applyAlignment="1">
      <alignment horizontal="center" vertical="center"/>
    </xf>
    <xf numFmtId="0" fontId="21" fillId="8" borderId="0" xfId="0" applyFont="1" applyFill="1" applyBorder="1" applyAlignment="1">
      <alignment horizontal="center" vertical="center"/>
    </xf>
    <xf numFmtId="0" fontId="8" fillId="8" borderId="0" xfId="0" applyFont="1" applyFill="1" applyBorder="1" applyAlignment="1">
      <alignment horizontal="center" vertical="center"/>
    </xf>
    <xf numFmtId="177" fontId="1" fillId="6" borderId="0" xfId="0" applyNumberFormat="1" applyFont="1" applyFill="1" applyBorder="1" applyAlignment="1">
      <alignment horizontal="center" vertical="center"/>
    </xf>
    <xf numFmtId="0" fontId="22" fillId="6" borderId="3" xfId="0" applyFont="1" applyFill="1" applyBorder="1" applyAlignment="1">
      <alignment vertical="center"/>
    </xf>
    <xf numFmtId="0" fontId="22" fillId="6" borderId="0" xfId="0" applyFont="1" applyFill="1" applyBorder="1" applyAlignment="1">
      <alignment vertical="center"/>
    </xf>
    <xf numFmtId="0" fontId="23" fillId="6" borderId="0" xfId="0" applyFont="1" applyFill="1" applyBorder="1" applyAlignment="1">
      <alignment horizontal="right" vertical="center"/>
    </xf>
    <xf numFmtId="0" fontId="24" fillId="6" borderId="0" xfId="0" applyFont="1" applyFill="1" applyBorder="1" applyAlignment="1">
      <alignment horizontal="center" vertical="center"/>
    </xf>
    <xf numFmtId="0" fontId="23" fillId="6" borderId="3" xfId="0" applyFont="1" applyFill="1" applyBorder="1" applyAlignment="1">
      <alignment vertical="center"/>
    </xf>
    <xf numFmtId="0" fontId="23" fillId="6" borderId="0" xfId="0" applyFont="1" applyFill="1" applyBorder="1" applyAlignment="1">
      <alignment vertical="center"/>
    </xf>
    <xf numFmtId="0" fontId="23" fillId="6" borderId="0" xfId="0" applyFont="1" applyFill="1" applyBorder="1" applyAlignment="1">
      <alignment horizontal="center" vertical="center"/>
    </xf>
    <xf numFmtId="0" fontId="22" fillId="6" borderId="0" xfId="0" applyFont="1" applyFill="1" applyBorder="1" applyAlignment="1">
      <alignment horizontal="right" vertical="center"/>
    </xf>
    <xf numFmtId="178" fontId="22" fillId="6" borderId="0" xfId="0" applyNumberFormat="1" applyFont="1" applyFill="1" applyBorder="1" applyAlignment="1">
      <alignment horizontal="center" vertical="center"/>
    </xf>
    <xf numFmtId="0" fontId="25" fillId="3" borderId="4" xfId="0" applyFont="1" applyFill="1" applyBorder="1" applyAlignment="1">
      <alignment horizontal="center" vertical="center" wrapText="1"/>
    </xf>
    <xf numFmtId="0" fontId="25" fillId="3" borderId="5" xfId="0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vertical="center" wrapText="1"/>
    </xf>
    <xf numFmtId="0" fontId="1" fillId="4" borderId="0" xfId="0" applyFont="1" applyFill="1" applyBorder="1" applyAlignment="1">
      <alignment vertical="center" wrapText="1"/>
    </xf>
    <xf numFmtId="0" fontId="1" fillId="4" borderId="0" xfId="0" applyFont="1" applyFill="1" applyBorder="1" applyAlignment="1">
      <alignment horizontal="left" vertical="center"/>
    </xf>
    <xf numFmtId="0" fontId="11" fillId="4" borderId="0" xfId="0" applyFont="1" applyFill="1" applyBorder="1" applyAlignment="1">
      <alignment vertical="center"/>
    </xf>
    <xf numFmtId="0" fontId="1" fillId="4" borderId="0" xfId="0" applyFont="1" applyFill="1" applyBorder="1" applyAlignment="1">
      <alignment vertical="center"/>
    </xf>
    <xf numFmtId="0" fontId="11" fillId="4" borderId="0" xfId="0" applyFont="1" applyFill="1" applyBorder="1" applyAlignment="1">
      <alignment horizontal="left" vertical="center"/>
    </xf>
    <xf numFmtId="22" fontId="1" fillId="7" borderId="0" xfId="0" applyNumberFormat="1" applyFont="1" applyFill="1" applyBorder="1" applyAlignment="1">
      <alignment horizontal="center" vertical="center"/>
    </xf>
    <xf numFmtId="22" fontId="1" fillId="7" borderId="0" xfId="0" applyNumberFormat="1" applyFont="1" applyFill="1" applyBorder="1" applyAlignment="1">
      <alignment vertical="center"/>
    </xf>
    <xf numFmtId="0" fontId="7" fillId="6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>
      <alignment horizontal="center" vertical="center" wrapText="1"/>
    </xf>
    <xf numFmtId="0" fontId="14" fillId="6" borderId="0" xfId="0" applyFont="1" applyFill="1" applyBorder="1" applyAlignment="1">
      <alignment horizontal="center" vertical="center" wrapText="1"/>
    </xf>
    <xf numFmtId="178" fontId="1" fillId="5" borderId="0" xfId="0" applyNumberFormat="1" applyFont="1" applyFill="1" applyBorder="1" applyAlignment="1">
      <alignment horizontal="center" vertical="center" wrapText="1"/>
    </xf>
    <xf numFmtId="0" fontId="26" fillId="8" borderId="0" xfId="0" applyFont="1" applyFill="1" applyBorder="1" applyAlignment="1">
      <alignment horizontal="center" vertical="center" wrapText="1"/>
    </xf>
    <xf numFmtId="0" fontId="20" fillId="8" borderId="0" xfId="0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 vertical="center" wrapText="1"/>
    </xf>
    <xf numFmtId="0" fontId="8" fillId="8" borderId="0" xfId="0" applyFont="1" applyFill="1" applyBorder="1" applyAlignment="1">
      <alignment horizontal="center" vertical="center" wrapText="1"/>
    </xf>
    <xf numFmtId="22" fontId="27" fillId="6" borderId="0" xfId="0" applyNumberFormat="1" applyFont="1" applyFill="1" applyBorder="1" applyAlignment="1">
      <alignment horizontal="center" vertical="center" wrapText="1"/>
    </xf>
    <xf numFmtId="22" fontId="28" fillId="6" borderId="0" xfId="0" applyNumberFormat="1" applyFont="1" applyFill="1" applyAlignment="1">
      <alignment horizontal="center" vertical="center" wrapText="1"/>
    </xf>
    <xf numFmtId="22" fontId="27" fillId="6" borderId="0" xfId="0" applyNumberFormat="1" applyFont="1" applyFill="1" applyAlignment="1">
      <alignment horizontal="center" vertical="center" wrapText="1"/>
    </xf>
    <xf numFmtId="0" fontId="29" fillId="6" borderId="0" xfId="0" applyFont="1" applyFill="1" applyBorder="1" applyAlignment="1">
      <alignment vertical="center" wrapText="1"/>
    </xf>
    <xf numFmtId="0" fontId="27" fillId="6" borderId="0" xfId="0" applyFont="1" applyFill="1" applyBorder="1" applyAlignment="1">
      <alignment vertical="center" wrapText="1"/>
    </xf>
    <xf numFmtId="0" fontId="29" fillId="6" borderId="0" xfId="0" applyFont="1" applyFill="1" applyBorder="1" applyAlignment="1">
      <alignment vertical="center"/>
    </xf>
    <xf numFmtId="0" fontId="18" fillId="6" borderId="0" xfId="0" applyFont="1" applyFill="1" applyAlignment="1">
      <alignment horizontal="center" vertical="center" wrapText="1"/>
    </xf>
    <xf numFmtId="0" fontId="29" fillId="6" borderId="0" xfId="0" applyFont="1" applyFill="1" applyBorder="1" applyAlignment="1">
      <alignment horizontal="center" vertical="center" wrapText="1"/>
    </xf>
    <xf numFmtId="0" fontId="18" fillId="6" borderId="0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vertical="center" wrapText="1"/>
    </xf>
    <xf numFmtId="0" fontId="1" fillId="4" borderId="7" xfId="0" applyFont="1" applyFill="1" applyBorder="1" applyAlignment="1">
      <alignment horizontal="left" vertical="center" wrapText="1"/>
    </xf>
    <xf numFmtId="0" fontId="7" fillId="4" borderId="7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vertical="center" wrapText="1"/>
    </xf>
    <xf numFmtId="0" fontId="4" fillId="5" borderId="7" xfId="0" applyFont="1" applyFill="1" applyBorder="1" applyAlignment="1">
      <alignment horizontal="left" vertical="center" wrapText="1"/>
    </xf>
    <xf numFmtId="0" fontId="8" fillId="6" borderId="7" xfId="0" applyFont="1" applyFill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left" vertical="center" wrapText="1"/>
    </xf>
    <xf numFmtId="0" fontId="1" fillId="6" borderId="7" xfId="0" applyFont="1" applyFill="1" applyBorder="1" applyAlignment="1">
      <alignment vertical="center"/>
    </xf>
    <xf numFmtId="22" fontId="1" fillId="7" borderId="7" xfId="0" applyNumberFormat="1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8" fillId="6" borderId="7" xfId="0" applyFont="1" applyFill="1" applyBorder="1" applyAlignment="1">
      <alignment horizontal="left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8" fillId="5" borderId="7" xfId="0" applyFont="1" applyFill="1" applyBorder="1" applyAlignment="1">
      <alignment horizontal="center" vertical="center" wrapText="1"/>
    </xf>
    <xf numFmtId="177" fontId="1" fillId="6" borderId="7" xfId="0" applyNumberFormat="1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178" fontId="1" fillId="5" borderId="7" xfId="0" applyNumberFormat="1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left" vertical="center" wrapText="1"/>
    </xf>
    <xf numFmtId="0" fontId="8" fillId="8" borderId="7" xfId="0" applyFont="1" applyFill="1" applyBorder="1" applyAlignment="1">
      <alignment horizontal="center" vertical="center" wrapText="1"/>
    </xf>
    <xf numFmtId="0" fontId="27" fillId="6" borderId="7" xfId="0" applyFont="1" applyFill="1" applyBorder="1" applyAlignment="1">
      <alignment vertical="center" wrapText="1"/>
    </xf>
    <xf numFmtId="0" fontId="18" fillId="6" borderId="7" xfId="0" applyFont="1" applyFill="1" applyBorder="1" applyAlignment="1">
      <alignment horizontal="center" vertical="center" wrapText="1"/>
    </xf>
    <xf numFmtId="0" fontId="25" fillId="3" borderId="8" xfId="0" applyFont="1" applyFill="1" applyBorder="1" applyAlignment="1">
      <alignment horizontal="center" vertical="center" wrapText="1"/>
    </xf>
    <xf numFmtId="0" fontId="30" fillId="6" borderId="3" xfId="0" applyFont="1" applyFill="1" applyBorder="1" applyAlignment="1">
      <alignment horizontal="center" vertical="center" wrapText="1"/>
    </xf>
    <xf numFmtId="176" fontId="1" fillId="6" borderId="3" xfId="0" applyNumberFormat="1" applyFont="1" applyFill="1" applyBorder="1" applyAlignment="1">
      <alignment horizontal="center" vertical="center" wrapText="1"/>
    </xf>
    <xf numFmtId="176" fontId="1" fillId="6" borderId="0" xfId="0" applyNumberFormat="1" applyFont="1" applyFill="1" applyBorder="1" applyAlignment="1">
      <alignment horizontal="center" vertical="center" wrapText="1"/>
    </xf>
    <xf numFmtId="0" fontId="1" fillId="6" borderId="0" xfId="0" applyFont="1" applyFill="1" applyBorder="1" applyAlignment="1">
      <alignment horizontal="left" vertical="center" wrapText="1"/>
    </xf>
    <xf numFmtId="0" fontId="1" fillId="6" borderId="3" xfId="0" applyFont="1" applyFill="1" applyBorder="1" applyAlignment="1">
      <alignment vertical="center" wrapText="1"/>
    </xf>
    <xf numFmtId="0" fontId="1" fillId="4" borderId="0" xfId="0" applyFont="1" applyFill="1" applyAlignment="1">
      <alignment horizontal="left" vertical="center" wrapText="1"/>
    </xf>
    <xf numFmtId="0" fontId="7" fillId="4" borderId="0" xfId="0" applyFont="1" applyFill="1" applyAlignment="1">
      <alignment horizontal="left" vertical="center" wrapText="1"/>
    </xf>
    <xf numFmtId="0" fontId="31" fillId="6" borderId="0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left" vertical="center"/>
    </xf>
    <xf numFmtId="0" fontId="11" fillId="4" borderId="0" xfId="0" applyFont="1" applyFill="1" applyAlignment="1">
      <alignment horizontal="left" vertical="center"/>
    </xf>
    <xf numFmtId="0" fontId="11" fillId="4" borderId="0" xfId="0" applyFont="1" applyFill="1" applyAlignment="1">
      <alignment vertical="center"/>
    </xf>
    <xf numFmtId="0" fontId="1" fillId="4" borderId="0" xfId="0" applyFont="1" applyFill="1" applyAlignment="1">
      <alignment vertical="center" wrapText="1"/>
    </xf>
    <xf numFmtId="0" fontId="16" fillId="2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Border="1" applyAlignment="1" quotePrefix="1">
      <alignment horizontal="center" vertical="center" wrapText="1"/>
    </xf>
    <xf numFmtId="0" fontId="1" fillId="6" borderId="0" xfId="0" applyFont="1" applyFill="1" applyBorder="1" applyAlignment="1" quotePrefix="1">
      <alignment horizontal="center" vertical="center" wrapText="1"/>
    </xf>
    <xf numFmtId="0" fontId="1" fillId="6" borderId="3" xfId="0" applyFont="1" applyFill="1" applyBorder="1" applyAlignment="1" quotePrefix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customXml" Target="../customXml/item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Q48"/>
  <sheetViews>
    <sheetView tabSelected="1" workbookViewId="0">
      <selection activeCell="R23" sqref="R23"/>
    </sheetView>
  </sheetViews>
  <sheetFormatPr defaultColWidth="9" defaultRowHeight="12"/>
  <cols>
    <col min="1" max="1" width="9" style="1"/>
    <col min="2" max="17" width="10.625" style="1" customWidth="1"/>
    <col min="18" max="27" width="9" style="2"/>
    <col min="28" max="16384" width="9" style="1"/>
  </cols>
  <sheetData>
    <row r="1" ht="24" customHeight="1" spans="2:17">
      <c r="B1" s="3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108"/>
    </row>
    <row r="2" ht="22" customHeight="1" spans="2:17">
      <c r="B2" s="5" t="s">
        <v>1</v>
      </c>
      <c r="C2" s="6"/>
      <c r="D2" s="7" t="s">
        <v>2</v>
      </c>
      <c r="E2" s="8" t="s">
        <v>3</v>
      </c>
      <c r="F2" s="6"/>
      <c r="G2" s="6" t="s">
        <v>4</v>
      </c>
      <c r="H2" s="6"/>
      <c r="I2" s="83"/>
      <c r="J2" s="83"/>
      <c r="K2" s="83"/>
      <c r="L2" s="83"/>
      <c r="M2" s="83"/>
      <c r="N2" s="83"/>
      <c r="O2" s="83"/>
      <c r="P2" s="6"/>
      <c r="Q2" s="109"/>
    </row>
    <row r="3" ht="22" customHeight="1" spans="2:17">
      <c r="B3" s="9" t="s">
        <v>5</v>
      </c>
      <c r="C3" s="139"/>
      <c r="D3" s="139"/>
      <c r="E3" s="139" t="s">
        <v>6</v>
      </c>
      <c r="F3" s="139"/>
      <c r="G3" s="139" t="s">
        <v>7</v>
      </c>
      <c r="H3" s="139"/>
      <c r="I3" s="139" t="s">
        <v>8</v>
      </c>
      <c r="J3" s="139"/>
      <c r="K3" s="139" t="s">
        <v>9</v>
      </c>
      <c r="L3" s="139"/>
      <c r="M3" s="139"/>
      <c r="N3" s="84"/>
      <c r="O3" s="84"/>
      <c r="P3" s="84"/>
      <c r="Q3" s="110"/>
    </row>
    <row r="4" ht="22" customHeight="1" spans="2:17">
      <c r="B4" s="9" t="s">
        <v>10</v>
      </c>
      <c r="C4" s="10"/>
      <c r="D4" s="10"/>
      <c r="E4" s="10" t="s">
        <v>11</v>
      </c>
      <c r="F4" s="10"/>
      <c r="G4" s="10"/>
      <c r="H4" s="10"/>
      <c r="I4" s="10"/>
      <c r="J4" s="10"/>
      <c r="K4" s="142" t="s">
        <v>12</v>
      </c>
      <c r="L4" s="142"/>
      <c r="M4" s="142"/>
      <c r="N4" s="86" t="s">
        <v>13</v>
      </c>
      <c r="O4" s="87"/>
      <c r="P4" s="84"/>
      <c r="Q4" s="110"/>
    </row>
    <row r="5" ht="22" customHeight="1" spans="2:17">
      <c r="B5" s="9" t="s">
        <v>14</v>
      </c>
      <c r="C5" s="140"/>
      <c r="D5" s="140"/>
      <c r="E5" s="140"/>
      <c r="F5" s="140" t="s">
        <v>15</v>
      </c>
      <c r="G5" s="140"/>
      <c r="H5" s="140"/>
      <c r="I5" s="143" t="s">
        <v>16</v>
      </c>
      <c r="J5" s="143"/>
      <c r="K5" s="144" t="s">
        <v>17</v>
      </c>
      <c r="L5" s="145"/>
      <c r="M5" s="140" t="s">
        <v>18</v>
      </c>
      <c r="N5" s="139"/>
      <c r="O5" s="139"/>
      <c r="P5" s="139"/>
      <c r="Q5" s="111"/>
    </row>
    <row r="6" ht="22" customHeight="1" spans="2:17">
      <c r="B6" s="9" t="s">
        <v>19</v>
      </c>
      <c r="C6" s="140"/>
      <c r="D6" s="140"/>
      <c r="E6" s="140"/>
      <c r="F6" s="140"/>
      <c r="G6" s="140"/>
      <c r="H6" s="140"/>
      <c r="I6" s="140"/>
      <c r="J6" s="140"/>
      <c r="K6" s="140"/>
      <c r="L6" s="140"/>
      <c r="M6" s="140"/>
      <c r="N6" s="140"/>
      <c r="O6" s="140"/>
      <c r="P6" s="140"/>
      <c r="Q6" s="112"/>
    </row>
    <row r="7" ht="10" customHeight="1" spans="2:17">
      <c r="B7" s="12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13"/>
    </row>
    <row r="8" ht="18" customHeight="1" spans="2:17">
      <c r="B8" s="14" t="s">
        <v>20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14"/>
    </row>
    <row r="9" ht="18" customHeight="1" spans="2:17">
      <c r="B9" s="16" t="s">
        <v>21</v>
      </c>
      <c r="C9" s="17" t="s">
        <v>22</v>
      </c>
      <c r="D9" s="17"/>
      <c r="E9" s="17" t="s">
        <v>23</v>
      </c>
      <c r="F9" s="18"/>
      <c r="G9" s="17" t="s">
        <v>24</v>
      </c>
      <c r="H9" s="17"/>
      <c r="I9" s="17"/>
      <c r="J9" s="17"/>
      <c r="K9" s="17"/>
      <c r="L9" s="17" t="s">
        <v>25</v>
      </c>
      <c r="M9" s="17"/>
      <c r="N9" s="17" t="s">
        <v>26</v>
      </c>
      <c r="O9" s="17"/>
      <c r="P9" s="17" t="s">
        <v>27</v>
      </c>
      <c r="Q9" s="115"/>
    </row>
    <row r="10" ht="20" customHeight="1" spans="2:17">
      <c r="B10" s="16"/>
      <c r="C10" s="19" t="s">
        <v>28</v>
      </c>
      <c r="D10" s="19"/>
      <c r="E10" s="149" t="s">
        <v>29</v>
      </c>
      <c r="F10" s="21"/>
      <c r="G10" s="20" t="s">
        <v>30</v>
      </c>
      <c r="H10" s="20"/>
      <c r="I10" s="20"/>
      <c r="J10" s="20"/>
      <c r="K10" s="20"/>
      <c r="L10" s="20" t="s">
        <v>31</v>
      </c>
      <c r="M10" s="20"/>
      <c r="N10" s="20" t="s">
        <v>32</v>
      </c>
      <c r="O10" s="20"/>
      <c r="P10" s="20" t="s">
        <v>33</v>
      </c>
      <c r="Q10" s="116"/>
    </row>
    <row r="11" ht="18" customHeight="1" spans="2:17">
      <c r="B11" s="16" t="s">
        <v>34</v>
      </c>
      <c r="C11" s="17" t="s">
        <v>22</v>
      </c>
      <c r="D11" s="17"/>
      <c r="E11" s="17" t="s">
        <v>23</v>
      </c>
      <c r="F11" s="18"/>
      <c r="G11" s="17" t="s">
        <v>24</v>
      </c>
      <c r="H11" s="17"/>
      <c r="I11" s="17"/>
      <c r="J11" s="17"/>
      <c r="K11" s="17"/>
      <c r="L11" s="17" t="s">
        <v>25</v>
      </c>
      <c r="M11" s="17"/>
      <c r="N11" s="17" t="s">
        <v>26</v>
      </c>
      <c r="O11" s="17"/>
      <c r="P11" s="17" t="s">
        <v>27</v>
      </c>
      <c r="Q11" s="115"/>
    </row>
    <row r="12" ht="20" customHeight="1" spans="2:17">
      <c r="B12" s="16"/>
      <c r="C12" s="19" t="s">
        <v>35</v>
      </c>
      <c r="D12" s="19"/>
      <c r="E12" s="149" t="s">
        <v>36</v>
      </c>
      <c r="F12" s="21"/>
      <c r="G12" s="20" t="s">
        <v>37</v>
      </c>
      <c r="H12" s="20"/>
      <c r="I12" s="20"/>
      <c r="J12" s="20"/>
      <c r="K12" s="20"/>
      <c r="L12" s="20" t="s">
        <v>38</v>
      </c>
      <c r="M12" s="20"/>
      <c r="N12" s="20" t="s">
        <v>39</v>
      </c>
      <c r="O12" s="20"/>
      <c r="P12" s="20" t="s">
        <v>40</v>
      </c>
      <c r="Q12" s="116"/>
    </row>
    <row r="13" ht="10" customHeight="1" spans="2:17">
      <c r="B13" s="22"/>
      <c r="C13" s="19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116"/>
    </row>
    <row r="14" ht="20" customHeight="1" spans="2:17">
      <c r="B14" s="23" t="s">
        <v>41</v>
      </c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115"/>
    </row>
    <row r="15" ht="10" customHeight="1" spans="2:17">
      <c r="B15" s="37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120"/>
    </row>
    <row r="16" ht="15" customHeight="1" spans="2:17">
      <c r="B16" s="39" t="s">
        <v>42</v>
      </c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121"/>
    </row>
    <row r="17" ht="22" customHeight="1" spans="2:17">
      <c r="B17" s="41" t="s">
        <v>43</v>
      </c>
      <c r="C17" s="42"/>
      <c r="D17" s="42"/>
      <c r="E17" s="42" t="s">
        <v>44</v>
      </c>
      <c r="F17" s="42" t="s">
        <v>45</v>
      </c>
      <c r="G17" s="42"/>
      <c r="H17" s="42" t="s">
        <v>46</v>
      </c>
      <c r="I17" s="42"/>
      <c r="J17" s="42" t="s">
        <v>47</v>
      </c>
      <c r="K17" s="42"/>
      <c r="L17" s="42" t="s">
        <v>48</v>
      </c>
      <c r="M17" s="42" t="s">
        <v>49</v>
      </c>
      <c r="N17" s="92" t="s">
        <v>50</v>
      </c>
      <c r="O17" s="42" t="s">
        <v>51</v>
      </c>
      <c r="P17" s="42" t="s">
        <v>52</v>
      </c>
      <c r="Q17" s="122"/>
    </row>
    <row r="18" ht="20" customHeight="1" spans="2:17">
      <c r="B18" s="43" t="s">
        <v>53</v>
      </c>
      <c r="C18" s="44"/>
      <c r="D18" s="44"/>
      <c r="E18" s="45" t="s">
        <v>54</v>
      </c>
      <c r="F18" s="46">
        <v>43756.8541666667</v>
      </c>
      <c r="G18" s="46"/>
      <c r="H18" s="47" t="s">
        <v>55</v>
      </c>
      <c r="I18" s="47"/>
      <c r="J18" s="44" t="s">
        <v>56</v>
      </c>
      <c r="K18" s="44"/>
      <c r="L18" s="44" t="s">
        <v>57</v>
      </c>
      <c r="M18" s="44">
        <v>1</v>
      </c>
      <c r="N18" s="44">
        <v>1</v>
      </c>
      <c r="O18" s="44">
        <v>60</v>
      </c>
      <c r="P18" s="47" t="s">
        <v>58</v>
      </c>
      <c r="Q18" s="123"/>
    </row>
    <row r="19" ht="20" customHeight="1" spans="2:17">
      <c r="B19" s="43" t="s">
        <v>59</v>
      </c>
      <c r="C19" s="44"/>
      <c r="D19" s="44"/>
      <c r="E19" s="45" t="s">
        <v>60</v>
      </c>
      <c r="F19" s="46">
        <v>43756.8541666667</v>
      </c>
      <c r="G19" s="46"/>
      <c r="H19" s="47" t="s">
        <v>61</v>
      </c>
      <c r="I19" s="47"/>
      <c r="J19" s="44" t="s">
        <v>56</v>
      </c>
      <c r="K19" s="44"/>
      <c r="L19" s="44" t="s">
        <v>57</v>
      </c>
      <c r="M19" s="44">
        <v>1</v>
      </c>
      <c r="N19" s="44">
        <v>1</v>
      </c>
      <c r="O19" s="44">
        <v>50</v>
      </c>
      <c r="P19" s="47"/>
      <c r="Q19" s="123"/>
    </row>
    <row r="20" ht="20" customHeight="1" spans="2:17">
      <c r="B20" s="48" t="s">
        <v>62</v>
      </c>
      <c r="C20" s="44"/>
      <c r="D20" s="44"/>
      <c r="E20" s="44" t="s">
        <v>63</v>
      </c>
      <c r="F20" s="46">
        <v>43756.8541666667</v>
      </c>
      <c r="G20" s="46"/>
      <c r="H20" s="47" t="s">
        <v>64</v>
      </c>
      <c r="I20" s="47"/>
      <c r="J20" s="44" t="s">
        <v>56</v>
      </c>
      <c r="K20" s="44"/>
      <c r="L20" s="44" t="s">
        <v>57</v>
      </c>
      <c r="M20" s="44">
        <v>1</v>
      </c>
      <c r="N20" s="44">
        <v>1</v>
      </c>
      <c r="O20" s="44">
        <v>12</v>
      </c>
      <c r="P20" s="47"/>
      <c r="Q20" s="123"/>
    </row>
    <row r="21" ht="20" customHeight="1" spans="2:17">
      <c r="B21" s="48" t="s">
        <v>65</v>
      </c>
      <c r="C21" s="44"/>
      <c r="D21" s="44"/>
      <c r="E21" s="44" t="s">
        <v>66</v>
      </c>
      <c r="F21" s="46">
        <v>43756.8541666667</v>
      </c>
      <c r="G21" s="46"/>
      <c r="H21" s="47" t="s">
        <v>67</v>
      </c>
      <c r="I21" s="47"/>
      <c r="J21" s="44" t="s">
        <v>56</v>
      </c>
      <c r="K21" s="44"/>
      <c r="L21" s="44" t="s">
        <v>57</v>
      </c>
      <c r="M21" s="44">
        <v>1</v>
      </c>
      <c r="N21" s="44">
        <v>1</v>
      </c>
      <c r="O21" s="44">
        <v>23</v>
      </c>
      <c r="P21" s="47"/>
      <c r="Q21" s="123"/>
    </row>
    <row r="22" ht="20" customHeight="1" spans="2:17">
      <c r="B22" s="48" t="s">
        <v>53</v>
      </c>
      <c r="C22" s="44"/>
      <c r="D22" s="44"/>
      <c r="E22" s="44" t="s">
        <v>63</v>
      </c>
      <c r="F22" s="46">
        <v>43756.8541666667</v>
      </c>
      <c r="G22" s="46"/>
      <c r="H22" s="47" t="s">
        <v>55</v>
      </c>
      <c r="I22" s="47"/>
      <c r="J22" s="44" t="s">
        <v>56</v>
      </c>
      <c r="K22" s="44"/>
      <c r="L22" s="44" t="s">
        <v>57</v>
      </c>
      <c r="M22" s="44">
        <v>1</v>
      </c>
      <c r="N22" s="44">
        <v>1</v>
      </c>
      <c r="O22" s="44">
        <v>60</v>
      </c>
      <c r="P22" s="47"/>
      <c r="Q22" s="123"/>
    </row>
    <row r="23" ht="20" customHeight="1" spans="2:17">
      <c r="B23" s="48" t="s">
        <v>59</v>
      </c>
      <c r="C23" s="44"/>
      <c r="D23" s="44"/>
      <c r="E23" s="44" t="s">
        <v>66</v>
      </c>
      <c r="F23" s="46">
        <v>43756.8541666667</v>
      </c>
      <c r="G23" s="46"/>
      <c r="H23" s="47" t="s">
        <v>61</v>
      </c>
      <c r="I23" s="47"/>
      <c r="J23" s="44" t="s">
        <v>56</v>
      </c>
      <c r="K23" s="44"/>
      <c r="L23" s="44" t="s">
        <v>57</v>
      </c>
      <c r="M23" s="44">
        <v>1</v>
      </c>
      <c r="N23" s="44">
        <v>1</v>
      </c>
      <c r="O23" s="44">
        <v>50</v>
      </c>
      <c r="P23" s="47"/>
      <c r="Q23" s="123"/>
    </row>
    <row r="24" ht="20" customHeight="1" spans="2:17">
      <c r="B24" s="49" t="s">
        <v>68</v>
      </c>
      <c r="C24" s="50"/>
      <c r="D24" s="50"/>
      <c r="E24" s="50" t="s">
        <v>69</v>
      </c>
      <c r="F24" s="51">
        <v>43756.8541666667</v>
      </c>
      <c r="G24" s="51"/>
      <c r="H24" s="52" t="s">
        <v>64</v>
      </c>
      <c r="I24" s="52"/>
      <c r="J24" s="50" t="s">
        <v>70</v>
      </c>
      <c r="K24" s="50"/>
      <c r="L24" s="50" t="s">
        <v>71</v>
      </c>
      <c r="M24" s="50" t="s">
        <v>69</v>
      </c>
      <c r="N24" s="50" t="s">
        <v>69</v>
      </c>
      <c r="O24" s="50" t="s">
        <v>69</v>
      </c>
      <c r="P24" s="47"/>
      <c r="Q24" s="123"/>
    </row>
    <row r="25" ht="20" customHeight="1" spans="2:17">
      <c r="B25" s="49" t="s">
        <v>72</v>
      </c>
      <c r="C25" s="50"/>
      <c r="D25" s="50"/>
      <c r="E25" s="50" t="s">
        <v>69</v>
      </c>
      <c r="F25" s="51">
        <v>43756.8541666667</v>
      </c>
      <c r="G25" s="51"/>
      <c r="H25" s="52" t="s">
        <v>67</v>
      </c>
      <c r="I25" s="52"/>
      <c r="J25" s="50" t="s">
        <v>70</v>
      </c>
      <c r="K25" s="50"/>
      <c r="L25" s="50" t="s">
        <v>71</v>
      </c>
      <c r="M25" s="50" t="s">
        <v>69</v>
      </c>
      <c r="N25" s="50" t="s">
        <v>69</v>
      </c>
      <c r="O25" s="50" t="s">
        <v>69</v>
      </c>
      <c r="P25" s="47"/>
      <c r="Q25" s="123"/>
    </row>
    <row r="26" ht="20" customHeight="1" spans="2:17">
      <c r="B26" s="49" t="s">
        <v>72</v>
      </c>
      <c r="C26" s="50"/>
      <c r="D26" s="50"/>
      <c r="E26" s="50" t="s">
        <v>69</v>
      </c>
      <c r="F26" s="51">
        <v>43756.8541666667</v>
      </c>
      <c r="G26" s="51"/>
      <c r="H26" s="52" t="s">
        <v>67</v>
      </c>
      <c r="I26" s="52"/>
      <c r="J26" s="50" t="s">
        <v>70</v>
      </c>
      <c r="K26" s="50"/>
      <c r="L26" s="50" t="s">
        <v>71</v>
      </c>
      <c r="M26" s="50" t="s">
        <v>69</v>
      </c>
      <c r="N26" s="50" t="s">
        <v>69</v>
      </c>
      <c r="O26" s="50" t="s">
        <v>69</v>
      </c>
      <c r="P26" s="47"/>
      <c r="Q26" s="123"/>
    </row>
    <row r="27" ht="20" customHeight="1" spans="2:17">
      <c r="B27" s="53" t="s">
        <v>73</v>
      </c>
      <c r="C27" s="54"/>
      <c r="D27" s="54"/>
      <c r="E27" s="54" t="s">
        <v>74</v>
      </c>
      <c r="F27" s="54" t="s">
        <v>75</v>
      </c>
      <c r="G27" s="54"/>
      <c r="H27" s="55" t="s">
        <v>76</v>
      </c>
      <c r="I27" s="55"/>
      <c r="J27" s="146" t="s">
        <v>77</v>
      </c>
      <c r="K27" s="146"/>
      <c r="L27" s="54" t="s">
        <v>78</v>
      </c>
      <c r="M27" s="54" t="s">
        <v>74</v>
      </c>
      <c r="N27" s="54" t="s">
        <v>74</v>
      </c>
      <c r="O27" s="54" t="s">
        <v>74</v>
      </c>
      <c r="P27" s="47"/>
      <c r="Q27" s="123"/>
    </row>
    <row r="28" ht="20" customHeight="1" spans="2:17">
      <c r="B28" s="138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1">
        <f>SUM(M18:M27)</f>
        <v>6</v>
      </c>
      <c r="N28" s="31">
        <f>SUM(N18:N27)</f>
        <v>6</v>
      </c>
      <c r="O28" s="60">
        <f>SUM(O18:O27)</f>
        <v>255</v>
      </c>
      <c r="P28" s="60"/>
      <c r="Q28" s="124"/>
    </row>
    <row r="29" ht="10" customHeight="1" spans="2:17">
      <c r="B29" s="37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120"/>
    </row>
    <row r="30" ht="15" customHeight="1" spans="2:17">
      <c r="B30" s="39" t="s">
        <v>79</v>
      </c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121"/>
    </row>
    <row r="31" ht="22" customHeight="1" spans="2:17">
      <c r="B31" s="56" t="s">
        <v>43</v>
      </c>
      <c r="C31" s="57"/>
      <c r="D31" s="57"/>
      <c r="E31" s="57" t="s">
        <v>80</v>
      </c>
      <c r="F31" s="57"/>
      <c r="G31" s="57" t="s">
        <v>81</v>
      </c>
      <c r="H31" s="58" t="s">
        <v>82</v>
      </c>
      <c r="I31" s="57" t="s">
        <v>46</v>
      </c>
      <c r="J31" s="57"/>
      <c r="K31" s="57" t="s">
        <v>48</v>
      </c>
      <c r="L31" s="147" t="s">
        <v>83</v>
      </c>
      <c r="M31" s="147"/>
      <c r="N31" s="57" t="s">
        <v>84</v>
      </c>
      <c r="O31" s="57" t="s">
        <v>85</v>
      </c>
      <c r="P31" s="57" t="s">
        <v>86</v>
      </c>
      <c r="Q31" s="125" t="s">
        <v>87</v>
      </c>
    </row>
    <row r="32" ht="20" customHeight="1" spans="2:17">
      <c r="B32" s="59" t="s">
        <v>88</v>
      </c>
      <c r="C32" s="60"/>
      <c r="D32" s="60"/>
      <c r="E32" s="150" t="s">
        <v>89</v>
      </c>
      <c r="F32" s="31"/>
      <c r="G32" s="61" t="s">
        <v>90</v>
      </c>
      <c r="H32" s="62" t="s">
        <v>91</v>
      </c>
      <c r="I32" s="60" t="s">
        <v>55</v>
      </c>
      <c r="J32" s="60"/>
      <c r="K32" s="31" t="s">
        <v>57</v>
      </c>
      <c r="L32" s="28" t="s">
        <v>92</v>
      </c>
      <c r="M32" s="28"/>
      <c r="N32" s="31">
        <v>1</v>
      </c>
      <c r="O32" s="31">
        <v>0.0086</v>
      </c>
      <c r="P32" s="31">
        <v>1.43</v>
      </c>
      <c r="Q32" s="126">
        <v>100000</v>
      </c>
    </row>
    <row r="33" ht="20" customHeight="1" spans="2:17">
      <c r="B33" s="34" t="s">
        <v>59</v>
      </c>
      <c r="C33" s="31"/>
      <c r="D33" s="31"/>
      <c r="E33" s="150" t="s">
        <v>93</v>
      </c>
      <c r="F33" s="31"/>
      <c r="G33" s="61" t="s">
        <v>94</v>
      </c>
      <c r="H33" s="62" t="s">
        <v>91</v>
      </c>
      <c r="I33" s="60" t="s">
        <v>61</v>
      </c>
      <c r="J33" s="60"/>
      <c r="K33" s="31" t="s">
        <v>57</v>
      </c>
      <c r="L33" s="28" t="s">
        <v>95</v>
      </c>
      <c r="M33" s="28"/>
      <c r="N33" s="31">
        <v>1</v>
      </c>
      <c r="O33" s="31">
        <v>0.0019</v>
      </c>
      <c r="P33" s="31">
        <v>0.32</v>
      </c>
      <c r="Q33" s="127">
        <v>0.12</v>
      </c>
    </row>
    <row r="34" ht="20" customHeight="1" spans="2:17">
      <c r="B34" s="34" t="s">
        <v>62</v>
      </c>
      <c r="C34" s="31"/>
      <c r="D34" s="31"/>
      <c r="E34" s="150" t="s">
        <v>96</v>
      </c>
      <c r="F34" s="31"/>
      <c r="G34" s="61" t="s">
        <v>97</v>
      </c>
      <c r="H34" s="62" t="s">
        <v>91</v>
      </c>
      <c r="I34" s="60" t="s">
        <v>64</v>
      </c>
      <c r="J34" s="60"/>
      <c r="K34" s="31" t="s">
        <v>57</v>
      </c>
      <c r="L34" s="28" t="s">
        <v>98</v>
      </c>
      <c r="M34" s="28"/>
      <c r="N34" s="31">
        <v>1</v>
      </c>
      <c r="O34" s="31">
        <v>0.0052</v>
      </c>
      <c r="P34" s="31">
        <v>0.87</v>
      </c>
      <c r="Q34" s="127">
        <v>0.7</v>
      </c>
    </row>
    <row r="35" ht="20" customHeight="1" spans="2:17">
      <c r="B35" s="34" t="s">
        <v>65</v>
      </c>
      <c r="C35" s="31"/>
      <c r="D35" s="31"/>
      <c r="E35" s="150" t="s">
        <v>99</v>
      </c>
      <c r="F35" s="31"/>
      <c r="G35" s="61" t="s">
        <v>90</v>
      </c>
      <c r="H35" s="62" t="s">
        <v>91</v>
      </c>
      <c r="I35" s="148" t="s">
        <v>67</v>
      </c>
      <c r="J35" s="148"/>
      <c r="K35" s="93" t="s">
        <v>71</v>
      </c>
      <c r="L35" s="28" t="s">
        <v>100</v>
      </c>
      <c r="M35" s="28"/>
      <c r="N35" s="31">
        <v>1</v>
      </c>
      <c r="O35" s="31">
        <v>0.0245</v>
      </c>
      <c r="P35" s="31">
        <v>4.08</v>
      </c>
      <c r="Q35" s="127">
        <v>3.62</v>
      </c>
    </row>
    <row r="36" ht="20" customHeight="1" spans="2:17">
      <c r="B36" s="63"/>
      <c r="C36" s="64"/>
      <c r="D36" s="64"/>
      <c r="E36" s="64"/>
      <c r="F36" s="64"/>
      <c r="G36" s="65"/>
      <c r="H36" s="65"/>
      <c r="I36" s="65"/>
      <c r="J36" s="65"/>
      <c r="K36" s="65"/>
      <c r="L36" s="65"/>
      <c r="M36" s="65"/>
      <c r="N36" s="65">
        <f>SUM(N32:N35)</f>
        <v>4</v>
      </c>
      <c r="O36" s="94">
        <v>0.057</v>
      </c>
      <c r="P36" s="94">
        <v>16789</v>
      </c>
      <c r="Q36" s="128">
        <f>SUM(Q32:Q35)</f>
        <v>100004.44</v>
      </c>
    </row>
    <row r="37" ht="10" customHeight="1" spans="2:17">
      <c r="B37" s="37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120"/>
    </row>
    <row r="38" ht="15" customHeight="1" spans="2:17">
      <c r="B38" s="66" t="s">
        <v>101</v>
      </c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129"/>
    </row>
    <row r="39" ht="20" customHeight="1" spans="2:17">
      <c r="B39" s="68" t="s">
        <v>102</v>
      </c>
      <c r="C39" s="69" t="s">
        <v>103</v>
      </c>
      <c r="D39" s="70"/>
      <c r="E39" s="69" t="s">
        <v>104</v>
      </c>
      <c r="F39" s="70"/>
      <c r="G39" s="69" t="s">
        <v>105</v>
      </c>
      <c r="H39" s="69" t="s">
        <v>106</v>
      </c>
      <c r="I39" s="70"/>
      <c r="J39" s="69" t="s">
        <v>107</v>
      </c>
      <c r="K39" s="70"/>
      <c r="L39" s="95" t="s">
        <v>108</v>
      </c>
      <c r="M39" s="96"/>
      <c r="N39" s="97" t="s">
        <v>109</v>
      </c>
      <c r="O39" s="98"/>
      <c r="P39" s="97" t="s">
        <v>110</v>
      </c>
      <c r="Q39" s="130"/>
    </row>
    <row r="40" ht="20" customHeight="1" spans="2:17">
      <c r="B40" s="59">
        <v>1</v>
      </c>
      <c r="C40" s="60" t="s">
        <v>111</v>
      </c>
      <c r="D40" s="60"/>
      <c r="E40" s="71">
        <v>8.6</v>
      </c>
      <c r="F40" s="71"/>
      <c r="G40" s="71">
        <v>1</v>
      </c>
      <c r="H40" s="71">
        <v>8.6</v>
      </c>
      <c r="I40" s="71"/>
      <c r="J40" s="60" t="s">
        <v>35</v>
      </c>
      <c r="K40" s="60"/>
      <c r="L40" s="99">
        <v>43756.8541666667</v>
      </c>
      <c r="M40" s="99"/>
      <c r="N40" s="100" t="s">
        <v>112</v>
      </c>
      <c r="O40" s="101"/>
      <c r="P40" s="27" t="s">
        <v>113</v>
      </c>
      <c r="Q40" s="127"/>
    </row>
    <row r="41" ht="20" customHeight="1" spans="2:17">
      <c r="B41" s="59">
        <v>2</v>
      </c>
      <c r="C41" s="60" t="s">
        <v>114</v>
      </c>
      <c r="D41" s="60"/>
      <c r="E41" s="71">
        <v>7.9</v>
      </c>
      <c r="F41" s="71"/>
      <c r="G41" s="71">
        <v>20</v>
      </c>
      <c r="H41" s="71">
        <v>158</v>
      </c>
      <c r="I41" s="71"/>
      <c r="J41" s="60" t="s">
        <v>35</v>
      </c>
      <c r="K41" s="60"/>
      <c r="L41" s="99">
        <v>43756.8541666667</v>
      </c>
      <c r="M41" s="99"/>
      <c r="N41" s="101"/>
      <c r="O41" s="101"/>
      <c r="P41" s="28"/>
      <c r="Q41" s="127"/>
    </row>
    <row r="42" ht="20" customHeight="1" spans="2:17">
      <c r="B42" s="59">
        <v>3</v>
      </c>
      <c r="C42" s="60" t="s">
        <v>115</v>
      </c>
      <c r="D42" s="60"/>
      <c r="E42" s="71">
        <v>100</v>
      </c>
      <c r="F42" s="71"/>
      <c r="G42" s="71">
        <v>1</v>
      </c>
      <c r="H42" s="71">
        <v>-100</v>
      </c>
      <c r="I42" s="71"/>
      <c r="J42" s="60" t="s">
        <v>35</v>
      </c>
      <c r="K42" s="60"/>
      <c r="L42" s="99">
        <v>43756.8541666667</v>
      </c>
      <c r="M42" s="99"/>
      <c r="N42" s="101"/>
      <c r="O42" s="101"/>
      <c r="P42" s="28"/>
      <c r="Q42" s="127"/>
    </row>
    <row r="43" ht="20" customHeight="1" spans="2:17">
      <c r="B43" s="59">
        <v>4</v>
      </c>
      <c r="C43" s="60" t="s">
        <v>116</v>
      </c>
      <c r="D43" s="60"/>
      <c r="E43" s="71">
        <v>300</v>
      </c>
      <c r="F43" s="71"/>
      <c r="G43" s="71">
        <v>1</v>
      </c>
      <c r="H43" s="71">
        <v>300</v>
      </c>
      <c r="I43" s="71"/>
      <c r="J43" s="60" t="s">
        <v>35</v>
      </c>
      <c r="K43" s="60"/>
      <c r="L43" s="99">
        <v>43756.8541666667</v>
      </c>
      <c r="M43" s="99"/>
      <c r="N43" s="101"/>
      <c r="O43" s="101"/>
      <c r="P43" s="28"/>
      <c r="Q43" s="127"/>
    </row>
    <row r="44" ht="20" customHeight="1" spans="2:17">
      <c r="B44" s="59">
        <v>5</v>
      </c>
      <c r="C44" s="60" t="s">
        <v>117</v>
      </c>
      <c r="D44" s="60"/>
      <c r="E44" s="71">
        <v>39</v>
      </c>
      <c r="F44" s="71"/>
      <c r="G44" s="71">
        <v>1</v>
      </c>
      <c r="H44" s="71">
        <v>39</v>
      </c>
      <c r="I44" s="71"/>
      <c r="J44" s="60" t="s">
        <v>35</v>
      </c>
      <c r="K44" s="60"/>
      <c r="L44" s="99">
        <v>43756.8541666667</v>
      </c>
      <c r="M44" s="99"/>
      <c r="N44" s="101"/>
      <c r="O44" s="101"/>
      <c r="P44" s="28"/>
      <c r="Q44" s="127"/>
    </row>
    <row r="45" ht="20" customHeight="1" spans="2:17">
      <c r="B45" s="59">
        <v>6</v>
      </c>
      <c r="C45" s="60" t="s">
        <v>118</v>
      </c>
      <c r="D45" s="60"/>
      <c r="E45" s="71">
        <v>0</v>
      </c>
      <c r="F45" s="71"/>
      <c r="G45" s="71">
        <v>0</v>
      </c>
      <c r="H45" s="71">
        <v>0</v>
      </c>
      <c r="I45" s="71"/>
      <c r="J45" s="60" t="s">
        <v>35</v>
      </c>
      <c r="K45" s="60"/>
      <c r="L45" s="99">
        <v>43756.8541666667</v>
      </c>
      <c r="M45" s="99"/>
      <c r="N45" s="101"/>
      <c r="O45" s="101"/>
      <c r="P45" s="28"/>
      <c r="Q45" s="127"/>
    </row>
    <row r="46" ht="20" customHeight="1" spans="2:17">
      <c r="B46" s="72"/>
      <c r="C46" s="73"/>
      <c r="D46" s="73"/>
      <c r="E46" s="73"/>
      <c r="F46" s="73"/>
      <c r="G46" s="74" t="s">
        <v>119</v>
      </c>
      <c r="H46" s="75">
        <v>405.6</v>
      </c>
      <c r="I46" s="75"/>
      <c r="J46" s="102"/>
      <c r="K46" s="102"/>
      <c r="L46" s="102"/>
      <c r="M46" s="103"/>
      <c r="N46" s="102"/>
      <c r="O46" s="104"/>
      <c r="P46" s="104"/>
      <c r="Q46" s="131"/>
    </row>
    <row r="47" ht="20" customHeight="1" spans="2:17">
      <c r="B47" s="76"/>
      <c r="C47" s="77"/>
      <c r="D47" s="141" t="s">
        <v>120</v>
      </c>
      <c r="E47" s="141"/>
      <c r="F47" s="74" t="s">
        <v>121</v>
      </c>
      <c r="G47" s="79"/>
      <c r="H47" s="80">
        <v>41786.4</v>
      </c>
      <c r="I47" s="80"/>
      <c r="J47" s="105" t="s">
        <v>122</v>
      </c>
      <c r="K47" s="105"/>
      <c r="L47" s="106" t="s">
        <v>123</v>
      </c>
      <c r="M47" s="106"/>
      <c r="N47" s="106"/>
      <c r="O47" s="107" t="s">
        <v>124</v>
      </c>
      <c r="P47" s="107" t="s">
        <v>125</v>
      </c>
      <c r="Q47" s="132" t="s">
        <v>126</v>
      </c>
    </row>
    <row r="48" ht="24" customHeight="1" spans="2:17">
      <c r="B48" s="81" t="s">
        <v>127</v>
      </c>
      <c r="C48" s="82"/>
      <c r="D48" s="82"/>
      <c r="E48" s="82"/>
      <c r="F48" s="82"/>
      <c r="G48" s="82"/>
      <c r="H48" s="82"/>
      <c r="I48" s="82"/>
      <c r="J48" s="82"/>
      <c r="K48" s="82"/>
      <c r="L48" s="82"/>
      <c r="M48" s="82"/>
      <c r="N48" s="82"/>
      <c r="O48" s="82"/>
      <c r="P48" s="82"/>
      <c r="Q48" s="133"/>
    </row>
  </sheetData>
  <mergeCells count="175">
    <mergeCell ref="B1:Q1"/>
    <mergeCell ref="B2:C2"/>
    <mergeCell ref="E2:F2"/>
    <mergeCell ref="G2:H2"/>
    <mergeCell ref="P2:Q2"/>
    <mergeCell ref="B3:D3"/>
    <mergeCell ref="E3:F3"/>
    <mergeCell ref="G3:H3"/>
    <mergeCell ref="I3:J3"/>
    <mergeCell ref="K3:M3"/>
    <mergeCell ref="B4:D4"/>
    <mergeCell ref="E4:J4"/>
    <mergeCell ref="K4:M4"/>
    <mergeCell ref="B5:E5"/>
    <mergeCell ref="F5:H5"/>
    <mergeCell ref="I5:J5"/>
    <mergeCell ref="M5:Q5"/>
    <mergeCell ref="B6:Q6"/>
    <mergeCell ref="B7:Q7"/>
    <mergeCell ref="B8:Q8"/>
    <mergeCell ref="C9:D9"/>
    <mergeCell ref="E9:F9"/>
    <mergeCell ref="G9:K9"/>
    <mergeCell ref="L9:M9"/>
    <mergeCell ref="N9:O9"/>
    <mergeCell ref="P9:Q9"/>
    <mergeCell ref="C10:D10"/>
    <mergeCell ref="E10:F10"/>
    <mergeCell ref="G10:K10"/>
    <mergeCell ref="L10:M10"/>
    <mergeCell ref="N10:O10"/>
    <mergeCell ref="P10:Q10"/>
    <mergeCell ref="C11:D11"/>
    <mergeCell ref="E11:F11"/>
    <mergeCell ref="G11:K11"/>
    <mergeCell ref="L11:M11"/>
    <mergeCell ref="N11:O11"/>
    <mergeCell ref="P11:Q11"/>
    <mergeCell ref="C12:D12"/>
    <mergeCell ref="E12:F12"/>
    <mergeCell ref="G12:K12"/>
    <mergeCell ref="L12:M12"/>
    <mergeCell ref="N12:O12"/>
    <mergeCell ref="P12:Q12"/>
    <mergeCell ref="B14:Q14"/>
    <mergeCell ref="B15:Q15"/>
    <mergeCell ref="B16:Q16"/>
    <mergeCell ref="B17:D17"/>
    <mergeCell ref="F17:G17"/>
    <mergeCell ref="H17:I17"/>
    <mergeCell ref="J17:K17"/>
    <mergeCell ref="P17:Q17"/>
    <mergeCell ref="B18:D18"/>
    <mergeCell ref="F18:G18"/>
    <mergeCell ref="H18:I18"/>
    <mergeCell ref="J18:K18"/>
    <mergeCell ref="P18:Q18"/>
    <mergeCell ref="B19:D19"/>
    <mergeCell ref="F19:G19"/>
    <mergeCell ref="H19:I19"/>
    <mergeCell ref="J19:K19"/>
    <mergeCell ref="P19:Q19"/>
    <mergeCell ref="B20:D20"/>
    <mergeCell ref="F20:G20"/>
    <mergeCell ref="H20:I20"/>
    <mergeCell ref="J20:K20"/>
    <mergeCell ref="P20:Q20"/>
    <mergeCell ref="B21:D21"/>
    <mergeCell ref="F21:G21"/>
    <mergeCell ref="H21:I21"/>
    <mergeCell ref="J21:K21"/>
    <mergeCell ref="P21:Q21"/>
    <mergeCell ref="B22:D22"/>
    <mergeCell ref="F22:G22"/>
    <mergeCell ref="H22:I22"/>
    <mergeCell ref="J22:K22"/>
    <mergeCell ref="P22:Q22"/>
    <mergeCell ref="B23:D23"/>
    <mergeCell ref="F23:G23"/>
    <mergeCell ref="H23:I23"/>
    <mergeCell ref="J23:K23"/>
    <mergeCell ref="P23:Q23"/>
    <mergeCell ref="B24:D24"/>
    <mergeCell ref="F24:G24"/>
    <mergeCell ref="H24:I24"/>
    <mergeCell ref="J24:K24"/>
    <mergeCell ref="P24:Q24"/>
    <mergeCell ref="B25:D25"/>
    <mergeCell ref="F25:G25"/>
    <mergeCell ref="H25:I25"/>
    <mergeCell ref="J25:K25"/>
    <mergeCell ref="P25:Q25"/>
    <mergeCell ref="B26:D26"/>
    <mergeCell ref="F26:G26"/>
    <mergeCell ref="H26:I26"/>
    <mergeCell ref="J26:K26"/>
    <mergeCell ref="P26:Q26"/>
    <mergeCell ref="B27:D27"/>
    <mergeCell ref="F27:G27"/>
    <mergeCell ref="H27:I27"/>
    <mergeCell ref="J27:K27"/>
    <mergeCell ref="P27:Q27"/>
    <mergeCell ref="P28:Q28"/>
    <mergeCell ref="B29:Q29"/>
    <mergeCell ref="B30:Q30"/>
    <mergeCell ref="B31:D31"/>
    <mergeCell ref="E31:F31"/>
    <mergeCell ref="I31:J31"/>
    <mergeCell ref="L31:M31"/>
    <mergeCell ref="B32:D32"/>
    <mergeCell ref="E32:F32"/>
    <mergeCell ref="I32:J32"/>
    <mergeCell ref="L32:M32"/>
    <mergeCell ref="B33:D33"/>
    <mergeCell ref="E33:F33"/>
    <mergeCell ref="I33:J33"/>
    <mergeCell ref="L33:M33"/>
    <mergeCell ref="B34:D34"/>
    <mergeCell ref="E34:F34"/>
    <mergeCell ref="I34:J34"/>
    <mergeCell ref="L34:M34"/>
    <mergeCell ref="B35:D35"/>
    <mergeCell ref="E35:F35"/>
    <mergeCell ref="I35:J35"/>
    <mergeCell ref="L35:M35"/>
    <mergeCell ref="B37:Q37"/>
    <mergeCell ref="B38:Q38"/>
    <mergeCell ref="C39:D39"/>
    <mergeCell ref="E39:F39"/>
    <mergeCell ref="H39:I39"/>
    <mergeCell ref="J39:K39"/>
    <mergeCell ref="L39:M39"/>
    <mergeCell ref="N39:O39"/>
    <mergeCell ref="P39:Q39"/>
    <mergeCell ref="C40:D40"/>
    <mergeCell ref="E40:F40"/>
    <mergeCell ref="H40:I40"/>
    <mergeCell ref="J40:K40"/>
    <mergeCell ref="L40:M40"/>
    <mergeCell ref="C41:D41"/>
    <mergeCell ref="E41:F41"/>
    <mergeCell ref="H41:I41"/>
    <mergeCell ref="J41:K41"/>
    <mergeCell ref="L41:M41"/>
    <mergeCell ref="C42:D42"/>
    <mergeCell ref="E42:F42"/>
    <mergeCell ref="H42:I42"/>
    <mergeCell ref="J42:K42"/>
    <mergeCell ref="L42:M42"/>
    <mergeCell ref="C43:D43"/>
    <mergeCell ref="E43:F43"/>
    <mergeCell ref="H43:I43"/>
    <mergeCell ref="J43:K43"/>
    <mergeCell ref="L43:M43"/>
    <mergeCell ref="C44:D44"/>
    <mergeCell ref="E44:F44"/>
    <mergeCell ref="H44:I44"/>
    <mergeCell ref="J44:K44"/>
    <mergeCell ref="L44:M44"/>
    <mergeCell ref="C45:D45"/>
    <mergeCell ref="E45:F45"/>
    <mergeCell ref="H45:I45"/>
    <mergeCell ref="J45:K45"/>
    <mergeCell ref="L45:M45"/>
    <mergeCell ref="H46:I46"/>
    <mergeCell ref="D47:E47"/>
    <mergeCell ref="F47:G47"/>
    <mergeCell ref="H47:I47"/>
    <mergeCell ref="J47:K47"/>
    <mergeCell ref="L47:N47"/>
    <mergeCell ref="B48:Q48"/>
    <mergeCell ref="B9:B10"/>
    <mergeCell ref="B11:B12"/>
    <mergeCell ref="N40:O45"/>
    <mergeCell ref="P40:Q45"/>
  </mergeCells>
  <pageMargins left="1.10208333333333" right="0.393055555555556" top="0" bottom="0" header="0.5" footer="0.5"/>
  <pageSetup paperSize="5" orientation="landscape" horizontalDpi="600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Q52"/>
  <sheetViews>
    <sheetView workbookViewId="0">
      <selection activeCell="F27" sqref="F27:G27"/>
    </sheetView>
  </sheetViews>
  <sheetFormatPr defaultColWidth="9" defaultRowHeight="12"/>
  <cols>
    <col min="1" max="1" width="9" style="1"/>
    <col min="2" max="17" width="10.625" style="1" customWidth="1"/>
    <col min="18" max="18" width="9" style="2"/>
    <col min="19" max="16384" width="9" style="1"/>
  </cols>
  <sheetData>
    <row r="1" ht="24" customHeight="1" spans="2:17">
      <c r="B1" s="3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108"/>
    </row>
    <row r="2" ht="22" customHeight="1" spans="2:17">
      <c r="B2" s="5" t="s">
        <v>1</v>
      </c>
      <c r="C2" s="6"/>
      <c r="D2" s="7" t="s">
        <v>2</v>
      </c>
      <c r="E2" s="8" t="s">
        <v>3</v>
      </c>
      <c r="F2" s="6"/>
      <c r="G2" s="6" t="s">
        <v>4</v>
      </c>
      <c r="H2" s="6"/>
      <c r="I2" s="83"/>
      <c r="J2" s="83"/>
      <c r="K2" s="83"/>
      <c r="L2" s="83"/>
      <c r="M2" s="83"/>
      <c r="N2" s="83"/>
      <c r="O2" s="83"/>
      <c r="P2" s="6"/>
      <c r="Q2" s="109"/>
    </row>
    <row r="3" ht="22" customHeight="1" spans="2:17">
      <c r="B3" s="9" t="s">
        <v>5</v>
      </c>
      <c r="C3" s="10"/>
      <c r="D3" s="10"/>
      <c r="E3" s="10" t="s">
        <v>6</v>
      </c>
      <c r="F3" s="10"/>
      <c r="G3" s="10" t="s">
        <v>7</v>
      </c>
      <c r="H3" s="10"/>
      <c r="I3" s="10" t="s">
        <v>8</v>
      </c>
      <c r="J3" s="10"/>
      <c r="K3" s="10" t="s">
        <v>9</v>
      </c>
      <c r="L3" s="10"/>
      <c r="M3" s="10"/>
      <c r="N3" s="84"/>
      <c r="O3" s="84"/>
      <c r="P3" s="84"/>
      <c r="Q3" s="110"/>
    </row>
    <row r="4" ht="22" customHeight="1" spans="2:17">
      <c r="B4" s="9" t="s">
        <v>10</v>
      </c>
      <c r="C4" s="10"/>
      <c r="D4" s="10"/>
      <c r="E4" s="10" t="s">
        <v>11</v>
      </c>
      <c r="F4" s="10"/>
      <c r="G4" s="10"/>
      <c r="H4" s="10"/>
      <c r="I4" s="10"/>
      <c r="J4" s="10"/>
      <c r="K4" s="85" t="s">
        <v>12</v>
      </c>
      <c r="L4" s="85"/>
      <c r="M4" s="85"/>
      <c r="N4" s="86" t="s">
        <v>13</v>
      </c>
      <c r="O4" s="87"/>
      <c r="P4" s="84"/>
      <c r="Q4" s="110"/>
    </row>
    <row r="5" ht="22" customHeight="1" spans="2:17">
      <c r="B5" s="9" t="s">
        <v>14</v>
      </c>
      <c r="C5" s="11"/>
      <c r="D5" s="11"/>
      <c r="E5" s="11"/>
      <c r="F5" s="11" t="s">
        <v>15</v>
      </c>
      <c r="G5" s="11"/>
      <c r="H5" s="11"/>
      <c r="I5" s="88" t="s">
        <v>16</v>
      </c>
      <c r="J5" s="88"/>
      <c r="K5" s="86" t="s">
        <v>17</v>
      </c>
      <c r="L5" s="84"/>
      <c r="M5" s="11" t="s">
        <v>18</v>
      </c>
      <c r="N5" s="10"/>
      <c r="O5" s="10"/>
      <c r="P5" s="10"/>
      <c r="Q5" s="111"/>
    </row>
    <row r="6" ht="22" customHeight="1" spans="2:17">
      <c r="B6" s="9" t="s">
        <v>19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2"/>
    </row>
    <row r="7" ht="10" customHeight="1" spans="2:17">
      <c r="B7" s="12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13"/>
    </row>
    <row r="8" ht="18" customHeight="1" spans="2:17">
      <c r="B8" s="14" t="s">
        <v>20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14"/>
    </row>
    <row r="9" ht="18" customHeight="1" spans="2:17">
      <c r="B9" s="16" t="s">
        <v>21</v>
      </c>
      <c r="C9" s="17" t="s">
        <v>22</v>
      </c>
      <c r="D9" s="17"/>
      <c r="E9" s="17" t="s">
        <v>23</v>
      </c>
      <c r="F9" s="18"/>
      <c r="G9" s="17" t="s">
        <v>24</v>
      </c>
      <c r="H9" s="17"/>
      <c r="I9" s="17"/>
      <c r="J9" s="17"/>
      <c r="K9" s="17"/>
      <c r="L9" s="17" t="s">
        <v>25</v>
      </c>
      <c r="M9" s="17"/>
      <c r="N9" s="17" t="s">
        <v>26</v>
      </c>
      <c r="O9" s="17"/>
      <c r="P9" s="17" t="s">
        <v>27</v>
      </c>
      <c r="Q9" s="115"/>
    </row>
    <row r="10" ht="20" customHeight="1" spans="2:17">
      <c r="B10" s="16"/>
      <c r="C10" s="19" t="s">
        <v>28</v>
      </c>
      <c r="D10" s="19"/>
      <c r="E10" s="149" t="s">
        <v>29</v>
      </c>
      <c r="F10" s="21"/>
      <c r="G10" s="20" t="s">
        <v>30</v>
      </c>
      <c r="H10" s="20"/>
      <c r="I10" s="20"/>
      <c r="J10" s="20"/>
      <c r="K10" s="20"/>
      <c r="L10" s="20" t="s">
        <v>31</v>
      </c>
      <c r="M10" s="20"/>
      <c r="N10" s="20" t="s">
        <v>32</v>
      </c>
      <c r="O10" s="20"/>
      <c r="P10" s="20" t="s">
        <v>33</v>
      </c>
      <c r="Q10" s="116"/>
    </row>
    <row r="11" ht="18" customHeight="1" spans="2:17">
      <c r="B11" s="16" t="s">
        <v>34</v>
      </c>
      <c r="C11" s="17" t="s">
        <v>22</v>
      </c>
      <c r="D11" s="17"/>
      <c r="E11" s="17" t="s">
        <v>23</v>
      </c>
      <c r="F11" s="18"/>
      <c r="G11" s="17" t="s">
        <v>24</v>
      </c>
      <c r="H11" s="17"/>
      <c r="I11" s="17"/>
      <c r="J11" s="17"/>
      <c r="K11" s="17"/>
      <c r="L11" s="17" t="s">
        <v>25</v>
      </c>
      <c r="M11" s="17"/>
      <c r="N11" s="17" t="s">
        <v>26</v>
      </c>
      <c r="O11" s="17"/>
      <c r="P11" s="17" t="s">
        <v>27</v>
      </c>
      <c r="Q11" s="115"/>
    </row>
    <row r="12" ht="20" customHeight="1" spans="2:17">
      <c r="B12" s="16"/>
      <c r="C12" s="19" t="s">
        <v>35</v>
      </c>
      <c r="D12" s="19"/>
      <c r="E12" s="149" t="s">
        <v>36</v>
      </c>
      <c r="F12" s="21"/>
      <c r="G12" s="20" t="s">
        <v>37</v>
      </c>
      <c r="H12" s="20"/>
      <c r="I12" s="20"/>
      <c r="J12" s="20"/>
      <c r="K12" s="20"/>
      <c r="L12" s="20" t="s">
        <v>38</v>
      </c>
      <c r="M12" s="20"/>
      <c r="N12" s="20" t="s">
        <v>39</v>
      </c>
      <c r="O12" s="20"/>
      <c r="P12" s="20" t="s">
        <v>40</v>
      </c>
      <c r="Q12" s="116"/>
    </row>
    <row r="13" ht="10" customHeight="1" spans="2:17">
      <c r="B13" s="22"/>
      <c r="C13" s="19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116"/>
    </row>
    <row r="14" ht="20" customHeight="1" spans="2:17">
      <c r="B14" s="134" t="s">
        <v>128</v>
      </c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15"/>
    </row>
    <row r="15" ht="20" customHeight="1" spans="2:17">
      <c r="B15" s="135">
        <v>190910000021</v>
      </c>
      <c r="C15" s="136"/>
      <c r="D15" s="31" t="s">
        <v>129</v>
      </c>
      <c r="E15" s="31"/>
      <c r="F15" s="31"/>
      <c r="G15" s="137" t="s">
        <v>130</v>
      </c>
      <c r="H15" s="137"/>
      <c r="I15" s="137"/>
      <c r="J15" s="137"/>
      <c r="K15" s="137"/>
      <c r="L15" s="137"/>
      <c r="M15" s="137"/>
      <c r="N15" s="137"/>
      <c r="O15" s="137"/>
      <c r="P15" s="137"/>
      <c r="Q15" s="117"/>
    </row>
    <row r="16" ht="20" customHeight="1" spans="2:17">
      <c r="B16" s="151" t="s">
        <v>131</v>
      </c>
      <c r="C16" s="31"/>
      <c r="D16" s="31" t="s">
        <v>132</v>
      </c>
      <c r="E16" s="31"/>
      <c r="F16" s="31"/>
      <c r="G16" s="137" t="s">
        <v>130</v>
      </c>
      <c r="H16" s="137"/>
      <c r="I16" s="137"/>
      <c r="J16" s="137"/>
      <c r="K16" s="137"/>
      <c r="L16" s="137"/>
      <c r="M16" s="137"/>
      <c r="N16" s="137"/>
      <c r="O16" s="137"/>
      <c r="P16" s="137"/>
      <c r="Q16" s="117"/>
    </row>
    <row r="17" ht="20" customHeight="1" spans="2:17">
      <c r="B17" s="151" t="s">
        <v>133</v>
      </c>
      <c r="C17" s="31"/>
      <c r="D17" s="31" t="s">
        <v>134</v>
      </c>
      <c r="E17" s="31"/>
      <c r="F17" s="31"/>
      <c r="G17" s="137" t="s">
        <v>135</v>
      </c>
      <c r="H17" s="137"/>
      <c r="I17" s="137"/>
      <c r="J17" s="137"/>
      <c r="K17" s="137"/>
      <c r="L17" s="137"/>
      <c r="M17" s="137"/>
      <c r="N17" s="137"/>
      <c r="O17" s="137"/>
      <c r="P17" s="137"/>
      <c r="Q17" s="117"/>
    </row>
    <row r="18" ht="20" customHeight="1" spans="2:17">
      <c r="B18" s="151" t="s">
        <v>136</v>
      </c>
      <c r="C18" s="31"/>
      <c r="D18" s="31" t="s">
        <v>137</v>
      </c>
      <c r="E18" s="31"/>
      <c r="F18" s="31"/>
      <c r="G18" s="137" t="s">
        <v>138</v>
      </c>
      <c r="H18" s="137"/>
      <c r="I18" s="137"/>
      <c r="J18" s="137"/>
      <c r="K18" s="137"/>
      <c r="L18" s="137"/>
      <c r="M18" s="137"/>
      <c r="N18" s="137"/>
      <c r="O18" s="137"/>
      <c r="P18" s="137"/>
      <c r="Q18" s="117"/>
    </row>
    <row r="19" ht="10" customHeight="1" spans="2:17">
      <c r="B19" s="37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120"/>
    </row>
    <row r="20" ht="15" customHeight="1" spans="2:17">
      <c r="B20" s="39" t="s">
        <v>42</v>
      </c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121"/>
    </row>
    <row r="21" ht="22" customHeight="1" spans="2:17">
      <c r="B21" s="41" t="s">
        <v>43</v>
      </c>
      <c r="C21" s="42"/>
      <c r="D21" s="42"/>
      <c r="E21" s="42" t="s">
        <v>44</v>
      </c>
      <c r="F21" s="42" t="s">
        <v>45</v>
      </c>
      <c r="G21" s="42"/>
      <c r="H21" s="42" t="s">
        <v>46</v>
      </c>
      <c r="I21" s="42"/>
      <c r="J21" s="42" t="s">
        <v>47</v>
      </c>
      <c r="K21" s="42"/>
      <c r="L21" s="42" t="s">
        <v>48</v>
      </c>
      <c r="M21" s="42" t="s">
        <v>49</v>
      </c>
      <c r="N21" s="92" t="s">
        <v>50</v>
      </c>
      <c r="O21" s="42" t="s">
        <v>51</v>
      </c>
      <c r="P21" s="42" t="s">
        <v>52</v>
      </c>
      <c r="Q21" s="122"/>
    </row>
    <row r="22" ht="20" customHeight="1" spans="2:17">
      <c r="B22" s="43" t="s">
        <v>53</v>
      </c>
      <c r="C22" s="44"/>
      <c r="D22" s="44"/>
      <c r="E22" s="45" t="s">
        <v>54</v>
      </c>
      <c r="F22" s="46">
        <v>43756.8541666667</v>
      </c>
      <c r="G22" s="46"/>
      <c r="H22" s="47" t="s">
        <v>55</v>
      </c>
      <c r="I22" s="47"/>
      <c r="J22" s="44" t="s">
        <v>56</v>
      </c>
      <c r="K22" s="44"/>
      <c r="L22" s="44" t="s">
        <v>57</v>
      </c>
      <c r="M22" s="44">
        <v>1</v>
      </c>
      <c r="N22" s="44">
        <v>1</v>
      </c>
      <c r="O22" s="44">
        <v>60</v>
      </c>
      <c r="P22" s="47" t="s">
        <v>58</v>
      </c>
      <c r="Q22" s="123"/>
    </row>
    <row r="23" ht="20" customHeight="1" spans="2:17">
      <c r="B23" s="43" t="s">
        <v>59</v>
      </c>
      <c r="C23" s="44"/>
      <c r="D23" s="44"/>
      <c r="E23" s="45" t="s">
        <v>60</v>
      </c>
      <c r="F23" s="46">
        <v>43756.8541666667</v>
      </c>
      <c r="G23" s="46"/>
      <c r="H23" s="47" t="s">
        <v>61</v>
      </c>
      <c r="I23" s="47"/>
      <c r="J23" s="44" t="s">
        <v>56</v>
      </c>
      <c r="K23" s="44"/>
      <c r="L23" s="44" t="s">
        <v>57</v>
      </c>
      <c r="M23" s="44">
        <v>1</v>
      </c>
      <c r="N23" s="44">
        <v>1</v>
      </c>
      <c r="O23" s="44">
        <v>50</v>
      </c>
      <c r="P23" s="47"/>
      <c r="Q23" s="123"/>
    </row>
    <row r="24" ht="20" customHeight="1" spans="2:17">
      <c r="B24" s="48" t="s">
        <v>62</v>
      </c>
      <c r="C24" s="44"/>
      <c r="D24" s="44"/>
      <c r="E24" s="44" t="s">
        <v>63</v>
      </c>
      <c r="F24" s="46">
        <v>43756.8541666667</v>
      </c>
      <c r="G24" s="46"/>
      <c r="H24" s="47" t="s">
        <v>64</v>
      </c>
      <c r="I24" s="47"/>
      <c r="J24" s="44" t="s">
        <v>56</v>
      </c>
      <c r="K24" s="44"/>
      <c r="L24" s="44" t="s">
        <v>57</v>
      </c>
      <c r="M24" s="44">
        <v>1</v>
      </c>
      <c r="N24" s="44">
        <v>1</v>
      </c>
      <c r="O24" s="44">
        <v>12</v>
      </c>
      <c r="P24" s="47"/>
      <c r="Q24" s="123"/>
    </row>
    <row r="25" ht="20" customHeight="1" spans="2:17">
      <c r="B25" s="48" t="s">
        <v>65</v>
      </c>
      <c r="C25" s="44"/>
      <c r="D25" s="44"/>
      <c r="E25" s="44" t="s">
        <v>66</v>
      </c>
      <c r="F25" s="46">
        <v>43756.8541666667</v>
      </c>
      <c r="G25" s="46"/>
      <c r="H25" s="47" t="s">
        <v>67</v>
      </c>
      <c r="I25" s="47"/>
      <c r="J25" s="44" t="s">
        <v>56</v>
      </c>
      <c r="K25" s="44"/>
      <c r="L25" s="44" t="s">
        <v>57</v>
      </c>
      <c r="M25" s="44">
        <v>1</v>
      </c>
      <c r="N25" s="44">
        <v>1</v>
      </c>
      <c r="O25" s="44">
        <v>23</v>
      </c>
      <c r="P25" s="47"/>
      <c r="Q25" s="123"/>
    </row>
    <row r="26" ht="20" customHeight="1" spans="2:17">
      <c r="B26" s="48" t="s">
        <v>53</v>
      </c>
      <c r="C26" s="44"/>
      <c r="D26" s="44"/>
      <c r="E26" s="44" t="s">
        <v>63</v>
      </c>
      <c r="F26" s="46">
        <v>43756.8541666667</v>
      </c>
      <c r="G26" s="46"/>
      <c r="H26" s="47" t="s">
        <v>55</v>
      </c>
      <c r="I26" s="47"/>
      <c r="J26" s="44" t="s">
        <v>56</v>
      </c>
      <c r="K26" s="44"/>
      <c r="L26" s="44" t="s">
        <v>57</v>
      </c>
      <c r="M26" s="44">
        <v>1</v>
      </c>
      <c r="N26" s="44">
        <v>1</v>
      </c>
      <c r="O26" s="44">
        <v>60</v>
      </c>
      <c r="P26" s="47"/>
      <c r="Q26" s="123"/>
    </row>
    <row r="27" ht="20" customHeight="1" spans="2:17">
      <c r="B27" s="48" t="s">
        <v>59</v>
      </c>
      <c r="C27" s="44"/>
      <c r="D27" s="44"/>
      <c r="E27" s="44" t="s">
        <v>66</v>
      </c>
      <c r="F27" s="46">
        <v>43756.8541666667</v>
      </c>
      <c r="G27" s="46"/>
      <c r="H27" s="47" t="s">
        <v>61</v>
      </c>
      <c r="I27" s="47"/>
      <c r="J27" s="44" t="s">
        <v>56</v>
      </c>
      <c r="K27" s="44"/>
      <c r="L27" s="44" t="s">
        <v>57</v>
      </c>
      <c r="M27" s="44">
        <v>1</v>
      </c>
      <c r="N27" s="44">
        <v>1</v>
      </c>
      <c r="O27" s="44">
        <v>50</v>
      </c>
      <c r="P27" s="47"/>
      <c r="Q27" s="123"/>
    </row>
    <row r="28" ht="20" customHeight="1" spans="2:17">
      <c r="B28" s="49" t="s">
        <v>68</v>
      </c>
      <c r="C28" s="50"/>
      <c r="D28" s="50"/>
      <c r="E28" s="50" t="s">
        <v>69</v>
      </c>
      <c r="F28" s="51">
        <v>43756.8541666667</v>
      </c>
      <c r="G28" s="51"/>
      <c r="H28" s="52" t="s">
        <v>64</v>
      </c>
      <c r="I28" s="52"/>
      <c r="J28" s="50" t="s">
        <v>70</v>
      </c>
      <c r="K28" s="50"/>
      <c r="L28" s="50" t="s">
        <v>71</v>
      </c>
      <c r="M28" s="50" t="s">
        <v>69</v>
      </c>
      <c r="N28" s="50" t="s">
        <v>69</v>
      </c>
      <c r="O28" s="50" t="s">
        <v>69</v>
      </c>
      <c r="P28" s="47"/>
      <c r="Q28" s="123"/>
    </row>
    <row r="29" ht="20" customHeight="1" spans="2:17">
      <c r="B29" s="49" t="s">
        <v>72</v>
      </c>
      <c r="C29" s="50"/>
      <c r="D29" s="50"/>
      <c r="E29" s="50" t="s">
        <v>69</v>
      </c>
      <c r="F29" s="51">
        <v>43756.8541666667</v>
      </c>
      <c r="G29" s="51"/>
      <c r="H29" s="52" t="s">
        <v>67</v>
      </c>
      <c r="I29" s="52"/>
      <c r="J29" s="50" t="s">
        <v>70</v>
      </c>
      <c r="K29" s="50"/>
      <c r="L29" s="50" t="s">
        <v>71</v>
      </c>
      <c r="M29" s="50" t="s">
        <v>69</v>
      </c>
      <c r="N29" s="50" t="s">
        <v>69</v>
      </c>
      <c r="O29" s="50" t="s">
        <v>69</v>
      </c>
      <c r="P29" s="47"/>
      <c r="Q29" s="123"/>
    </row>
    <row r="30" ht="20" customHeight="1" spans="2:17">
      <c r="B30" s="49" t="s">
        <v>72</v>
      </c>
      <c r="C30" s="50"/>
      <c r="D30" s="50"/>
      <c r="E30" s="50" t="s">
        <v>69</v>
      </c>
      <c r="F30" s="51">
        <v>43756.8541666667</v>
      </c>
      <c r="G30" s="51"/>
      <c r="H30" s="52" t="s">
        <v>67</v>
      </c>
      <c r="I30" s="52"/>
      <c r="J30" s="50" t="s">
        <v>70</v>
      </c>
      <c r="K30" s="50"/>
      <c r="L30" s="50" t="s">
        <v>71</v>
      </c>
      <c r="M30" s="50" t="s">
        <v>69</v>
      </c>
      <c r="N30" s="50" t="s">
        <v>69</v>
      </c>
      <c r="O30" s="50" t="s">
        <v>69</v>
      </c>
      <c r="P30" s="47"/>
      <c r="Q30" s="123"/>
    </row>
    <row r="31" ht="20" customHeight="1" spans="2:17">
      <c r="B31" s="53" t="s">
        <v>73</v>
      </c>
      <c r="C31" s="54"/>
      <c r="D31" s="54"/>
      <c r="E31" s="54" t="s">
        <v>74</v>
      </c>
      <c r="F31" s="54" t="s">
        <v>75</v>
      </c>
      <c r="G31" s="54"/>
      <c r="H31" s="55" t="s">
        <v>76</v>
      </c>
      <c r="I31" s="55"/>
      <c r="J31" s="54" t="s">
        <v>77</v>
      </c>
      <c r="K31" s="54"/>
      <c r="L31" s="54" t="s">
        <v>78</v>
      </c>
      <c r="M31" s="54" t="s">
        <v>74</v>
      </c>
      <c r="N31" s="54" t="s">
        <v>74</v>
      </c>
      <c r="O31" s="54" t="s">
        <v>74</v>
      </c>
      <c r="P31" s="47"/>
      <c r="Q31" s="123"/>
    </row>
    <row r="32" ht="20" customHeight="1" spans="2:17">
      <c r="B32" s="138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1">
        <f t="shared" ref="M32:O32" si="0">SUM(M22:M31)</f>
        <v>6</v>
      </c>
      <c r="N32" s="31">
        <f t="shared" si="0"/>
        <v>6</v>
      </c>
      <c r="O32" s="60">
        <f t="shared" si="0"/>
        <v>255</v>
      </c>
      <c r="P32" s="60"/>
      <c r="Q32" s="124"/>
    </row>
    <row r="33" ht="10" customHeight="1" spans="2:17">
      <c r="B33" s="37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120"/>
    </row>
    <row r="34" ht="15" customHeight="1" spans="2:17">
      <c r="B34" s="39" t="s">
        <v>79</v>
      </c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121"/>
    </row>
    <row r="35" ht="22" customHeight="1" spans="2:17">
      <c r="B35" s="56" t="s">
        <v>43</v>
      </c>
      <c r="C35" s="57"/>
      <c r="D35" s="57"/>
      <c r="E35" s="57" t="s">
        <v>80</v>
      </c>
      <c r="F35" s="57"/>
      <c r="G35" s="57" t="s">
        <v>81</v>
      </c>
      <c r="H35" s="58" t="s">
        <v>82</v>
      </c>
      <c r="I35" s="57" t="s">
        <v>46</v>
      </c>
      <c r="J35" s="57"/>
      <c r="K35" s="57" t="s">
        <v>48</v>
      </c>
      <c r="L35" s="57" t="s">
        <v>83</v>
      </c>
      <c r="M35" s="57"/>
      <c r="N35" s="57" t="s">
        <v>84</v>
      </c>
      <c r="O35" s="57" t="s">
        <v>85</v>
      </c>
      <c r="P35" s="57" t="s">
        <v>86</v>
      </c>
      <c r="Q35" s="125" t="s">
        <v>87</v>
      </c>
    </row>
    <row r="36" ht="20" customHeight="1" spans="2:17">
      <c r="B36" s="59" t="s">
        <v>88</v>
      </c>
      <c r="C36" s="60"/>
      <c r="D36" s="60"/>
      <c r="E36" s="150" t="s">
        <v>89</v>
      </c>
      <c r="F36" s="31"/>
      <c r="G36" s="61" t="s">
        <v>90</v>
      </c>
      <c r="H36" s="62" t="s">
        <v>91</v>
      </c>
      <c r="I36" s="60" t="s">
        <v>55</v>
      </c>
      <c r="J36" s="60"/>
      <c r="K36" s="31" t="s">
        <v>57</v>
      </c>
      <c r="L36" s="31" t="s">
        <v>92</v>
      </c>
      <c r="M36" s="31"/>
      <c r="N36" s="31">
        <v>1</v>
      </c>
      <c r="O36" s="31">
        <v>0.0086</v>
      </c>
      <c r="P36" s="31">
        <v>1.43</v>
      </c>
      <c r="Q36" s="126">
        <v>100000</v>
      </c>
    </row>
    <row r="37" ht="20" customHeight="1" spans="2:17">
      <c r="B37" s="34" t="s">
        <v>59</v>
      </c>
      <c r="C37" s="31"/>
      <c r="D37" s="31"/>
      <c r="E37" s="150" t="s">
        <v>93</v>
      </c>
      <c r="F37" s="31"/>
      <c r="G37" s="61" t="s">
        <v>94</v>
      </c>
      <c r="H37" s="62" t="s">
        <v>91</v>
      </c>
      <c r="I37" s="60" t="s">
        <v>61</v>
      </c>
      <c r="J37" s="60"/>
      <c r="K37" s="31" t="s">
        <v>57</v>
      </c>
      <c r="L37" s="31" t="s">
        <v>95</v>
      </c>
      <c r="M37" s="31"/>
      <c r="N37" s="31">
        <v>1</v>
      </c>
      <c r="O37" s="31">
        <v>0.0019</v>
      </c>
      <c r="P37" s="31">
        <v>0.32</v>
      </c>
      <c r="Q37" s="127">
        <v>0.12</v>
      </c>
    </row>
    <row r="38" ht="20" customHeight="1" spans="2:17">
      <c r="B38" s="34" t="s">
        <v>62</v>
      </c>
      <c r="C38" s="31"/>
      <c r="D38" s="31"/>
      <c r="E38" s="150" t="s">
        <v>96</v>
      </c>
      <c r="F38" s="31"/>
      <c r="G38" s="61" t="s">
        <v>97</v>
      </c>
      <c r="H38" s="62" t="s">
        <v>91</v>
      </c>
      <c r="I38" s="60" t="s">
        <v>64</v>
      </c>
      <c r="J38" s="60"/>
      <c r="K38" s="31" t="s">
        <v>57</v>
      </c>
      <c r="L38" s="31" t="s">
        <v>98</v>
      </c>
      <c r="M38" s="31"/>
      <c r="N38" s="31">
        <v>1</v>
      </c>
      <c r="O38" s="31">
        <v>0.0052</v>
      </c>
      <c r="P38" s="31">
        <v>0.87</v>
      </c>
      <c r="Q38" s="127">
        <v>0.7</v>
      </c>
    </row>
    <row r="39" ht="20" customHeight="1" spans="2:17">
      <c r="B39" s="34" t="s">
        <v>65</v>
      </c>
      <c r="C39" s="31"/>
      <c r="D39" s="31"/>
      <c r="E39" s="150" t="s">
        <v>99</v>
      </c>
      <c r="F39" s="31"/>
      <c r="G39" s="61" t="s">
        <v>90</v>
      </c>
      <c r="H39" s="62" t="s">
        <v>91</v>
      </c>
      <c r="I39" s="60" t="s">
        <v>67</v>
      </c>
      <c r="J39" s="60"/>
      <c r="K39" s="93" t="s">
        <v>71</v>
      </c>
      <c r="L39" s="31" t="s">
        <v>100</v>
      </c>
      <c r="M39" s="31"/>
      <c r="N39" s="31">
        <v>1</v>
      </c>
      <c r="O39" s="31">
        <v>0.0245</v>
      </c>
      <c r="P39" s="31">
        <v>4.08</v>
      </c>
      <c r="Q39" s="127">
        <v>3.62</v>
      </c>
    </row>
    <row r="40" ht="20" customHeight="1" spans="2:17">
      <c r="B40" s="63"/>
      <c r="C40" s="64"/>
      <c r="D40" s="64"/>
      <c r="E40" s="64"/>
      <c r="F40" s="64"/>
      <c r="G40" s="65"/>
      <c r="H40" s="65"/>
      <c r="I40" s="65"/>
      <c r="J40" s="65"/>
      <c r="K40" s="65"/>
      <c r="L40" s="65"/>
      <c r="M40" s="65"/>
      <c r="N40" s="65">
        <f>SUM(N36:N39)</f>
        <v>4</v>
      </c>
      <c r="O40" s="94">
        <v>0.057</v>
      </c>
      <c r="P40" s="94">
        <v>16789</v>
      </c>
      <c r="Q40" s="128">
        <f>SUM(Q36:Q39)</f>
        <v>100004.44</v>
      </c>
    </row>
    <row r="41" ht="10" customHeight="1" spans="2:17">
      <c r="B41" s="37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120"/>
    </row>
    <row r="42" ht="15" customHeight="1" spans="2:17">
      <c r="B42" s="66" t="s">
        <v>101</v>
      </c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129"/>
    </row>
    <row r="43" ht="20" customHeight="1" spans="2:17">
      <c r="B43" s="68" t="s">
        <v>102</v>
      </c>
      <c r="C43" s="69" t="s">
        <v>103</v>
      </c>
      <c r="D43" s="70"/>
      <c r="E43" s="69" t="s">
        <v>104</v>
      </c>
      <c r="F43" s="70"/>
      <c r="G43" s="69" t="s">
        <v>105</v>
      </c>
      <c r="H43" s="69" t="s">
        <v>106</v>
      </c>
      <c r="I43" s="70"/>
      <c r="J43" s="69" t="s">
        <v>107</v>
      </c>
      <c r="K43" s="70"/>
      <c r="L43" s="95" t="s">
        <v>108</v>
      </c>
      <c r="M43" s="96"/>
      <c r="N43" s="97" t="s">
        <v>109</v>
      </c>
      <c r="O43" s="98"/>
      <c r="P43" s="97" t="s">
        <v>110</v>
      </c>
      <c r="Q43" s="130"/>
    </row>
    <row r="44" ht="20" customHeight="1" spans="2:17">
      <c r="B44" s="59">
        <v>1</v>
      </c>
      <c r="C44" s="60" t="s">
        <v>111</v>
      </c>
      <c r="D44" s="60"/>
      <c r="E44" s="71">
        <v>8.6</v>
      </c>
      <c r="F44" s="71"/>
      <c r="G44" s="71">
        <v>1</v>
      </c>
      <c r="H44" s="71">
        <v>8.6</v>
      </c>
      <c r="I44" s="71"/>
      <c r="J44" s="60" t="s">
        <v>35</v>
      </c>
      <c r="K44" s="60"/>
      <c r="L44" s="99">
        <v>43756.8541666667</v>
      </c>
      <c r="M44" s="99"/>
      <c r="N44" s="100" t="s">
        <v>112</v>
      </c>
      <c r="O44" s="101"/>
      <c r="P44" s="27" t="s">
        <v>113</v>
      </c>
      <c r="Q44" s="127"/>
    </row>
    <row r="45" ht="20" customHeight="1" spans="2:17">
      <c r="B45" s="59">
        <v>2</v>
      </c>
      <c r="C45" s="60" t="s">
        <v>114</v>
      </c>
      <c r="D45" s="60"/>
      <c r="E45" s="71">
        <v>7.9</v>
      </c>
      <c r="F45" s="71"/>
      <c r="G45" s="71">
        <v>20</v>
      </c>
      <c r="H45" s="71">
        <v>158</v>
      </c>
      <c r="I45" s="71"/>
      <c r="J45" s="60" t="s">
        <v>35</v>
      </c>
      <c r="K45" s="60"/>
      <c r="L45" s="99">
        <v>43756.8541666667</v>
      </c>
      <c r="M45" s="99"/>
      <c r="N45" s="101"/>
      <c r="O45" s="101"/>
      <c r="P45" s="28"/>
      <c r="Q45" s="127"/>
    </row>
    <row r="46" ht="20" customHeight="1" spans="2:17">
      <c r="B46" s="59">
        <v>3</v>
      </c>
      <c r="C46" s="60" t="s">
        <v>115</v>
      </c>
      <c r="D46" s="60"/>
      <c r="E46" s="71">
        <v>100</v>
      </c>
      <c r="F46" s="71"/>
      <c r="G46" s="71">
        <v>1</v>
      </c>
      <c r="H46" s="71">
        <v>-100</v>
      </c>
      <c r="I46" s="71"/>
      <c r="J46" s="60" t="s">
        <v>35</v>
      </c>
      <c r="K46" s="60"/>
      <c r="L46" s="99">
        <v>43756.8541666667</v>
      </c>
      <c r="M46" s="99"/>
      <c r="N46" s="101"/>
      <c r="O46" s="101"/>
      <c r="P46" s="28"/>
      <c r="Q46" s="127"/>
    </row>
    <row r="47" ht="20" customHeight="1" spans="2:17">
      <c r="B47" s="59">
        <v>4</v>
      </c>
      <c r="C47" s="60" t="s">
        <v>116</v>
      </c>
      <c r="D47" s="60"/>
      <c r="E47" s="71">
        <v>300</v>
      </c>
      <c r="F47" s="71"/>
      <c r="G47" s="71">
        <v>1</v>
      </c>
      <c r="H47" s="71">
        <v>300</v>
      </c>
      <c r="I47" s="71"/>
      <c r="J47" s="60" t="s">
        <v>35</v>
      </c>
      <c r="K47" s="60"/>
      <c r="L47" s="99">
        <v>43756.8541666667</v>
      </c>
      <c r="M47" s="99"/>
      <c r="N47" s="101"/>
      <c r="O47" s="101"/>
      <c r="P47" s="28"/>
      <c r="Q47" s="127"/>
    </row>
    <row r="48" ht="20" customHeight="1" spans="2:17">
      <c r="B48" s="59">
        <v>5</v>
      </c>
      <c r="C48" s="60" t="s">
        <v>117</v>
      </c>
      <c r="D48" s="60"/>
      <c r="E48" s="71">
        <v>39</v>
      </c>
      <c r="F48" s="71"/>
      <c r="G48" s="71">
        <v>1</v>
      </c>
      <c r="H48" s="71">
        <v>39</v>
      </c>
      <c r="I48" s="71"/>
      <c r="J48" s="60" t="s">
        <v>35</v>
      </c>
      <c r="K48" s="60"/>
      <c r="L48" s="99">
        <v>43756.8541666667</v>
      </c>
      <c r="M48" s="99"/>
      <c r="N48" s="101"/>
      <c r="O48" s="101"/>
      <c r="P48" s="28"/>
      <c r="Q48" s="127"/>
    </row>
    <row r="49" ht="20" customHeight="1" spans="2:17">
      <c r="B49" s="59">
        <v>6</v>
      </c>
      <c r="C49" s="60" t="s">
        <v>118</v>
      </c>
      <c r="D49" s="60"/>
      <c r="E49" s="71">
        <v>0</v>
      </c>
      <c r="F49" s="71"/>
      <c r="G49" s="71">
        <v>0</v>
      </c>
      <c r="H49" s="71">
        <v>0</v>
      </c>
      <c r="I49" s="71"/>
      <c r="J49" s="60" t="s">
        <v>35</v>
      </c>
      <c r="K49" s="60"/>
      <c r="L49" s="99">
        <v>43756.8541666667</v>
      </c>
      <c r="M49" s="99"/>
      <c r="N49" s="101"/>
      <c r="O49" s="101"/>
      <c r="P49" s="28"/>
      <c r="Q49" s="127"/>
    </row>
    <row r="50" ht="20" customHeight="1" spans="2:17">
      <c r="B50" s="72"/>
      <c r="C50" s="73"/>
      <c r="D50" s="73"/>
      <c r="E50" s="73"/>
      <c r="F50" s="73"/>
      <c r="G50" s="74" t="s">
        <v>119</v>
      </c>
      <c r="H50" s="75">
        <v>405.6</v>
      </c>
      <c r="I50" s="75"/>
      <c r="J50" s="102"/>
      <c r="K50" s="102"/>
      <c r="L50" s="102"/>
      <c r="M50" s="103"/>
      <c r="N50" s="102"/>
      <c r="O50" s="104"/>
      <c r="P50" s="104"/>
      <c r="Q50" s="131"/>
    </row>
    <row r="51" ht="20" customHeight="1" spans="2:17">
      <c r="B51" s="76"/>
      <c r="C51" s="77"/>
      <c r="D51" s="78" t="s">
        <v>139</v>
      </c>
      <c r="E51" s="78"/>
      <c r="F51" s="74" t="s">
        <v>121</v>
      </c>
      <c r="G51" s="79"/>
      <c r="H51" s="80">
        <v>41786.4</v>
      </c>
      <c r="I51" s="80"/>
      <c r="J51" s="105" t="s">
        <v>122</v>
      </c>
      <c r="K51" s="105"/>
      <c r="L51" s="106" t="s">
        <v>123</v>
      </c>
      <c r="M51" s="106"/>
      <c r="N51" s="106"/>
      <c r="O51" s="107" t="s">
        <v>124</v>
      </c>
      <c r="P51" s="107" t="s">
        <v>125</v>
      </c>
      <c r="Q51" s="132" t="s">
        <v>126</v>
      </c>
    </row>
    <row r="52" ht="24" customHeight="1" spans="2:17">
      <c r="B52" s="81" t="s">
        <v>127</v>
      </c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133"/>
    </row>
  </sheetData>
  <mergeCells count="187">
    <mergeCell ref="B1:Q1"/>
    <mergeCell ref="B2:C2"/>
    <mergeCell ref="E2:F2"/>
    <mergeCell ref="G2:H2"/>
    <mergeCell ref="P2:Q2"/>
    <mergeCell ref="B3:D3"/>
    <mergeCell ref="E3:F3"/>
    <mergeCell ref="G3:H3"/>
    <mergeCell ref="I3:J3"/>
    <mergeCell ref="K3:M3"/>
    <mergeCell ref="B4:D4"/>
    <mergeCell ref="E4:J4"/>
    <mergeCell ref="K4:M4"/>
    <mergeCell ref="B5:E5"/>
    <mergeCell ref="F5:H5"/>
    <mergeCell ref="I5:J5"/>
    <mergeCell ref="M5:Q5"/>
    <mergeCell ref="B6:Q6"/>
    <mergeCell ref="B7:Q7"/>
    <mergeCell ref="B8:Q8"/>
    <mergeCell ref="C9:D9"/>
    <mergeCell ref="E9:F9"/>
    <mergeCell ref="G9:K9"/>
    <mergeCell ref="L9:M9"/>
    <mergeCell ref="N9:O9"/>
    <mergeCell ref="P9:Q9"/>
    <mergeCell ref="C10:D10"/>
    <mergeCell ref="E10:F10"/>
    <mergeCell ref="G10:K10"/>
    <mergeCell ref="L10:M10"/>
    <mergeCell ref="N10:O10"/>
    <mergeCell ref="P10:Q10"/>
    <mergeCell ref="C11:D11"/>
    <mergeCell ref="E11:F11"/>
    <mergeCell ref="G11:K11"/>
    <mergeCell ref="L11:M11"/>
    <mergeCell ref="N11:O11"/>
    <mergeCell ref="P11:Q11"/>
    <mergeCell ref="C12:D12"/>
    <mergeCell ref="E12:F12"/>
    <mergeCell ref="G12:K12"/>
    <mergeCell ref="L12:M12"/>
    <mergeCell ref="N12:O12"/>
    <mergeCell ref="P12:Q12"/>
    <mergeCell ref="B14:Q14"/>
    <mergeCell ref="B15:C15"/>
    <mergeCell ref="D15:F15"/>
    <mergeCell ref="G15:Q15"/>
    <mergeCell ref="B16:C16"/>
    <mergeCell ref="D16:F16"/>
    <mergeCell ref="G16:Q16"/>
    <mergeCell ref="B17:C17"/>
    <mergeCell ref="D17:F17"/>
    <mergeCell ref="G17:Q17"/>
    <mergeCell ref="B18:C18"/>
    <mergeCell ref="D18:F18"/>
    <mergeCell ref="G18:Q18"/>
    <mergeCell ref="B19:Q19"/>
    <mergeCell ref="B20:Q20"/>
    <mergeCell ref="B21:D21"/>
    <mergeCell ref="F21:G21"/>
    <mergeCell ref="H21:I21"/>
    <mergeCell ref="J21:K21"/>
    <mergeCell ref="P21:Q21"/>
    <mergeCell ref="B22:D22"/>
    <mergeCell ref="F22:G22"/>
    <mergeCell ref="H22:I22"/>
    <mergeCell ref="J22:K22"/>
    <mergeCell ref="P22:Q22"/>
    <mergeCell ref="B23:D23"/>
    <mergeCell ref="F23:G23"/>
    <mergeCell ref="H23:I23"/>
    <mergeCell ref="J23:K23"/>
    <mergeCell ref="P23:Q23"/>
    <mergeCell ref="B24:D24"/>
    <mergeCell ref="F24:G24"/>
    <mergeCell ref="H24:I24"/>
    <mergeCell ref="J24:K24"/>
    <mergeCell ref="P24:Q24"/>
    <mergeCell ref="B25:D25"/>
    <mergeCell ref="F25:G25"/>
    <mergeCell ref="H25:I25"/>
    <mergeCell ref="J25:K25"/>
    <mergeCell ref="P25:Q25"/>
    <mergeCell ref="B26:D26"/>
    <mergeCell ref="F26:G26"/>
    <mergeCell ref="H26:I26"/>
    <mergeCell ref="J26:K26"/>
    <mergeCell ref="P26:Q26"/>
    <mergeCell ref="B27:D27"/>
    <mergeCell ref="F27:G27"/>
    <mergeCell ref="H27:I27"/>
    <mergeCell ref="J27:K27"/>
    <mergeCell ref="P27:Q27"/>
    <mergeCell ref="B28:D28"/>
    <mergeCell ref="F28:G28"/>
    <mergeCell ref="H28:I28"/>
    <mergeCell ref="J28:K28"/>
    <mergeCell ref="P28:Q28"/>
    <mergeCell ref="B29:D29"/>
    <mergeCell ref="F29:G29"/>
    <mergeCell ref="H29:I29"/>
    <mergeCell ref="J29:K29"/>
    <mergeCell ref="P29:Q29"/>
    <mergeCell ref="B30:D30"/>
    <mergeCell ref="F30:G30"/>
    <mergeCell ref="H30:I30"/>
    <mergeCell ref="J30:K30"/>
    <mergeCell ref="P30:Q30"/>
    <mergeCell ref="B31:D31"/>
    <mergeCell ref="F31:G31"/>
    <mergeCell ref="H31:I31"/>
    <mergeCell ref="J31:K31"/>
    <mergeCell ref="P31:Q31"/>
    <mergeCell ref="P32:Q32"/>
    <mergeCell ref="B33:Q33"/>
    <mergeCell ref="B34:Q34"/>
    <mergeCell ref="B35:D35"/>
    <mergeCell ref="E35:F35"/>
    <mergeCell ref="I35:J35"/>
    <mergeCell ref="L35:M35"/>
    <mergeCell ref="B36:D36"/>
    <mergeCell ref="E36:F36"/>
    <mergeCell ref="I36:J36"/>
    <mergeCell ref="L36:M36"/>
    <mergeCell ref="B37:D37"/>
    <mergeCell ref="E37:F37"/>
    <mergeCell ref="I37:J37"/>
    <mergeCell ref="L37:M37"/>
    <mergeCell ref="B38:D38"/>
    <mergeCell ref="E38:F38"/>
    <mergeCell ref="I38:J38"/>
    <mergeCell ref="L38:M38"/>
    <mergeCell ref="B39:D39"/>
    <mergeCell ref="E39:F39"/>
    <mergeCell ref="I39:J39"/>
    <mergeCell ref="L39:M39"/>
    <mergeCell ref="B41:Q41"/>
    <mergeCell ref="B42:Q42"/>
    <mergeCell ref="C43:D43"/>
    <mergeCell ref="E43:F43"/>
    <mergeCell ref="H43:I43"/>
    <mergeCell ref="J43:K43"/>
    <mergeCell ref="L43:M43"/>
    <mergeCell ref="N43:O43"/>
    <mergeCell ref="P43:Q43"/>
    <mergeCell ref="C44:D44"/>
    <mergeCell ref="E44:F44"/>
    <mergeCell ref="H44:I44"/>
    <mergeCell ref="J44:K44"/>
    <mergeCell ref="L44:M44"/>
    <mergeCell ref="C45:D45"/>
    <mergeCell ref="E45:F45"/>
    <mergeCell ref="H45:I45"/>
    <mergeCell ref="J45:K45"/>
    <mergeCell ref="L45:M45"/>
    <mergeCell ref="C46:D46"/>
    <mergeCell ref="E46:F46"/>
    <mergeCell ref="H46:I46"/>
    <mergeCell ref="J46:K46"/>
    <mergeCell ref="L46:M46"/>
    <mergeCell ref="C47:D47"/>
    <mergeCell ref="E47:F47"/>
    <mergeCell ref="H47:I47"/>
    <mergeCell ref="J47:K47"/>
    <mergeCell ref="L47:M47"/>
    <mergeCell ref="C48:D48"/>
    <mergeCell ref="E48:F48"/>
    <mergeCell ref="H48:I48"/>
    <mergeCell ref="J48:K48"/>
    <mergeCell ref="L48:M48"/>
    <mergeCell ref="C49:D49"/>
    <mergeCell ref="E49:F49"/>
    <mergeCell ref="H49:I49"/>
    <mergeCell ref="J49:K49"/>
    <mergeCell ref="L49:M49"/>
    <mergeCell ref="H50:I50"/>
    <mergeCell ref="D51:E51"/>
    <mergeCell ref="F51:G51"/>
    <mergeCell ref="H51:I51"/>
    <mergeCell ref="J51:K51"/>
    <mergeCell ref="L51:N51"/>
    <mergeCell ref="B52:Q52"/>
    <mergeCell ref="B9:B10"/>
    <mergeCell ref="B11:B12"/>
    <mergeCell ref="N44:O49"/>
    <mergeCell ref="P44:Q49"/>
  </mergeCells>
  <pageMargins left="1.10208333333333" right="0.393055555555556" top="0" bottom="0" header="0.5" footer="0.5"/>
  <pageSetup paperSize="5" orientation="landscape" horizontalDpi="600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Q62"/>
  <sheetViews>
    <sheetView workbookViewId="0">
      <selection activeCell="P54" sqref="P54:Q59"/>
    </sheetView>
  </sheetViews>
  <sheetFormatPr defaultColWidth="9" defaultRowHeight="12"/>
  <cols>
    <col min="1" max="1" width="9" style="1"/>
    <col min="2" max="17" width="10.625" style="1" customWidth="1"/>
    <col min="18" max="34" width="9" style="2"/>
    <col min="35" max="16384" width="9" style="1"/>
  </cols>
  <sheetData>
    <row r="1" ht="24" customHeight="1" spans="2:17">
      <c r="B1" s="3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108"/>
    </row>
    <row r="2" ht="22" customHeight="1" spans="2:17">
      <c r="B2" s="5" t="s">
        <v>1</v>
      </c>
      <c r="C2" s="6"/>
      <c r="D2" s="7" t="s">
        <v>2</v>
      </c>
      <c r="E2" s="8" t="s">
        <v>3</v>
      </c>
      <c r="F2" s="6"/>
      <c r="G2" s="6" t="s">
        <v>4</v>
      </c>
      <c r="H2" s="6"/>
      <c r="I2" s="83"/>
      <c r="J2" s="83"/>
      <c r="K2" s="83"/>
      <c r="L2" s="83"/>
      <c r="M2" s="83"/>
      <c r="N2" s="83"/>
      <c r="O2" s="83"/>
      <c r="P2" s="6"/>
      <c r="Q2" s="109"/>
    </row>
    <row r="3" ht="22" customHeight="1" spans="2:17">
      <c r="B3" s="9" t="s">
        <v>5</v>
      </c>
      <c r="C3" s="10"/>
      <c r="D3" s="10"/>
      <c r="E3" s="10" t="s">
        <v>6</v>
      </c>
      <c r="F3" s="10"/>
      <c r="G3" s="10" t="s">
        <v>7</v>
      </c>
      <c r="H3" s="10"/>
      <c r="I3" s="10" t="s">
        <v>8</v>
      </c>
      <c r="J3" s="10"/>
      <c r="K3" s="10" t="s">
        <v>9</v>
      </c>
      <c r="L3" s="10"/>
      <c r="M3" s="10"/>
      <c r="N3" s="84"/>
      <c r="O3" s="84"/>
      <c r="P3" s="84"/>
      <c r="Q3" s="110"/>
    </row>
    <row r="4" ht="22" customHeight="1" spans="2:17">
      <c r="B4" s="9" t="s">
        <v>10</v>
      </c>
      <c r="C4" s="10"/>
      <c r="D4" s="10"/>
      <c r="E4" s="10" t="s">
        <v>11</v>
      </c>
      <c r="F4" s="10"/>
      <c r="G4" s="10"/>
      <c r="H4" s="10"/>
      <c r="I4" s="10"/>
      <c r="J4" s="10"/>
      <c r="K4" s="85" t="s">
        <v>12</v>
      </c>
      <c r="L4" s="85"/>
      <c r="M4" s="85"/>
      <c r="N4" s="86" t="s">
        <v>13</v>
      </c>
      <c r="O4" s="87"/>
      <c r="P4" s="84"/>
      <c r="Q4" s="110"/>
    </row>
    <row r="5" ht="22" customHeight="1" spans="2:17">
      <c r="B5" s="9" t="s">
        <v>14</v>
      </c>
      <c r="C5" s="11"/>
      <c r="D5" s="11"/>
      <c r="E5" s="11"/>
      <c r="F5" s="11" t="s">
        <v>15</v>
      </c>
      <c r="G5" s="11"/>
      <c r="H5" s="11"/>
      <c r="I5" s="88" t="s">
        <v>16</v>
      </c>
      <c r="J5" s="88"/>
      <c r="K5" s="86" t="s">
        <v>17</v>
      </c>
      <c r="L5" s="84"/>
      <c r="M5" s="11" t="s">
        <v>18</v>
      </c>
      <c r="N5" s="10"/>
      <c r="O5" s="10"/>
      <c r="P5" s="10"/>
      <c r="Q5" s="111"/>
    </row>
    <row r="6" ht="22" customHeight="1" spans="2:17">
      <c r="B6" s="9" t="s">
        <v>19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2"/>
    </row>
    <row r="7" ht="10" customHeight="1" spans="2:17">
      <c r="B7" s="12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13"/>
    </row>
    <row r="8" ht="18" customHeight="1" spans="2:17">
      <c r="B8" s="14" t="s">
        <v>20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14"/>
    </row>
    <row r="9" ht="18" customHeight="1" spans="2:17">
      <c r="B9" s="16" t="s">
        <v>21</v>
      </c>
      <c r="C9" s="17" t="s">
        <v>22</v>
      </c>
      <c r="D9" s="17"/>
      <c r="E9" s="17" t="s">
        <v>23</v>
      </c>
      <c r="F9" s="18"/>
      <c r="G9" s="17" t="s">
        <v>24</v>
      </c>
      <c r="H9" s="17"/>
      <c r="I9" s="17"/>
      <c r="J9" s="17"/>
      <c r="K9" s="17"/>
      <c r="L9" s="17" t="s">
        <v>25</v>
      </c>
      <c r="M9" s="17"/>
      <c r="N9" s="17" t="s">
        <v>26</v>
      </c>
      <c r="O9" s="17"/>
      <c r="P9" s="17" t="s">
        <v>27</v>
      </c>
      <c r="Q9" s="115"/>
    </row>
    <row r="10" ht="20" customHeight="1" spans="2:17">
      <c r="B10" s="16"/>
      <c r="C10" s="19" t="s">
        <v>28</v>
      </c>
      <c r="D10" s="19"/>
      <c r="E10" s="149" t="s">
        <v>29</v>
      </c>
      <c r="F10" s="21"/>
      <c r="G10" s="20" t="s">
        <v>30</v>
      </c>
      <c r="H10" s="20"/>
      <c r="I10" s="20"/>
      <c r="J10" s="20"/>
      <c r="K10" s="20"/>
      <c r="L10" s="20" t="s">
        <v>31</v>
      </c>
      <c r="M10" s="20"/>
      <c r="N10" s="20" t="s">
        <v>32</v>
      </c>
      <c r="O10" s="20"/>
      <c r="P10" s="20" t="s">
        <v>33</v>
      </c>
      <c r="Q10" s="116"/>
    </row>
    <row r="11" ht="18" customHeight="1" spans="2:17">
      <c r="B11" s="16" t="s">
        <v>34</v>
      </c>
      <c r="C11" s="17" t="s">
        <v>22</v>
      </c>
      <c r="D11" s="17"/>
      <c r="E11" s="17" t="s">
        <v>23</v>
      </c>
      <c r="F11" s="18"/>
      <c r="G11" s="17" t="s">
        <v>24</v>
      </c>
      <c r="H11" s="17"/>
      <c r="I11" s="17"/>
      <c r="J11" s="17"/>
      <c r="K11" s="17"/>
      <c r="L11" s="17" t="s">
        <v>25</v>
      </c>
      <c r="M11" s="17"/>
      <c r="N11" s="17" t="s">
        <v>26</v>
      </c>
      <c r="O11" s="17"/>
      <c r="P11" s="17" t="s">
        <v>27</v>
      </c>
      <c r="Q11" s="115"/>
    </row>
    <row r="12" ht="20" customHeight="1" spans="2:17">
      <c r="B12" s="16"/>
      <c r="C12" s="19" t="s">
        <v>35</v>
      </c>
      <c r="D12" s="19"/>
      <c r="E12" s="149" t="s">
        <v>36</v>
      </c>
      <c r="F12" s="21"/>
      <c r="G12" s="20" t="s">
        <v>37</v>
      </c>
      <c r="H12" s="20"/>
      <c r="I12" s="20"/>
      <c r="J12" s="20"/>
      <c r="K12" s="20"/>
      <c r="L12" s="20" t="s">
        <v>38</v>
      </c>
      <c r="M12" s="20"/>
      <c r="N12" s="20" t="s">
        <v>39</v>
      </c>
      <c r="O12" s="20"/>
      <c r="P12" s="20" t="s">
        <v>40</v>
      </c>
      <c r="Q12" s="116"/>
    </row>
    <row r="13" ht="10" customHeight="1" spans="2:17">
      <c r="B13" s="22"/>
      <c r="C13" s="19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116"/>
    </row>
    <row r="14" ht="20" customHeight="1" spans="2:17">
      <c r="B14" s="23" t="s">
        <v>140</v>
      </c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115"/>
    </row>
    <row r="15" ht="20" customHeight="1" spans="2:17">
      <c r="B15" s="25">
        <v>190910000021</v>
      </c>
      <c r="C15" s="26"/>
      <c r="D15" s="27" t="s">
        <v>129</v>
      </c>
      <c r="E15" s="28"/>
      <c r="F15" s="28"/>
      <c r="G15" s="29" t="s">
        <v>141</v>
      </c>
      <c r="H15" s="29"/>
      <c r="I15" s="29"/>
      <c r="J15" s="29"/>
      <c r="K15" s="29"/>
      <c r="L15" s="29"/>
      <c r="M15" s="29"/>
      <c r="N15" s="29"/>
      <c r="O15" s="29"/>
      <c r="P15" s="29"/>
      <c r="Q15" s="117"/>
    </row>
    <row r="16" ht="17" customHeight="1" spans="2:17">
      <c r="B16" s="30" t="s">
        <v>142</v>
      </c>
      <c r="C16" s="31"/>
      <c r="D16" s="32" t="s">
        <v>143</v>
      </c>
      <c r="E16" s="33"/>
      <c r="F16" s="32" t="s">
        <v>144</v>
      </c>
      <c r="G16" s="33"/>
      <c r="H16" s="32" t="s">
        <v>145</v>
      </c>
      <c r="I16" s="31"/>
      <c r="J16" s="31"/>
      <c r="K16" s="31"/>
      <c r="L16" s="31"/>
      <c r="M16" s="33"/>
      <c r="N16" s="31"/>
      <c r="O16" s="31"/>
      <c r="P16" s="60"/>
      <c r="Q16" s="118"/>
    </row>
    <row r="17" ht="17" customHeight="1" spans="2:17">
      <c r="B17" s="34"/>
      <c r="C17" s="31"/>
      <c r="D17" s="35">
        <v>43762.6325925926</v>
      </c>
      <c r="E17" s="36"/>
      <c r="F17" s="35">
        <v>43762.6325925926</v>
      </c>
      <c r="G17" s="36"/>
      <c r="H17" s="35">
        <v>43762.6325925926</v>
      </c>
      <c r="I17" s="35"/>
      <c r="J17" s="35"/>
      <c r="K17" s="35"/>
      <c r="L17" s="89"/>
      <c r="M17" s="90"/>
      <c r="N17" s="89"/>
      <c r="O17" s="89"/>
      <c r="P17" s="89"/>
      <c r="Q17" s="119"/>
    </row>
    <row r="18" ht="17" customHeight="1" spans="2:17">
      <c r="B18" s="30" t="s">
        <v>146</v>
      </c>
      <c r="C18" s="31"/>
      <c r="D18" s="32" t="s">
        <v>143</v>
      </c>
      <c r="E18" s="33"/>
      <c r="F18" s="32" t="s">
        <v>145</v>
      </c>
      <c r="G18" s="31"/>
      <c r="H18" s="32" t="s">
        <v>147</v>
      </c>
      <c r="I18" s="31"/>
      <c r="J18" s="32" t="s">
        <v>148</v>
      </c>
      <c r="K18" s="33"/>
      <c r="L18" s="32" t="s">
        <v>149</v>
      </c>
      <c r="M18" s="31"/>
      <c r="N18" s="32" t="s">
        <v>150</v>
      </c>
      <c r="O18" s="31"/>
      <c r="P18" s="91" t="s">
        <v>151</v>
      </c>
      <c r="Q18" s="118"/>
    </row>
    <row r="19" ht="17" customHeight="1" spans="2:17">
      <c r="B19" s="34"/>
      <c r="C19" s="31"/>
      <c r="D19" s="35">
        <v>43762.6325925926</v>
      </c>
      <c r="E19" s="36"/>
      <c r="F19" s="35">
        <v>43762.6325925926</v>
      </c>
      <c r="G19" s="36"/>
      <c r="H19" s="35">
        <v>43762.6325925926</v>
      </c>
      <c r="I19" s="35"/>
      <c r="J19" s="35">
        <v>43764.6620833333</v>
      </c>
      <c r="K19" s="35"/>
      <c r="L19" s="89">
        <v>43762.6325925926</v>
      </c>
      <c r="M19" s="90"/>
      <c r="N19" s="89">
        <v>43762.6325925926</v>
      </c>
      <c r="O19" s="90"/>
      <c r="P19" s="89">
        <v>43762.6325925926</v>
      </c>
      <c r="Q19" s="119"/>
    </row>
    <row r="20" ht="17" customHeight="1" spans="2:17">
      <c r="B20" s="30" t="s">
        <v>152</v>
      </c>
      <c r="C20" s="31"/>
      <c r="D20" s="32" t="s">
        <v>147</v>
      </c>
      <c r="E20" s="31"/>
      <c r="F20" s="32" t="s">
        <v>148</v>
      </c>
      <c r="G20" s="33"/>
      <c r="H20" s="32" t="s">
        <v>149</v>
      </c>
      <c r="I20" s="31"/>
      <c r="J20" s="32" t="s">
        <v>150</v>
      </c>
      <c r="K20" s="31"/>
      <c r="L20" s="32" t="s">
        <v>143</v>
      </c>
      <c r="M20" s="31"/>
      <c r="N20" s="32" t="s">
        <v>145</v>
      </c>
      <c r="O20" s="33"/>
      <c r="P20" s="60"/>
      <c r="Q20" s="118"/>
    </row>
    <row r="21" ht="17" customHeight="1" spans="2:17">
      <c r="B21" s="34"/>
      <c r="C21" s="31"/>
      <c r="D21" s="35">
        <v>43762.6325925926</v>
      </c>
      <c r="E21" s="36"/>
      <c r="F21" s="35">
        <v>43762.6325925926</v>
      </c>
      <c r="G21" s="36"/>
      <c r="H21" s="35">
        <v>43762.6325925926</v>
      </c>
      <c r="I21" s="35"/>
      <c r="J21" s="35">
        <v>43762.6325925926</v>
      </c>
      <c r="K21" s="35"/>
      <c r="L21" s="35">
        <v>43764.6620833333</v>
      </c>
      <c r="M21" s="35"/>
      <c r="N21" s="89">
        <v>43762.6325925926</v>
      </c>
      <c r="O21" s="90"/>
      <c r="P21" s="89"/>
      <c r="Q21" s="119"/>
    </row>
    <row r="22" ht="17" customHeight="1" spans="2:17">
      <c r="B22" s="30" t="s">
        <v>153</v>
      </c>
      <c r="C22" s="31"/>
      <c r="D22" s="32" t="s">
        <v>143</v>
      </c>
      <c r="E22" s="33"/>
      <c r="F22" s="32" t="s">
        <v>145</v>
      </c>
      <c r="G22" s="31"/>
      <c r="H22" s="31"/>
      <c r="I22" s="31"/>
      <c r="J22" s="31"/>
      <c r="K22" s="31"/>
      <c r="L22" s="31"/>
      <c r="M22" s="33"/>
      <c r="N22" s="31"/>
      <c r="O22" s="31"/>
      <c r="P22" s="60"/>
      <c r="Q22" s="118"/>
    </row>
    <row r="23" ht="17" customHeight="1" spans="2:17">
      <c r="B23" s="34"/>
      <c r="C23" s="31"/>
      <c r="D23" s="35">
        <v>43762.6325925926</v>
      </c>
      <c r="E23" s="36"/>
      <c r="F23" s="35">
        <v>43762.6325925926</v>
      </c>
      <c r="G23" s="35"/>
      <c r="H23" s="35"/>
      <c r="I23" s="35"/>
      <c r="J23" s="35"/>
      <c r="K23" s="35"/>
      <c r="L23" s="89"/>
      <c r="M23" s="90"/>
      <c r="N23" s="89"/>
      <c r="O23" s="89"/>
      <c r="P23" s="89"/>
      <c r="Q23" s="119"/>
    </row>
    <row r="24" ht="17" customHeight="1" spans="2:17">
      <c r="B24" s="30" t="s">
        <v>154</v>
      </c>
      <c r="C24" s="31"/>
      <c r="D24" s="32" t="s">
        <v>143</v>
      </c>
      <c r="E24" s="33"/>
      <c r="F24" s="32" t="s">
        <v>155</v>
      </c>
      <c r="G24" s="33"/>
      <c r="H24" s="32" t="s">
        <v>145</v>
      </c>
      <c r="I24" s="31"/>
      <c r="J24" s="32" t="s">
        <v>156</v>
      </c>
      <c r="K24" s="31"/>
      <c r="L24" s="31"/>
      <c r="M24" s="33"/>
      <c r="N24" s="31"/>
      <c r="O24" s="31"/>
      <c r="P24" s="60"/>
      <c r="Q24" s="118"/>
    </row>
    <row r="25" ht="17" customHeight="1" spans="2:17">
      <c r="B25" s="34"/>
      <c r="C25" s="31"/>
      <c r="D25" s="35">
        <v>43762.6325925926</v>
      </c>
      <c r="E25" s="36"/>
      <c r="F25" s="35">
        <v>43762.6325925926</v>
      </c>
      <c r="G25" s="36"/>
      <c r="H25" s="35">
        <v>43762.6325925926</v>
      </c>
      <c r="I25" s="35"/>
      <c r="J25" s="35">
        <v>43764.6620833333</v>
      </c>
      <c r="K25" s="35"/>
      <c r="L25" s="89"/>
      <c r="M25" s="90"/>
      <c r="N25" s="89"/>
      <c r="O25" s="89"/>
      <c r="P25" s="89"/>
      <c r="Q25" s="119"/>
    </row>
    <row r="26" ht="20" customHeight="1" spans="2:17">
      <c r="B26" s="151" t="s">
        <v>131</v>
      </c>
      <c r="C26" s="28"/>
      <c r="D26" s="27" t="s">
        <v>132</v>
      </c>
      <c r="E26" s="28"/>
      <c r="F26" s="28"/>
      <c r="G26" s="29" t="s">
        <v>130</v>
      </c>
      <c r="H26" s="29"/>
      <c r="I26" s="29"/>
      <c r="J26" s="29"/>
      <c r="K26" s="29"/>
      <c r="L26" s="29"/>
      <c r="M26" s="29"/>
      <c r="N26" s="29"/>
      <c r="O26" s="29"/>
      <c r="P26" s="29"/>
      <c r="Q26" s="117"/>
    </row>
    <row r="27" ht="20" customHeight="1" spans="2:17">
      <c r="B27" s="151" t="s">
        <v>133</v>
      </c>
      <c r="C27" s="28"/>
      <c r="D27" s="27" t="s">
        <v>134</v>
      </c>
      <c r="E27" s="28"/>
      <c r="F27" s="28"/>
      <c r="G27" s="29" t="s">
        <v>157</v>
      </c>
      <c r="H27" s="29"/>
      <c r="I27" s="29"/>
      <c r="J27" s="29"/>
      <c r="K27" s="29"/>
      <c r="L27" s="29"/>
      <c r="M27" s="29"/>
      <c r="N27" s="29"/>
      <c r="O27" s="29"/>
      <c r="P27" s="29"/>
      <c r="Q27" s="117"/>
    </row>
    <row r="28" ht="20" customHeight="1" spans="2:17">
      <c r="B28" s="151" t="s">
        <v>136</v>
      </c>
      <c r="C28" s="28"/>
      <c r="D28" s="27" t="s">
        <v>137</v>
      </c>
      <c r="E28" s="28"/>
      <c r="F28" s="28"/>
      <c r="G28" s="29" t="s">
        <v>138</v>
      </c>
      <c r="H28" s="29"/>
      <c r="I28" s="29"/>
      <c r="J28" s="29"/>
      <c r="K28" s="29"/>
      <c r="L28" s="29"/>
      <c r="M28" s="29"/>
      <c r="N28" s="29"/>
      <c r="O28" s="29"/>
      <c r="P28" s="29"/>
      <c r="Q28" s="117"/>
    </row>
    <row r="29" ht="10" customHeight="1" spans="2:17">
      <c r="B29" s="37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120"/>
    </row>
    <row r="30" ht="15" customHeight="1" spans="2:17">
      <c r="B30" s="39" t="s">
        <v>42</v>
      </c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121"/>
    </row>
    <row r="31" ht="22" customHeight="1" spans="2:17">
      <c r="B31" s="41" t="s">
        <v>43</v>
      </c>
      <c r="C31" s="42"/>
      <c r="D31" s="42"/>
      <c r="E31" s="42" t="s">
        <v>44</v>
      </c>
      <c r="F31" s="42" t="s">
        <v>45</v>
      </c>
      <c r="G31" s="42"/>
      <c r="H31" s="42" t="s">
        <v>46</v>
      </c>
      <c r="I31" s="42"/>
      <c r="J31" s="42" t="s">
        <v>47</v>
      </c>
      <c r="K31" s="42"/>
      <c r="L31" s="42" t="s">
        <v>48</v>
      </c>
      <c r="M31" s="42" t="s">
        <v>49</v>
      </c>
      <c r="N31" s="92" t="s">
        <v>50</v>
      </c>
      <c r="O31" s="42" t="s">
        <v>51</v>
      </c>
      <c r="P31" s="42" t="s">
        <v>52</v>
      </c>
      <c r="Q31" s="122"/>
    </row>
    <row r="32" ht="20" customHeight="1" spans="2:17">
      <c r="B32" s="43" t="s">
        <v>53</v>
      </c>
      <c r="C32" s="44"/>
      <c r="D32" s="44"/>
      <c r="E32" s="45" t="s">
        <v>54</v>
      </c>
      <c r="F32" s="46">
        <v>43756.8541666667</v>
      </c>
      <c r="G32" s="46"/>
      <c r="H32" s="47" t="s">
        <v>55</v>
      </c>
      <c r="I32" s="47"/>
      <c r="J32" s="44" t="s">
        <v>56</v>
      </c>
      <c r="K32" s="44"/>
      <c r="L32" s="44" t="s">
        <v>57</v>
      </c>
      <c r="M32" s="44">
        <v>1</v>
      </c>
      <c r="N32" s="44">
        <v>1</v>
      </c>
      <c r="O32" s="44">
        <v>60</v>
      </c>
      <c r="P32" s="47" t="s">
        <v>58</v>
      </c>
      <c r="Q32" s="123"/>
    </row>
    <row r="33" ht="20" customHeight="1" spans="2:17">
      <c r="B33" s="43" t="s">
        <v>59</v>
      </c>
      <c r="C33" s="44"/>
      <c r="D33" s="44"/>
      <c r="E33" s="45" t="s">
        <v>60</v>
      </c>
      <c r="F33" s="46">
        <v>43756.8541666667</v>
      </c>
      <c r="G33" s="46"/>
      <c r="H33" s="47" t="s">
        <v>61</v>
      </c>
      <c r="I33" s="47"/>
      <c r="J33" s="44" t="s">
        <v>56</v>
      </c>
      <c r="K33" s="44"/>
      <c r="L33" s="44" t="s">
        <v>57</v>
      </c>
      <c r="M33" s="44">
        <v>1</v>
      </c>
      <c r="N33" s="44">
        <v>1</v>
      </c>
      <c r="O33" s="44">
        <v>50</v>
      </c>
      <c r="P33" s="47"/>
      <c r="Q33" s="123"/>
    </row>
    <row r="34" ht="20" customHeight="1" spans="2:17">
      <c r="B34" s="48" t="s">
        <v>62</v>
      </c>
      <c r="C34" s="44"/>
      <c r="D34" s="44"/>
      <c r="E34" s="44" t="s">
        <v>63</v>
      </c>
      <c r="F34" s="46">
        <v>43756.8541666667</v>
      </c>
      <c r="G34" s="46"/>
      <c r="H34" s="47" t="s">
        <v>64</v>
      </c>
      <c r="I34" s="47"/>
      <c r="J34" s="44" t="s">
        <v>56</v>
      </c>
      <c r="K34" s="44"/>
      <c r="L34" s="44" t="s">
        <v>57</v>
      </c>
      <c r="M34" s="44">
        <v>1</v>
      </c>
      <c r="N34" s="44">
        <v>1</v>
      </c>
      <c r="O34" s="44">
        <v>12</v>
      </c>
      <c r="P34" s="47"/>
      <c r="Q34" s="123"/>
    </row>
    <row r="35" ht="20" customHeight="1" spans="2:17">
      <c r="B35" s="48" t="s">
        <v>65</v>
      </c>
      <c r="C35" s="44"/>
      <c r="D35" s="44"/>
      <c r="E35" s="44" t="s">
        <v>66</v>
      </c>
      <c r="F35" s="46">
        <v>43756.8541666667</v>
      </c>
      <c r="G35" s="46"/>
      <c r="H35" s="47" t="s">
        <v>67</v>
      </c>
      <c r="I35" s="47"/>
      <c r="J35" s="44" t="s">
        <v>56</v>
      </c>
      <c r="K35" s="44"/>
      <c r="L35" s="44" t="s">
        <v>57</v>
      </c>
      <c r="M35" s="44">
        <v>1</v>
      </c>
      <c r="N35" s="44">
        <v>1</v>
      </c>
      <c r="O35" s="44">
        <v>23</v>
      </c>
      <c r="P35" s="47"/>
      <c r="Q35" s="123"/>
    </row>
    <row r="36" ht="20" customHeight="1" spans="2:17">
      <c r="B36" s="48" t="s">
        <v>53</v>
      </c>
      <c r="C36" s="44"/>
      <c r="D36" s="44"/>
      <c r="E36" s="44" t="s">
        <v>63</v>
      </c>
      <c r="F36" s="46">
        <v>43756.8541666667</v>
      </c>
      <c r="G36" s="46"/>
      <c r="H36" s="47" t="s">
        <v>55</v>
      </c>
      <c r="I36" s="47"/>
      <c r="J36" s="44" t="s">
        <v>56</v>
      </c>
      <c r="K36" s="44"/>
      <c r="L36" s="44" t="s">
        <v>57</v>
      </c>
      <c r="M36" s="44">
        <v>1</v>
      </c>
      <c r="N36" s="44">
        <v>1</v>
      </c>
      <c r="O36" s="44">
        <v>60</v>
      </c>
      <c r="P36" s="47"/>
      <c r="Q36" s="123"/>
    </row>
    <row r="37" ht="20" customHeight="1" spans="2:17">
      <c r="B37" s="48" t="s">
        <v>59</v>
      </c>
      <c r="C37" s="44"/>
      <c r="D37" s="44"/>
      <c r="E37" s="44" t="s">
        <v>66</v>
      </c>
      <c r="F37" s="46">
        <v>43756.8541666667</v>
      </c>
      <c r="G37" s="46"/>
      <c r="H37" s="47" t="s">
        <v>61</v>
      </c>
      <c r="I37" s="47"/>
      <c r="J37" s="44" t="s">
        <v>56</v>
      </c>
      <c r="K37" s="44"/>
      <c r="L37" s="44" t="s">
        <v>57</v>
      </c>
      <c r="M37" s="44">
        <v>1</v>
      </c>
      <c r="N37" s="44">
        <v>1</v>
      </c>
      <c r="O37" s="44">
        <v>50</v>
      </c>
      <c r="P37" s="47"/>
      <c r="Q37" s="123"/>
    </row>
    <row r="38" ht="20" customHeight="1" spans="2:17">
      <c r="B38" s="49" t="s">
        <v>68</v>
      </c>
      <c r="C38" s="50"/>
      <c r="D38" s="50"/>
      <c r="E38" s="50" t="s">
        <v>69</v>
      </c>
      <c r="F38" s="51">
        <v>43756.8541666667</v>
      </c>
      <c r="G38" s="51"/>
      <c r="H38" s="52" t="s">
        <v>64</v>
      </c>
      <c r="I38" s="52"/>
      <c r="J38" s="50" t="s">
        <v>70</v>
      </c>
      <c r="K38" s="50"/>
      <c r="L38" s="50" t="s">
        <v>71</v>
      </c>
      <c r="M38" s="50" t="s">
        <v>69</v>
      </c>
      <c r="N38" s="50" t="s">
        <v>69</v>
      </c>
      <c r="O38" s="50" t="s">
        <v>69</v>
      </c>
      <c r="P38" s="47"/>
      <c r="Q38" s="123"/>
    </row>
    <row r="39" ht="20" customHeight="1" spans="2:17">
      <c r="B39" s="49" t="s">
        <v>72</v>
      </c>
      <c r="C39" s="50"/>
      <c r="D39" s="50"/>
      <c r="E39" s="50" t="s">
        <v>69</v>
      </c>
      <c r="F39" s="51">
        <v>43756.8541666667</v>
      </c>
      <c r="G39" s="51"/>
      <c r="H39" s="52" t="s">
        <v>67</v>
      </c>
      <c r="I39" s="52"/>
      <c r="J39" s="50" t="s">
        <v>70</v>
      </c>
      <c r="K39" s="50"/>
      <c r="L39" s="50" t="s">
        <v>71</v>
      </c>
      <c r="M39" s="50" t="s">
        <v>69</v>
      </c>
      <c r="N39" s="50" t="s">
        <v>69</v>
      </c>
      <c r="O39" s="50" t="s">
        <v>69</v>
      </c>
      <c r="P39" s="47"/>
      <c r="Q39" s="123"/>
    </row>
    <row r="40" ht="20" customHeight="1" spans="2:17">
      <c r="B40" s="49" t="s">
        <v>72</v>
      </c>
      <c r="C40" s="50"/>
      <c r="D40" s="50"/>
      <c r="E40" s="50" t="s">
        <v>69</v>
      </c>
      <c r="F40" s="51">
        <v>43756.8541666667</v>
      </c>
      <c r="G40" s="51"/>
      <c r="H40" s="52" t="s">
        <v>67</v>
      </c>
      <c r="I40" s="52"/>
      <c r="J40" s="50" t="s">
        <v>70</v>
      </c>
      <c r="K40" s="50"/>
      <c r="L40" s="50" t="s">
        <v>71</v>
      </c>
      <c r="M40" s="50" t="s">
        <v>69</v>
      </c>
      <c r="N40" s="50" t="s">
        <v>69</v>
      </c>
      <c r="O40" s="50" t="s">
        <v>69</v>
      </c>
      <c r="P40" s="47"/>
      <c r="Q40" s="123"/>
    </row>
    <row r="41" ht="20" customHeight="1" spans="2:17">
      <c r="B41" s="53" t="s">
        <v>73</v>
      </c>
      <c r="C41" s="54"/>
      <c r="D41" s="54"/>
      <c r="E41" s="54" t="s">
        <v>74</v>
      </c>
      <c r="F41" s="54" t="s">
        <v>75</v>
      </c>
      <c r="G41" s="54"/>
      <c r="H41" s="55" t="s">
        <v>76</v>
      </c>
      <c r="I41" s="55"/>
      <c r="J41" s="54" t="s">
        <v>77</v>
      </c>
      <c r="K41" s="54"/>
      <c r="L41" s="54" t="s">
        <v>78</v>
      </c>
      <c r="M41" s="54" t="s">
        <v>74</v>
      </c>
      <c r="N41" s="54" t="s">
        <v>74</v>
      </c>
      <c r="O41" s="54" t="s">
        <v>74</v>
      </c>
      <c r="P41" s="47"/>
      <c r="Q41" s="123"/>
    </row>
    <row r="42" ht="20" customHeight="1" spans="2:17">
      <c r="B42" s="34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>
        <f t="shared" ref="M42:O42" si="0">SUM(M32:M41)</f>
        <v>6</v>
      </c>
      <c r="N42" s="31">
        <f t="shared" si="0"/>
        <v>6</v>
      </c>
      <c r="O42" s="60">
        <f t="shared" si="0"/>
        <v>255</v>
      </c>
      <c r="P42" s="60"/>
      <c r="Q42" s="124"/>
    </row>
    <row r="43" ht="10" customHeight="1" spans="2:17">
      <c r="B43" s="37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120"/>
    </row>
    <row r="44" ht="15" customHeight="1" spans="2:17">
      <c r="B44" s="39" t="s">
        <v>79</v>
      </c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121"/>
    </row>
    <row r="45" ht="22" customHeight="1" spans="2:17">
      <c r="B45" s="56" t="s">
        <v>43</v>
      </c>
      <c r="C45" s="57"/>
      <c r="D45" s="57"/>
      <c r="E45" s="57" t="s">
        <v>80</v>
      </c>
      <c r="F45" s="57"/>
      <c r="G45" s="57" t="s">
        <v>81</v>
      </c>
      <c r="H45" s="58" t="s">
        <v>82</v>
      </c>
      <c r="I45" s="57" t="s">
        <v>46</v>
      </c>
      <c r="J45" s="57"/>
      <c r="K45" s="57" t="s">
        <v>48</v>
      </c>
      <c r="L45" s="57" t="s">
        <v>83</v>
      </c>
      <c r="M45" s="57"/>
      <c r="N45" s="57" t="s">
        <v>84</v>
      </c>
      <c r="O45" s="57" t="s">
        <v>85</v>
      </c>
      <c r="P45" s="57" t="s">
        <v>86</v>
      </c>
      <c r="Q45" s="125" t="s">
        <v>87</v>
      </c>
    </row>
    <row r="46" ht="20" customHeight="1" spans="2:17">
      <c r="B46" s="59" t="s">
        <v>88</v>
      </c>
      <c r="C46" s="60"/>
      <c r="D46" s="60"/>
      <c r="E46" s="150" t="s">
        <v>89</v>
      </c>
      <c r="F46" s="31"/>
      <c r="G46" s="61" t="s">
        <v>90</v>
      </c>
      <c r="H46" s="62" t="s">
        <v>91</v>
      </c>
      <c r="I46" s="60" t="s">
        <v>55</v>
      </c>
      <c r="J46" s="60"/>
      <c r="K46" s="31" t="s">
        <v>57</v>
      </c>
      <c r="L46" s="31" t="s">
        <v>92</v>
      </c>
      <c r="M46" s="31"/>
      <c r="N46" s="31">
        <v>1</v>
      </c>
      <c r="O46" s="31">
        <v>0.0086</v>
      </c>
      <c r="P46" s="31">
        <v>1.43</v>
      </c>
      <c r="Q46" s="126">
        <v>100000</v>
      </c>
    </row>
    <row r="47" ht="20" customHeight="1" spans="2:17">
      <c r="B47" s="34" t="s">
        <v>59</v>
      </c>
      <c r="C47" s="31"/>
      <c r="D47" s="31"/>
      <c r="E47" s="150" t="s">
        <v>93</v>
      </c>
      <c r="F47" s="31"/>
      <c r="G47" s="61" t="s">
        <v>94</v>
      </c>
      <c r="H47" s="62" t="s">
        <v>91</v>
      </c>
      <c r="I47" s="60" t="s">
        <v>61</v>
      </c>
      <c r="J47" s="60"/>
      <c r="K47" s="31" t="s">
        <v>57</v>
      </c>
      <c r="L47" s="31" t="s">
        <v>95</v>
      </c>
      <c r="M47" s="31"/>
      <c r="N47" s="31">
        <v>1</v>
      </c>
      <c r="O47" s="31">
        <v>0.0019</v>
      </c>
      <c r="P47" s="31">
        <v>0.32</v>
      </c>
      <c r="Q47" s="127">
        <v>0.12</v>
      </c>
    </row>
    <row r="48" ht="20" customHeight="1" spans="2:17">
      <c r="B48" s="34" t="s">
        <v>62</v>
      </c>
      <c r="C48" s="31"/>
      <c r="D48" s="31"/>
      <c r="E48" s="150" t="s">
        <v>96</v>
      </c>
      <c r="F48" s="31"/>
      <c r="G48" s="61" t="s">
        <v>97</v>
      </c>
      <c r="H48" s="62" t="s">
        <v>91</v>
      </c>
      <c r="I48" s="60" t="s">
        <v>64</v>
      </c>
      <c r="J48" s="60"/>
      <c r="K48" s="31" t="s">
        <v>57</v>
      </c>
      <c r="L48" s="31" t="s">
        <v>98</v>
      </c>
      <c r="M48" s="31"/>
      <c r="N48" s="31">
        <v>1</v>
      </c>
      <c r="O48" s="31">
        <v>0.0052</v>
      </c>
      <c r="P48" s="31">
        <v>0.87</v>
      </c>
      <c r="Q48" s="127">
        <v>0.7</v>
      </c>
    </row>
    <row r="49" ht="20" customHeight="1" spans="2:17">
      <c r="B49" s="34" t="s">
        <v>65</v>
      </c>
      <c r="C49" s="31"/>
      <c r="D49" s="31"/>
      <c r="E49" s="150" t="s">
        <v>99</v>
      </c>
      <c r="F49" s="31"/>
      <c r="G49" s="61" t="s">
        <v>90</v>
      </c>
      <c r="H49" s="62" t="s">
        <v>91</v>
      </c>
      <c r="I49" s="60" t="s">
        <v>67</v>
      </c>
      <c r="J49" s="60"/>
      <c r="K49" s="93" t="s">
        <v>71</v>
      </c>
      <c r="L49" s="31" t="s">
        <v>100</v>
      </c>
      <c r="M49" s="31"/>
      <c r="N49" s="31">
        <v>1</v>
      </c>
      <c r="O49" s="31">
        <v>0.0245</v>
      </c>
      <c r="P49" s="31">
        <v>4.08</v>
      </c>
      <c r="Q49" s="127">
        <v>3.62</v>
      </c>
    </row>
    <row r="50" ht="20" customHeight="1" spans="2:17">
      <c r="B50" s="63"/>
      <c r="C50" s="64"/>
      <c r="D50" s="64"/>
      <c r="E50" s="64"/>
      <c r="F50" s="64"/>
      <c r="G50" s="65"/>
      <c r="H50" s="65"/>
      <c r="I50" s="65"/>
      <c r="J50" s="65"/>
      <c r="K50" s="65"/>
      <c r="L50" s="65"/>
      <c r="M50" s="65"/>
      <c r="N50" s="65">
        <f>SUM(N46:N49)</f>
        <v>4</v>
      </c>
      <c r="O50" s="94">
        <v>0.057</v>
      </c>
      <c r="P50" s="94">
        <v>16789</v>
      </c>
      <c r="Q50" s="128">
        <f>SUM(Q46:Q49)</f>
        <v>100004.44</v>
      </c>
    </row>
    <row r="51" ht="10" customHeight="1" spans="2:17">
      <c r="B51" s="37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120"/>
    </row>
    <row r="52" ht="15" customHeight="1" spans="2:17">
      <c r="B52" s="66" t="s">
        <v>101</v>
      </c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129"/>
    </row>
    <row r="53" ht="20" customHeight="1" spans="2:17">
      <c r="B53" s="68" t="s">
        <v>102</v>
      </c>
      <c r="C53" s="69" t="s">
        <v>103</v>
      </c>
      <c r="D53" s="70"/>
      <c r="E53" s="69" t="s">
        <v>104</v>
      </c>
      <c r="F53" s="70"/>
      <c r="G53" s="69" t="s">
        <v>105</v>
      </c>
      <c r="H53" s="69" t="s">
        <v>106</v>
      </c>
      <c r="I53" s="70"/>
      <c r="J53" s="69" t="s">
        <v>107</v>
      </c>
      <c r="K53" s="70"/>
      <c r="L53" s="95" t="s">
        <v>108</v>
      </c>
      <c r="M53" s="96"/>
      <c r="N53" s="97" t="s">
        <v>109</v>
      </c>
      <c r="O53" s="98"/>
      <c r="P53" s="97" t="s">
        <v>110</v>
      </c>
      <c r="Q53" s="130"/>
    </row>
    <row r="54" ht="20" customHeight="1" spans="2:17">
      <c r="B54" s="59">
        <v>1</v>
      </c>
      <c r="C54" s="60" t="s">
        <v>111</v>
      </c>
      <c r="D54" s="60"/>
      <c r="E54" s="71">
        <v>8.6</v>
      </c>
      <c r="F54" s="71"/>
      <c r="G54" s="71">
        <v>1</v>
      </c>
      <c r="H54" s="71">
        <v>8.6</v>
      </c>
      <c r="I54" s="71"/>
      <c r="J54" s="60" t="s">
        <v>35</v>
      </c>
      <c r="K54" s="60"/>
      <c r="L54" s="99">
        <v>43756.8541666667</v>
      </c>
      <c r="M54" s="99"/>
      <c r="N54" s="100" t="s">
        <v>112</v>
      </c>
      <c r="O54" s="101"/>
      <c r="P54" s="27" t="s">
        <v>113</v>
      </c>
      <c r="Q54" s="127"/>
    </row>
    <row r="55" ht="20" customHeight="1" spans="2:17">
      <c r="B55" s="59">
        <v>2</v>
      </c>
      <c r="C55" s="60" t="s">
        <v>114</v>
      </c>
      <c r="D55" s="60"/>
      <c r="E55" s="71">
        <v>7.9</v>
      </c>
      <c r="F55" s="71"/>
      <c r="G55" s="71">
        <v>20</v>
      </c>
      <c r="H55" s="71">
        <v>158</v>
      </c>
      <c r="I55" s="71"/>
      <c r="J55" s="60" t="s">
        <v>35</v>
      </c>
      <c r="K55" s="60"/>
      <c r="L55" s="99">
        <v>43756.8541666667</v>
      </c>
      <c r="M55" s="99"/>
      <c r="N55" s="101"/>
      <c r="O55" s="101"/>
      <c r="P55" s="28"/>
      <c r="Q55" s="127"/>
    </row>
    <row r="56" ht="20" customHeight="1" spans="2:17">
      <c r="B56" s="59">
        <v>3</v>
      </c>
      <c r="C56" s="60" t="s">
        <v>115</v>
      </c>
      <c r="D56" s="60"/>
      <c r="E56" s="71">
        <v>100</v>
      </c>
      <c r="F56" s="71"/>
      <c r="G56" s="71">
        <v>1</v>
      </c>
      <c r="H56" s="71">
        <v>-100</v>
      </c>
      <c r="I56" s="71"/>
      <c r="J56" s="60" t="s">
        <v>35</v>
      </c>
      <c r="K56" s="60"/>
      <c r="L56" s="99">
        <v>43756.8541666667</v>
      </c>
      <c r="M56" s="99"/>
      <c r="N56" s="101"/>
      <c r="O56" s="101"/>
      <c r="P56" s="28"/>
      <c r="Q56" s="127"/>
    </row>
    <row r="57" ht="20" customHeight="1" spans="2:17">
      <c r="B57" s="59">
        <v>4</v>
      </c>
      <c r="C57" s="60" t="s">
        <v>116</v>
      </c>
      <c r="D57" s="60"/>
      <c r="E57" s="71">
        <v>300</v>
      </c>
      <c r="F57" s="71"/>
      <c r="G57" s="71">
        <v>1</v>
      </c>
      <c r="H57" s="71">
        <v>300</v>
      </c>
      <c r="I57" s="71"/>
      <c r="J57" s="60" t="s">
        <v>35</v>
      </c>
      <c r="K57" s="60"/>
      <c r="L57" s="99">
        <v>43756.8541666667</v>
      </c>
      <c r="M57" s="99"/>
      <c r="N57" s="101"/>
      <c r="O57" s="101"/>
      <c r="P57" s="28"/>
      <c r="Q57" s="127"/>
    </row>
    <row r="58" ht="20" customHeight="1" spans="2:17">
      <c r="B58" s="59">
        <v>5</v>
      </c>
      <c r="C58" s="60" t="s">
        <v>117</v>
      </c>
      <c r="D58" s="60"/>
      <c r="E58" s="71">
        <v>39</v>
      </c>
      <c r="F58" s="71"/>
      <c r="G58" s="71">
        <v>1</v>
      </c>
      <c r="H58" s="71">
        <v>39</v>
      </c>
      <c r="I58" s="71"/>
      <c r="J58" s="60" t="s">
        <v>35</v>
      </c>
      <c r="K58" s="60"/>
      <c r="L58" s="99">
        <v>43756.8541666667</v>
      </c>
      <c r="M58" s="99"/>
      <c r="N58" s="101"/>
      <c r="O58" s="101"/>
      <c r="P58" s="28"/>
      <c r="Q58" s="127"/>
    </row>
    <row r="59" ht="20" customHeight="1" spans="2:17">
      <c r="B59" s="59">
        <v>6</v>
      </c>
      <c r="C59" s="60" t="s">
        <v>118</v>
      </c>
      <c r="D59" s="60"/>
      <c r="E59" s="71">
        <v>0</v>
      </c>
      <c r="F59" s="71"/>
      <c r="G59" s="71">
        <v>0</v>
      </c>
      <c r="H59" s="71">
        <v>0</v>
      </c>
      <c r="I59" s="71"/>
      <c r="J59" s="60" t="s">
        <v>35</v>
      </c>
      <c r="K59" s="60"/>
      <c r="L59" s="99">
        <v>43756.8541666667</v>
      </c>
      <c r="M59" s="99"/>
      <c r="N59" s="101"/>
      <c r="O59" s="101"/>
      <c r="P59" s="28"/>
      <c r="Q59" s="127"/>
    </row>
    <row r="60" ht="20" customHeight="1" spans="2:17">
      <c r="B60" s="72"/>
      <c r="C60" s="73"/>
      <c r="D60" s="73"/>
      <c r="E60" s="73"/>
      <c r="F60" s="73"/>
      <c r="G60" s="74" t="s">
        <v>119</v>
      </c>
      <c r="H60" s="75">
        <v>405.6</v>
      </c>
      <c r="I60" s="75"/>
      <c r="J60" s="102"/>
      <c r="K60" s="102"/>
      <c r="L60" s="102"/>
      <c r="M60" s="103"/>
      <c r="N60" s="102"/>
      <c r="O60" s="104"/>
      <c r="P60" s="104"/>
      <c r="Q60" s="131"/>
    </row>
    <row r="61" ht="20" customHeight="1" spans="2:17">
      <c r="B61" s="76"/>
      <c r="C61" s="77"/>
      <c r="D61" s="78" t="s">
        <v>139</v>
      </c>
      <c r="E61" s="78"/>
      <c r="F61" s="74" t="s">
        <v>121</v>
      </c>
      <c r="G61" s="79"/>
      <c r="H61" s="80">
        <v>41786.4</v>
      </c>
      <c r="I61" s="80"/>
      <c r="J61" s="105" t="s">
        <v>122</v>
      </c>
      <c r="K61" s="105"/>
      <c r="L61" s="106" t="s">
        <v>123</v>
      </c>
      <c r="M61" s="106"/>
      <c r="N61" s="106"/>
      <c r="O61" s="107" t="s">
        <v>124</v>
      </c>
      <c r="P61" s="107" t="s">
        <v>125</v>
      </c>
      <c r="Q61" s="132" t="s">
        <v>126</v>
      </c>
    </row>
    <row r="62" ht="24" customHeight="1" spans="2:17">
      <c r="B62" s="81" t="s">
        <v>127</v>
      </c>
      <c r="C62" s="82"/>
      <c r="D62" s="82"/>
      <c r="E62" s="82"/>
      <c r="F62" s="82"/>
      <c r="G62" s="82"/>
      <c r="H62" s="82"/>
      <c r="I62" s="82"/>
      <c r="J62" s="82"/>
      <c r="K62" s="82"/>
      <c r="L62" s="82"/>
      <c r="M62" s="82"/>
      <c r="N62" s="82"/>
      <c r="O62" s="82"/>
      <c r="P62" s="82"/>
      <c r="Q62" s="133"/>
    </row>
  </sheetData>
  <mergeCells count="263">
    <mergeCell ref="B1:Q1"/>
    <mergeCell ref="B2:C2"/>
    <mergeCell ref="E2:F2"/>
    <mergeCell ref="G2:H2"/>
    <mergeCell ref="P2:Q2"/>
    <mergeCell ref="B3:D3"/>
    <mergeCell ref="E3:F3"/>
    <mergeCell ref="G3:H3"/>
    <mergeCell ref="I3:J3"/>
    <mergeCell ref="K3:M3"/>
    <mergeCell ref="B4:D4"/>
    <mergeCell ref="E4:J4"/>
    <mergeCell ref="K4:M4"/>
    <mergeCell ref="B5:E5"/>
    <mergeCell ref="F5:H5"/>
    <mergeCell ref="I5:J5"/>
    <mergeCell ref="M5:Q5"/>
    <mergeCell ref="B6:Q6"/>
    <mergeCell ref="B7:Q7"/>
    <mergeCell ref="B8:Q8"/>
    <mergeCell ref="C9:D9"/>
    <mergeCell ref="E9:F9"/>
    <mergeCell ref="G9:K9"/>
    <mergeCell ref="L9:M9"/>
    <mergeCell ref="N9:O9"/>
    <mergeCell ref="P9:Q9"/>
    <mergeCell ref="C10:D10"/>
    <mergeCell ref="E10:F10"/>
    <mergeCell ref="G10:K10"/>
    <mergeCell ref="L10:M10"/>
    <mergeCell ref="N10:O10"/>
    <mergeCell ref="P10:Q10"/>
    <mergeCell ref="C11:D11"/>
    <mergeCell ref="E11:F11"/>
    <mergeCell ref="G11:K11"/>
    <mergeCell ref="L11:M11"/>
    <mergeCell ref="N11:O11"/>
    <mergeCell ref="P11:Q11"/>
    <mergeCell ref="C12:D12"/>
    <mergeCell ref="E12:F12"/>
    <mergeCell ref="G12:K12"/>
    <mergeCell ref="L12:M12"/>
    <mergeCell ref="N12:O12"/>
    <mergeCell ref="P12:Q12"/>
    <mergeCell ref="B14:Q14"/>
    <mergeCell ref="B15:C15"/>
    <mergeCell ref="D15:F15"/>
    <mergeCell ref="G15:Q15"/>
    <mergeCell ref="D16:E16"/>
    <mergeCell ref="F16:G16"/>
    <mergeCell ref="H16:I16"/>
    <mergeCell ref="J16:K16"/>
    <mergeCell ref="L16:M16"/>
    <mergeCell ref="N16:O16"/>
    <mergeCell ref="P16:Q16"/>
    <mergeCell ref="D17:E17"/>
    <mergeCell ref="F17:G17"/>
    <mergeCell ref="H17:I17"/>
    <mergeCell ref="J17:K17"/>
    <mergeCell ref="L17:M17"/>
    <mergeCell ref="N17:O17"/>
    <mergeCell ref="P17:Q17"/>
    <mergeCell ref="D18:E18"/>
    <mergeCell ref="F18:G18"/>
    <mergeCell ref="H18:I18"/>
    <mergeCell ref="J18:K18"/>
    <mergeCell ref="L18:M18"/>
    <mergeCell ref="N18:O18"/>
    <mergeCell ref="P18:Q18"/>
    <mergeCell ref="D19:E19"/>
    <mergeCell ref="F19:G19"/>
    <mergeCell ref="H19:I19"/>
    <mergeCell ref="J19:K19"/>
    <mergeCell ref="L19:M19"/>
    <mergeCell ref="N19:O19"/>
    <mergeCell ref="P19:Q19"/>
    <mergeCell ref="D20:E20"/>
    <mergeCell ref="F20:G20"/>
    <mergeCell ref="H20:I20"/>
    <mergeCell ref="J20:K20"/>
    <mergeCell ref="L20:M20"/>
    <mergeCell ref="N20:O20"/>
    <mergeCell ref="P20:Q20"/>
    <mergeCell ref="D21:E21"/>
    <mergeCell ref="F21:G21"/>
    <mergeCell ref="H21:I21"/>
    <mergeCell ref="J21:K21"/>
    <mergeCell ref="L21:M21"/>
    <mergeCell ref="N21:O21"/>
    <mergeCell ref="P21:Q21"/>
    <mergeCell ref="D22:E22"/>
    <mergeCell ref="F22:G22"/>
    <mergeCell ref="H22:I22"/>
    <mergeCell ref="J22:K22"/>
    <mergeCell ref="L22:M22"/>
    <mergeCell ref="N22:O22"/>
    <mergeCell ref="P22:Q22"/>
    <mergeCell ref="D23:E23"/>
    <mergeCell ref="F23:G23"/>
    <mergeCell ref="H23:I23"/>
    <mergeCell ref="J23:K23"/>
    <mergeCell ref="L23:M23"/>
    <mergeCell ref="N23:O23"/>
    <mergeCell ref="P23:Q23"/>
    <mergeCell ref="D24:E24"/>
    <mergeCell ref="F24:G24"/>
    <mergeCell ref="H24:I24"/>
    <mergeCell ref="J24:K24"/>
    <mergeCell ref="L24:M24"/>
    <mergeCell ref="N24:O24"/>
    <mergeCell ref="P24:Q24"/>
    <mergeCell ref="D25:E25"/>
    <mergeCell ref="F25:G25"/>
    <mergeCell ref="H25:I25"/>
    <mergeCell ref="J25:K25"/>
    <mergeCell ref="L25:M25"/>
    <mergeCell ref="N25:O25"/>
    <mergeCell ref="P25:Q25"/>
    <mergeCell ref="B26:C26"/>
    <mergeCell ref="D26:F26"/>
    <mergeCell ref="G26:Q26"/>
    <mergeCell ref="B27:C27"/>
    <mergeCell ref="D27:F27"/>
    <mergeCell ref="G27:Q27"/>
    <mergeCell ref="B28:C28"/>
    <mergeCell ref="D28:F28"/>
    <mergeCell ref="G28:Q28"/>
    <mergeCell ref="B29:Q29"/>
    <mergeCell ref="B30:Q30"/>
    <mergeCell ref="B31:D31"/>
    <mergeCell ref="F31:G31"/>
    <mergeCell ref="H31:I31"/>
    <mergeCell ref="J31:K31"/>
    <mergeCell ref="P31:Q31"/>
    <mergeCell ref="B32:D32"/>
    <mergeCell ref="F32:G32"/>
    <mergeCell ref="H32:I32"/>
    <mergeCell ref="J32:K32"/>
    <mergeCell ref="P32:Q32"/>
    <mergeCell ref="B33:D33"/>
    <mergeCell ref="F33:G33"/>
    <mergeCell ref="H33:I33"/>
    <mergeCell ref="J33:K33"/>
    <mergeCell ref="P33:Q33"/>
    <mergeCell ref="B34:D34"/>
    <mergeCell ref="F34:G34"/>
    <mergeCell ref="H34:I34"/>
    <mergeCell ref="J34:K34"/>
    <mergeCell ref="P34:Q34"/>
    <mergeCell ref="B35:D35"/>
    <mergeCell ref="F35:G35"/>
    <mergeCell ref="H35:I35"/>
    <mergeCell ref="J35:K35"/>
    <mergeCell ref="P35:Q35"/>
    <mergeCell ref="B36:D36"/>
    <mergeCell ref="F36:G36"/>
    <mergeCell ref="H36:I36"/>
    <mergeCell ref="J36:K36"/>
    <mergeCell ref="P36:Q36"/>
    <mergeCell ref="B37:D37"/>
    <mergeCell ref="F37:G37"/>
    <mergeCell ref="H37:I37"/>
    <mergeCell ref="J37:K37"/>
    <mergeCell ref="P37:Q37"/>
    <mergeCell ref="B38:D38"/>
    <mergeCell ref="F38:G38"/>
    <mergeCell ref="H38:I38"/>
    <mergeCell ref="J38:K38"/>
    <mergeCell ref="P38:Q38"/>
    <mergeCell ref="B39:D39"/>
    <mergeCell ref="F39:G39"/>
    <mergeCell ref="H39:I39"/>
    <mergeCell ref="J39:K39"/>
    <mergeCell ref="P39:Q39"/>
    <mergeCell ref="B40:D40"/>
    <mergeCell ref="F40:G40"/>
    <mergeCell ref="H40:I40"/>
    <mergeCell ref="J40:K40"/>
    <mergeCell ref="P40:Q40"/>
    <mergeCell ref="B41:D41"/>
    <mergeCell ref="F41:G41"/>
    <mergeCell ref="H41:I41"/>
    <mergeCell ref="J41:K41"/>
    <mergeCell ref="P41:Q41"/>
    <mergeCell ref="B42:L42"/>
    <mergeCell ref="P42:Q42"/>
    <mergeCell ref="B43:Q43"/>
    <mergeCell ref="B44:Q44"/>
    <mergeCell ref="B45:D45"/>
    <mergeCell ref="E45:F45"/>
    <mergeCell ref="I45:J45"/>
    <mergeCell ref="L45:M45"/>
    <mergeCell ref="B46:D46"/>
    <mergeCell ref="E46:F46"/>
    <mergeCell ref="I46:J46"/>
    <mergeCell ref="L46:M46"/>
    <mergeCell ref="B47:D47"/>
    <mergeCell ref="E47:F47"/>
    <mergeCell ref="I47:J47"/>
    <mergeCell ref="L47:M47"/>
    <mergeCell ref="B48:D48"/>
    <mergeCell ref="E48:F48"/>
    <mergeCell ref="I48:J48"/>
    <mergeCell ref="L48:M48"/>
    <mergeCell ref="B49:D49"/>
    <mergeCell ref="E49:F49"/>
    <mergeCell ref="I49:J49"/>
    <mergeCell ref="L49:M49"/>
    <mergeCell ref="B51:Q51"/>
    <mergeCell ref="B52:Q52"/>
    <mergeCell ref="C53:D53"/>
    <mergeCell ref="E53:F53"/>
    <mergeCell ref="H53:I53"/>
    <mergeCell ref="J53:K53"/>
    <mergeCell ref="L53:M53"/>
    <mergeCell ref="N53:O53"/>
    <mergeCell ref="P53:Q53"/>
    <mergeCell ref="C54:D54"/>
    <mergeCell ref="E54:F54"/>
    <mergeCell ref="H54:I54"/>
    <mergeCell ref="J54:K54"/>
    <mergeCell ref="L54:M54"/>
    <mergeCell ref="C55:D55"/>
    <mergeCell ref="E55:F55"/>
    <mergeCell ref="H55:I55"/>
    <mergeCell ref="J55:K55"/>
    <mergeCell ref="L55:M55"/>
    <mergeCell ref="C56:D56"/>
    <mergeCell ref="E56:F56"/>
    <mergeCell ref="H56:I56"/>
    <mergeCell ref="J56:K56"/>
    <mergeCell ref="L56:M56"/>
    <mergeCell ref="C57:D57"/>
    <mergeCell ref="E57:F57"/>
    <mergeCell ref="H57:I57"/>
    <mergeCell ref="J57:K57"/>
    <mergeCell ref="L57:M57"/>
    <mergeCell ref="C58:D58"/>
    <mergeCell ref="E58:F58"/>
    <mergeCell ref="H58:I58"/>
    <mergeCell ref="J58:K58"/>
    <mergeCell ref="L58:M58"/>
    <mergeCell ref="C59:D59"/>
    <mergeCell ref="E59:F59"/>
    <mergeCell ref="H59:I59"/>
    <mergeCell ref="J59:K59"/>
    <mergeCell ref="L59:M59"/>
    <mergeCell ref="H60:I60"/>
    <mergeCell ref="D61:E61"/>
    <mergeCell ref="F61:G61"/>
    <mergeCell ref="H61:I61"/>
    <mergeCell ref="J61:K61"/>
    <mergeCell ref="L61:N61"/>
    <mergeCell ref="B62:Q62"/>
    <mergeCell ref="B9:B10"/>
    <mergeCell ref="B11:B12"/>
    <mergeCell ref="B16:C17"/>
    <mergeCell ref="B18:C19"/>
    <mergeCell ref="B20:C21"/>
    <mergeCell ref="B22:C23"/>
    <mergeCell ref="B24:C25"/>
    <mergeCell ref="N54:O59"/>
    <mergeCell ref="P54:Q59"/>
  </mergeCells>
  <pageMargins left="1.10208333333333" right="0.393055555555556" top="0" bottom="0" header="0.5" footer="0.5"/>
  <pageSetup paperSize="5" orientation="landscape" horizontalDpi="600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1">
    <comment s:ref="B4" rgbClr="BEC3DC"/>
    <comment s:ref="P22" rgbClr="BEC3DC"/>
    <comment s:ref="E25" rgbClr="BEC3DC"/>
  </commentList>
  <commentList sheetStid="2">
    <comment s:ref="B4" rgbClr="BEC3DC"/>
    <comment s:ref="P32" rgbClr="BEC3DC"/>
    <comment s:ref="E35" rgbClr="BEC3DC"/>
  </commentList>
</comment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正常</vt:lpstr>
      <vt:lpstr>展开状态</vt:lpstr>
      <vt:lpstr>展开子状态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2019-10-25T15:22:00Z</dcterms:created>
  <dcterms:modified xsi:type="dcterms:W3CDTF">2022-04-03T09:11:58Z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96C2473F1A134D87AF2EB7DDFB291C5C</vt:lpwstr>
  </property>
</Properties>
</file>