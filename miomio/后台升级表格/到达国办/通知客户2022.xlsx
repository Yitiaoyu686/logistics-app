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1" r:id="rId1"/>
    <sheet name="通知客户" sheetId="3" r:id="rId2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D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名字15字符内，如果超过20字符侧隐藏起来，当鼠标移到该处时全部显示出来
</t>
        </r>
      </text>
    </comment>
    <comment ref="E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名字15字符内，如果超过20字符侧隐藏起来，当鼠标移到该处时全部显示出来
</t>
        </r>
      </text>
    </comment>
    <comment ref="N7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鼠标移到此处显示中英文全称
</t>
        </r>
      </text>
    </comment>
  </commentList>
</comments>
</file>

<file path=xl/sharedStrings.xml><?xml version="1.0" encoding="utf-8"?>
<sst xmlns="http://schemas.openxmlformats.org/spreadsheetml/2006/main" count="287" uniqueCount="101">
  <si>
    <t>全部</t>
  </si>
  <si>
    <t>尼日利亚</t>
  </si>
  <si>
    <t>加纳</t>
  </si>
  <si>
    <t>几内亚</t>
  </si>
  <si>
    <t>中国</t>
  </si>
  <si>
    <t>广州</t>
  </si>
  <si>
    <t>深圳</t>
  </si>
  <si>
    <t>上海</t>
  </si>
  <si>
    <t>香港</t>
  </si>
  <si>
    <t>白云区站点</t>
  </si>
  <si>
    <t>海珠区站点</t>
  </si>
  <si>
    <t>广园西站点</t>
  </si>
  <si>
    <t>南方大厦站点</t>
  </si>
  <si>
    <t>输入订单号/JOB/集装号/快递单号/电话字段/收发货人名字可查询</t>
  </si>
  <si>
    <t>批量完成通知</t>
  </si>
  <si>
    <t>选择服务类型</t>
  </si>
  <si>
    <t>选择支付方式</t>
  </si>
  <si>
    <t>选择支付状态</t>
  </si>
  <si>
    <t>序号</t>
  </si>
  <si>
    <t>运单编号  口</t>
  </si>
  <si>
    <t>服务类型</t>
  </si>
  <si>
    <t>发货人</t>
  </si>
  <si>
    <t>收货人</t>
  </si>
  <si>
    <t>电话</t>
  </si>
  <si>
    <t>详细地址</t>
  </si>
  <si>
    <t>区/城市</t>
  </si>
  <si>
    <t>重量kg</t>
  </si>
  <si>
    <t>件数</t>
  </si>
  <si>
    <t>支付方式/状态</t>
  </si>
  <si>
    <t>物流状态</t>
  </si>
  <si>
    <t>操作</t>
  </si>
  <si>
    <t>更新日期</t>
  </si>
  <si>
    <t>190828000021 口</t>
  </si>
  <si>
    <t>特快</t>
  </si>
  <si>
    <t>Karena</t>
  </si>
  <si>
    <t>+234 9038321727</t>
  </si>
  <si>
    <t>OGUN GUANGDONG FREE TRADE ZONE, IGBESA, ADO-ODO/OTA, LOCAL GOVERNMENT AREA,OGUN</t>
  </si>
  <si>
    <t>IKEJA,LOS</t>
  </si>
  <si>
    <t>到付  已付</t>
  </si>
  <si>
    <r>
      <rPr>
        <sz val="8"/>
        <color theme="1"/>
        <rFont val="宋体"/>
        <charset val="134"/>
      </rPr>
      <t>已通知</t>
    </r>
    <r>
      <rPr>
        <sz val="8"/>
        <color theme="1"/>
        <rFont val="Arial"/>
        <charset val="134"/>
      </rPr>
      <t xml:space="preserve"> IKEJ STA           2019/10/25 11:55:35</t>
    </r>
  </si>
  <si>
    <t>通知</t>
  </si>
  <si>
    <t>191025000041 口</t>
  </si>
  <si>
    <t>箴媄子</t>
  </si>
  <si>
    <t>Lagos/ibadan Expressway EWU Osile Village-Sagamu Local Government Area State(Lagos/lbadan Expressway,Danco filling</t>
  </si>
  <si>
    <t>CC  PAID</t>
  </si>
  <si>
    <t>191025000040 口</t>
  </si>
  <si>
    <t>Tom</t>
  </si>
  <si>
    <t>LOME BD FELIX H. BOIGNY , QUARTIER BE KPEHENOU , ANCIEN IMMEUBLE DE LA SOCIETE LALA B. P. 61589</t>
  </si>
  <si>
    <t>到付/已付</t>
  </si>
  <si>
    <t>191012000003 口</t>
  </si>
  <si>
    <t>CC  UNPAID</t>
  </si>
  <si>
    <t>NOTIFIED IKEJ STA           2019/10/25 11:55:35</t>
  </si>
  <si>
    <t>191013000009 口</t>
  </si>
  <si>
    <t>敏敏lena</t>
  </si>
  <si>
    <t>Notified IKEJ STA           2019/10/25 11:55:35</t>
  </si>
  <si>
    <t>191021000039 口</t>
  </si>
  <si>
    <t>Smile</t>
  </si>
  <si>
    <t>191023000002 口</t>
  </si>
  <si>
    <t>良大大</t>
  </si>
  <si>
    <t>191025000039 口</t>
  </si>
  <si>
    <t>光明</t>
  </si>
  <si>
    <t>191025000038 口</t>
  </si>
  <si>
    <t>小莫</t>
  </si>
  <si>
    <t>190922000006 口</t>
  </si>
  <si>
    <t>普快</t>
  </si>
  <si>
    <t>单号</t>
  </si>
  <si>
    <t>线路</t>
  </si>
  <si>
    <t>计费重量KGS</t>
  </si>
  <si>
    <t>CAN.CHN→LOS.NGA</t>
  </si>
  <si>
    <t>到付  未付</t>
  </si>
  <si>
    <r>
      <rPr>
        <b/>
        <sz val="8"/>
        <color theme="1"/>
        <rFont val="Microsoft JhengHei"/>
        <charset val="134"/>
      </rPr>
      <t>已到库</t>
    </r>
    <r>
      <rPr>
        <b/>
        <sz val="8"/>
        <color theme="1"/>
        <rFont val="Arial"/>
        <charset val="134"/>
      </rPr>
      <t xml:space="preserve"> IKEJ STA           2019/10/25 11:55:35</t>
    </r>
  </si>
  <si>
    <t>2341234567890 001</t>
  </si>
  <si>
    <r>
      <rPr>
        <b/>
        <sz val="8"/>
        <color theme="1"/>
        <rFont val="Microsoft JhengHei"/>
        <charset val="134"/>
      </rPr>
      <t>已到库</t>
    </r>
    <r>
      <rPr>
        <b/>
        <sz val="8"/>
        <color theme="1"/>
        <rFont val="Arial"/>
        <charset val="134"/>
      </rPr>
      <t xml:space="preserve"> IKEJ STA           2019/10/25 11:55:36</t>
    </r>
  </si>
  <si>
    <t>2341234567890 002</t>
  </si>
  <si>
    <r>
      <rPr>
        <b/>
        <sz val="8"/>
        <color theme="1"/>
        <rFont val="Microsoft JhengHei"/>
        <charset val="134"/>
      </rPr>
      <t>已到库</t>
    </r>
    <r>
      <rPr>
        <b/>
        <sz val="8"/>
        <color theme="1"/>
        <rFont val="Arial"/>
        <charset val="134"/>
      </rPr>
      <t xml:space="preserve"> IKEJ STA           2019/10/25 11:55:37</t>
    </r>
  </si>
  <si>
    <t>2341234567890 003</t>
  </si>
  <si>
    <r>
      <rPr>
        <b/>
        <sz val="8"/>
        <color theme="1"/>
        <rFont val="Microsoft JhengHei"/>
        <charset val="134"/>
      </rPr>
      <t>已到库</t>
    </r>
    <r>
      <rPr>
        <b/>
        <sz val="8"/>
        <color theme="1"/>
        <rFont val="Arial"/>
        <charset val="134"/>
      </rPr>
      <t xml:space="preserve"> IKEJ STA           2019/10/25 11:55:38</t>
    </r>
  </si>
  <si>
    <t>业务员</t>
  </si>
  <si>
    <t>SAMPAO</t>
  </si>
  <si>
    <t>CHN</t>
  </si>
  <si>
    <t>发件人</t>
  </si>
  <si>
    <t>+234 9038321728</t>
  </si>
  <si>
    <t>NGA</t>
  </si>
  <si>
    <t>收件人</t>
  </si>
  <si>
    <t>+234 9038321729</t>
  </si>
  <si>
    <t>Lagos/ibadan Expressway EWU Osile Village-Sagamu Local Government Area State(Lagos/lbadan Expressway,Danco filling,IKEJA,LAGOS,NIGERIA</t>
  </si>
  <si>
    <t>信息通知</t>
  </si>
  <si>
    <r>
      <rPr>
        <sz val="9"/>
        <color theme="1"/>
        <rFont val="Arial"/>
        <charset val="134"/>
      </rPr>
      <t xml:space="preserve">1 </t>
    </r>
    <r>
      <rPr>
        <sz val="9"/>
        <color theme="1"/>
        <rFont val="Wingdings"/>
        <charset val="134"/>
      </rPr>
      <t>þ</t>
    </r>
    <r>
      <rPr>
        <sz val="8"/>
        <color theme="1"/>
        <rFont val="Arial"/>
        <charset val="134"/>
      </rPr>
      <t xml:space="preserve"> 2019/10/25 11:55:37               CANSAMPAO</t>
    </r>
  </si>
  <si>
    <t>2 口 选择日期</t>
  </si>
  <si>
    <t>3 口 选择日期</t>
  </si>
  <si>
    <t>4 口 选择日期</t>
  </si>
  <si>
    <t>5 口 选择日期</t>
  </si>
  <si>
    <t>电话通知</t>
  </si>
  <si>
    <r>
      <rPr>
        <sz val="9"/>
        <color theme="1"/>
        <rFont val="Microsoft JhengHei"/>
        <charset val="134"/>
      </rPr>
      <t xml:space="preserve">1 </t>
    </r>
    <r>
      <rPr>
        <sz val="9"/>
        <color theme="1"/>
        <rFont val="Wingdings"/>
        <charset val="134"/>
      </rPr>
      <t>þ</t>
    </r>
    <r>
      <rPr>
        <sz val="8"/>
        <color theme="1"/>
        <rFont val="Microsoft JhengHei"/>
        <charset val="134"/>
      </rPr>
      <t xml:space="preserve"> 选择日期</t>
    </r>
  </si>
  <si>
    <t>客户要求</t>
  </si>
  <si>
    <t>自提  口    配送  口</t>
  </si>
  <si>
    <t>信息内容</t>
  </si>
  <si>
    <t>您的货物于2019年10月25日 11:55:36到达我司拉各斯IKEJA仓库，取件码是2341234567890，共4件，计费重量10.0kgs，请到Lagos/ibadan 5 Mojidi Street (by Eco Bank) Off Toyin Street, Ikeja,Lagos，联系SOLA提取货特，联系电话是+234 9038321728，谢谢！</t>
  </si>
  <si>
    <r>
      <rPr>
        <sz val="9"/>
        <color theme="1"/>
        <rFont val="Microsoft JhengHei"/>
        <charset val="134"/>
      </rPr>
      <t xml:space="preserve">Your goods arrived at ikeja warehouse in Lagos at 11:55:36 on OCT 25, 2019. The pick-up code is 2341234567890, Total of 4 pcs, and the chargeble weight is 10.0kgs. Please go to 5 Mojidi Street (by Eco Bank) Off Toyin Street, Ikeja,Lagos and contact sola to pick up the goods. The phone number is + 234 9038321728. Thank you!                                                                                                                                                                             </t>
    </r>
    <r>
      <rPr>
        <b/>
        <sz val="9"/>
        <color rgb="FF0070C0"/>
        <rFont val="Microsoft JhengHei"/>
        <charset val="134"/>
      </rPr>
      <t>复制</t>
    </r>
  </si>
  <si>
    <t>Your goods arrived at ikeja warehouse in Lagos at 11:55:36 on October 25, 2019. The pick-up code is 2341234567890, a total of 4 pieces, 3 have arrived and 1 is still in transit; Tand the chargeble weight is 10.0kgs. Please go to 5 Mojidi Street (by Eco Bank) Off Toyin Street, Ikeja,Lagos and contact sola to pick up the goods. The phone number is + 234 9038321728. Thank you!</t>
  </si>
  <si>
    <t>返回 提交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</si>
</sst>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_ "/>
    <numFmt numFmtId="177" formatCode="#,##0.00_ "/>
    <numFmt numFmtId="41" formatCode="_ * #,##0_ ;_ * \-#,##0_ ;_ * &quot;-&quot;_ ;_ @_ "/>
  </numFmts>
  <fonts count="4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9"/>
      <color theme="1"/>
      <name val="Microsoft JhengHei"/>
      <charset val="134"/>
    </font>
    <font>
      <sz val="9"/>
      <color theme="1"/>
      <name val="Arial"/>
      <charset val="134"/>
    </font>
    <font>
      <b/>
      <sz val="8"/>
      <color theme="1"/>
      <name val="Microsoft JhengHei"/>
      <charset val="134"/>
    </font>
    <font>
      <b/>
      <sz val="8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Microsoft JhengHei"/>
      <charset val="134"/>
    </font>
    <font>
      <sz val="8"/>
      <color theme="1"/>
      <name val="Microsoft JhengHei"/>
      <charset val="134"/>
    </font>
    <font>
      <sz val="9"/>
      <color theme="1"/>
      <name val="Microsoft JhengHei"/>
      <charset val="134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9"/>
      <name val="Microsoft JhengHei"/>
      <charset val="134"/>
    </font>
    <font>
      <b/>
      <sz val="9"/>
      <color theme="0"/>
      <name val="Microsoft JhengHei"/>
      <charset val="134"/>
    </font>
    <font>
      <sz val="8"/>
      <color theme="1"/>
      <name val="Arial"/>
      <charset val="134"/>
    </font>
    <font>
      <sz val="8"/>
      <color theme="1"/>
      <name val="宋体"/>
      <charset val="134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color theme="1"/>
      <name val="Wingdings"/>
      <charset val="134"/>
    </font>
    <font>
      <b/>
      <sz val="9"/>
      <color rgb="FF0070C0"/>
      <name val="Microsoft JhengHei"/>
      <charset val="134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3" fillId="15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23" borderId="12" applyNumberFormat="0" applyFont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32" fillId="31" borderId="14" applyNumberFormat="0" applyAlignment="0" applyProtection="0">
      <alignment vertical="center"/>
    </xf>
    <xf numFmtId="0" fontId="34" fillId="31" borderId="11" applyNumberFormat="0" applyAlignment="0" applyProtection="0">
      <alignment vertical="center"/>
    </xf>
    <xf numFmtId="0" fontId="33" fillId="32" borderId="15" applyNumberForma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76" fontId="5" fillId="4" borderId="4" xfId="0" applyNumberFormat="1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177" fontId="5" fillId="4" borderId="0" xfId="0" applyNumberFormat="1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176" fontId="5" fillId="3" borderId="4" xfId="0" applyNumberFormat="1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177" fontId="8" fillId="3" borderId="0" xfId="0" applyNumberFormat="1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176" fontId="4" fillId="4" borderId="4" xfId="0" applyNumberFormat="1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 vertical="center"/>
    </xf>
    <xf numFmtId="49" fontId="10" fillId="4" borderId="0" xfId="0" applyNumberFormat="1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 vertical="center" wrapText="1"/>
    </xf>
    <xf numFmtId="0" fontId="5" fillId="4" borderId="0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left" vertical="center"/>
    </xf>
    <xf numFmtId="0" fontId="11" fillId="4" borderId="5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11" fillId="3" borderId="0" xfId="0" applyFont="1" applyFill="1" applyBorder="1" applyAlignment="1">
      <alignment horizontal="left" vertical="center"/>
    </xf>
    <xf numFmtId="0" fontId="11" fillId="3" borderId="5" xfId="0" applyFont="1" applyFill="1" applyBorder="1" applyAlignment="1">
      <alignment horizontal="left" vertical="center"/>
    </xf>
    <xf numFmtId="22" fontId="4" fillId="4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11" fillId="4" borderId="0" xfId="0" applyFont="1" applyFill="1" applyAlignment="1">
      <alignment horizontal="left" vertical="center" wrapText="1"/>
    </xf>
    <xf numFmtId="0" fontId="11" fillId="4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3" fillId="4" borderId="0" xfId="0" applyFont="1" applyFill="1">
      <alignment vertical="center"/>
    </xf>
    <xf numFmtId="0" fontId="12" fillId="0" borderId="0" xfId="0" applyFont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176" fontId="10" fillId="4" borderId="0" xfId="0" applyNumberFormat="1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49" fontId="10" fillId="4" borderId="0" xfId="0" applyNumberFormat="1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left" vertical="center" wrapText="1"/>
    </xf>
    <xf numFmtId="0" fontId="10" fillId="3" borderId="4" xfId="0" applyFont="1" applyFill="1" applyBorder="1" applyAlignment="1">
      <alignment horizontal="center" vertical="center"/>
    </xf>
    <xf numFmtId="176" fontId="10" fillId="3" borderId="0" xfId="0" applyNumberFormat="1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49" fontId="10" fillId="3" borderId="0" xfId="0" applyNumberFormat="1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left" vertical="center" wrapText="1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center" vertical="center" wrapText="1"/>
    </xf>
    <xf numFmtId="0" fontId="17" fillId="4" borderId="0" xfId="0" applyFont="1" applyFill="1" applyBorder="1" applyAlignment="1">
      <alignment horizontal="center" vertical="center" wrapText="1"/>
    </xf>
    <xf numFmtId="22" fontId="10" fillId="4" borderId="0" xfId="0" applyNumberFormat="1" applyFont="1" applyFill="1" applyBorder="1" applyAlignment="1">
      <alignment horizontal="center" vertical="center"/>
    </xf>
    <xf numFmtId="22" fontId="10" fillId="4" borderId="5" xfId="0" applyNumberFormat="1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 wrapText="1"/>
    </xf>
    <xf numFmtId="0" fontId="17" fillId="3" borderId="0" xfId="0" applyFont="1" applyFill="1" applyBorder="1" applyAlignment="1">
      <alignment horizontal="center" vertical="center" wrapText="1"/>
    </xf>
    <xf numFmtId="22" fontId="10" fillId="3" borderId="0" xfId="0" applyNumberFormat="1" applyFont="1" applyFill="1" applyBorder="1" applyAlignment="1">
      <alignment horizontal="center" vertical="center"/>
    </xf>
    <xf numFmtId="22" fontId="10" fillId="3" borderId="5" xfId="0" applyNumberFormat="1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0</xdr:col>
      <xdr:colOff>685165</xdr:colOff>
      <xdr:row>22</xdr:row>
      <xdr:rowOff>352425</xdr:rowOff>
    </xdr:to>
    <xdr:sp>
      <xdr:nvSpPr>
        <xdr:cNvPr id="2" name="Host Control  1"/>
        <xdr:cNvSpPr/>
      </xdr:nvSpPr>
      <xdr:spPr>
        <a:xfrm>
          <a:off x="0" y="9232900"/>
          <a:ext cx="685165" cy="35242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tabSelected="1" workbookViewId="0">
      <selection activeCell="O12" sqref="A10:O12"/>
    </sheetView>
  </sheetViews>
  <sheetFormatPr defaultColWidth="9" defaultRowHeight="11.25"/>
  <cols>
    <col min="1" max="1" width="5.625" style="43" customWidth="1"/>
    <col min="2" max="2" width="20.625" style="46" customWidth="1"/>
    <col min="3" max="3" width="15.625" style="46" customWidth="1"/>
    <col min="4" max="4" width="13.625" style="46" customWidth="1"/>
    <col min="5" max="5" width="13.625" style="43" customWidth="1"/>
    <col min="6" max="6" width="20.625" style="43" customWidth="1"/>
    <col min="7" max="9" width="15.625" style="43" customWidth="1"/>
    <col min="10" max="12" width="15.625" style="46" customWidth="1"/>
    <col min="13" max="17" width="15.625" style="43" customWidth="1"/>
    <col min="18" max="18" width="10.625" style="43" customWidth="1"/>
    <col min="19" max="20" width="15.625" style="43" customWidth="1"/>
    <col min="21" max="16384" width="9" style="43"/>
  </cols>
  <sheetData>
    <row r="1" s="42" customFormat="1" ht="30" customHeight="1" spans="1:10">
      <c r="A1" s="47" t="s">
        <v>0</v>
      </c>
      <c r="B1" s="48" t="s">
        <v>1</v>
      </c>
      <c r="C1" s="49" t="s">
        <v>2</v>
      </c>
      <c r="D1" s="49" t="s">
        <v>3</v>
      </c>
      <c r="E1" s="50" t="s">
        <v>4</v>
      </c>
      <c r="F1" s="43"/>
      <c r="G1" s="46"/>
      <c r="H1" s="46"/>
      <c r="I1" s="46"/>
      <c r="J1" s="46"/>
    </row>
    <row r="2" s="42" customFormat="1" ht="30" customHeight="1" spans="1:20">
      <c r="A2" s="48" t="s">
        <v>0</v>
      </c>
      <c r="B2" s="51" t="s">
        <v>5</v>
      </c>
      <c r="C2" s="48" t="s">
        <v>6</v>
      </c>
      <c r="D2" s="48" t="s">
        <v>7</v>
      </c>
      <c r="E2" s="48" t="s">
        <v>8</v>
      </c>
      <c r="F2" s="43"/>
      <c r="G2" s="46"/>
      <c r="H2" s="46"/>
      <c r="I2" s="53"/>
      <c r="J2" s="53"/>
      <c r="L2" s="53"/>
      <c r="N2" s="53"/>
      <c r="O2" s="53"/>
      <c r="P2" s="53"/>
      <c r="Q2" s="53"/>
      <c r="R2" s="53"/>
      <c r="S2" s="53"/>
      <c r="T2" s="53"/>
    </row>
    <row r="3" s="42" customFormat="1" ht="30" customHeight="1" spans="1:20">
      <c r="A3" s="52" t="s">
        <v>0</v>
      </c>
      <c r="B3" s="48" t="s">
        <v>9</v>
      </c>
      <c r="C3" s="48" t="s">
        <v>10</v>
      </c>
      <c r="D3" s="48" t="s">
        <v>11</v>
      </c>
      <c r="E3" s="48" t="s">
        <v>12</v>
      </c>
      <c r="F3" s="43"/>
      <c r="G3" s="46"/>
      <c r="H3" s="46"/>
      <c r="I3" s="53"/>
      <c r="J3" s="53"/>
      <c r="L3" s="53"/>
      <c r="N3" s="53"/>
      <c r="O3" s="53"/>
      <c r="P3" s="53"/>
      <c r="Q3" s="53"/>
      <c r="R3" s="53"/>
      <c r="S3" s="53"/>
      <c r="T3" s="53"/>
    </row>
    <row r="4" s="42" customFormat="1" ht="30" customHeight="1" spans="1:20">
      <c r="A4" s="53"/>
      <c r="B4" s="53"/>
      <c r="C4" s="53"/>
      <c r="D4" s="53"/>
      <c r="E4" s="53"/>
      <c r="F4" s="53"/>
      <c r="G4" s="53"/>
      <c r="H4" s="53"/>
      <c r="I4" s="53"/>
      <c r="J4" s="53"/>
      <c r="L4" s="53"/>
      <c r="N4" s="53"/>
      <c r="O4" s="53"/>
      <c r="P4" s="53"/>
      <c r="Q4" s="54"/>
      <c r="R4" s="54"/>
      <c r="S4" s="54"/>
      <c r="T4" s="54"/>
    </row>
    <row r="5" s="43" customFormat="1" ht="30" customHeight="1" spans="1:20">
      <c r="A5" s="54" t="s">
        <v>13</v>
      </c>
      <c r="B5" s="54"/>
      <c r="C5" s="54"/>
      <c r="D5" s="54"/>
      <c r="E5" s="55" t="s">
        <v>14</v>
      </c>
      <c r="F5" s="55" t="s">
        <v>15</v>
      </c>
      <c r="G5" s="55" t="s">
        <v>16</v>
      </c>
      <c r="H5" s="55" t="s">
        <v>17</v>
      </c>
      <c r="J5" s="55"/>
      <c r="L5" s="55"/>
      <c r="M5" s="55"/>
      <c r="N5" s="54"/>
      <c r="O5" s="54"/>
      <c r="P5" s="54"/>
      <c r="Q5" s="54"/>
      <c r="R5" s="54"/>
      <c r="S5" s="54"/>
      <c r="T5" s="54"/>
    </row>
    <row r="6" s="43" customFormat="1" ht="30" customHeight="1" spans="1:16">
      <c r="A6" s="56" t="s">
        <v>18</v>
      </c>
      <c r="B6" s="57" t="s">
        <v>19</v>
      </c>
      <c r="C6" s="57" t="s">
        <v>20</v>
      </c>
      <c r="D6" s="57" t="s">
        <v>21</v>
      </c>
      <c r="E6" s="57" t="s">
        <v>22</v>
      </c>
      <c r="F6" s="57" t="s">
        <v>23</v>
      </c>
      <c r="G6" s="57" t="s">
        <v>24</v>
      </c>
      <c r="H6" s="57"/>
      <c r="I6" s="57"/>
      <c r="J6" s="57" t="s">
        <v>25</v>
      </c>
      <c r="K6" s="57" t="s">
        <v>26</v>
      </c>
      <c r="L6" s="57" t="s">
        <v>27</v>
      </c>
      <c r="M6" s="57" t="s">
        <v>28</v>
      </c>
      <c r="N6" s="57" t="s">
        <v>29</v>
      </c>
      <c r="O6" s="57" t="s">
        <v>30</v>
      </c>
      <c r="P6" s="70" t="s">
        <v>31</v>
      </c>
    </row>
    <row r="7" s="44" customFormat="1" ht="30" customHeight="1" spans="1:16">
      <c r="A7" s="58">
        <v>1</v>
      </c>
      <c r="B7" s="59" t="s">
        <v>32</v>
      </c>
      <c r="C7" s="60" t="s">
        <v>33</v>
      </c>
      <c r="D7" s="60" t="s">
        <v>34</v>
      </c>
      <c r="E7" s="60" t="s">
        <v>34</v>
      </c>
      <c r="F7" s="61" t="s">
        <v>35</v>
      </c>
      <c r="G7" s="62" t="s">
        <v>36</v>
      </c>
      <c r="H7" s="62"/>
      <c r="I7" s="62"/>
      <c r="J7" s="71" t="s">
        <v>37</v>
      </c>
      <c r="K7" s="60">
        <v>13.5</v>
      </c>
      <c r="L7" s="60">
        <v>1</v>
      </c>
      <c r="M7" s="60" t="s">
        <v>38</v>
      </c>
      <c r="N7" s="72" t="s">
        <v>39</v>
      </c>
      <c r="O7" s="73" t="s">
        <v>40</v>
      </c>
      <c r="P7" s="74">
        <v>43763.9787152778</v>
      </c>
    </row>
    <row r="8" s="44" customFormat="1" ht="30" customHeight="1" spans="1:16">
      <c r="A8" s="63">
        <v>2</v>
      </c>
      <c r="B8" s="64" t="s">
        <v>41</v>
      </c>
      <c r="C8" s="65" t="s">
        <v>33</v>
      </c>
      <c r="D8" s="65" t="s">
        <v>42</v>
      </c>
      <c r="E8" s="65" t="s">
        <v>42</v>
      </c>
      <c r="F8" s="66" t="s">
        <v>35</v>
      </c>
      <c r="G8" s="67" t="s">
        <v>43</v>
      </c>
      <c r="H8" s="67"/>
      <c r="I8" s="67"/>
      <c r="J8" s="75" t="s">
        <v>37</v>
      </c>
      <c r="K8" s="65">
        <v>1</v>
      </c>
      <c r="L8" s="65">
        <v>1</v>
      </c>
      <c r="M8" s="65" t="s">
        <v>44</v>
      </c>
      <c r="N8" s="76" t="s">
        <v>39</v>
      </c>
      <c r="O8" s="77" t="s">
        <v>40</v>
      </c>
      <c r="P8" s="78">
        <v>43763.9937037037</v>
      </c>
    </row>
    <row r="9" s="44" customFormat="1" ht="30" customHeight="1" spans="1:16">
      <c r="A9" s="58">
        <v>3</v>
      </c>
      <c r="B9" s="59" t="s">
        <v>45</v>
      </c>
      <c r="C9" s="60" t="s">
        <v>33</v>
      </c>
      <c r="D9" s="60" t="s">
        <v>46</v>
      </c>
      <c r="E9" s="60" t="s">
        <v>46</v>
      </c>
      <c r="F9" s="61" t="s">
        <v>35</v>
      </c>
      <c r="G9" s="62" t="s">
        <v>47</v>
      </c>
      <c r="H9" s="62"/>
      <c r="I9" s="62"/>
      <c r="J9" s="71" t="s">
        <v>37</v>
      </c>
      <c r="K9" s="60">
        <v>7</v>
      </c>
      <c r="L9" s="60">
        <v>1</v>
      </c>
      <c r="M9" s="60" t="s">
        <v>48</v>
      </c>
      <c r="N9" s="72" t="s">
        <v>39</v>
      </c>
      <c r="O9" s="73" t="s">
        <v>40</v>
      </c>
      <c r="P9" s="74">
        <v>43763.9787152778</v>
      </c>
    </row>
    <row r="10" s="45" customFormat="1" ht="30" customHeight="1" spans="1:16">
      <c r="A10" s="63">
        <v>4</v>
      </c>
      <c r="B10" s="64" t="s">
        <v>49</v>
      </c>
      <c r="C10" s="65" t="s">
        <v>33</v>
      </c>
      <c r="D10" s="65" t="s">
        <v>34</v>
      </c>
      <c r="E10" s="65" t="s">
        <v>34</v>
      </c>
      <c r="F10" s="66" t="s">
        <v>35</v>
      </c>
      <c r="G10" s="67" t="s">
        <v>36</v>
      </c>
      <c r="H10" s="67"/>
      <c r="I10" s="67"/>
      <c r="J10" s="75" t="s">
        <v>37</v>
      </c>
      <c r="K10" s="65">
        <v>22.5</v>
      </c>
      <c r="L10" s="65">
        <v>18</v>
      </c>
      <c r="M10" s="65" t="s">
        <v>50</v>
      </c>
      <c r="N10" s="75" t="s">
        <v>51</v>
      </c>
      <c r="O10" s="77" t="s">
        <v>40</v>
      </c>
      <c r="P10" s="78">
        <v>43750.4313541667</v>
      </c>
    </row>
    <row r="11" s="44" customFormat="1" ht="30" customHeight="1" spans="1:16">
      <c r="A11" s="58">
        <v>5</v>
      </c>
      <c r="B11" s="59" t="s">
        <v>52</v>
      </c>
      <c r="C11" s="60" t="s">
        <v>33</v>
      </c>
      <c r="D11" s="60" t="s">
        <v>53</v>
      </c>
      <c r="E11" s="60" t="s">
        <v>53</v>
      </c>
      <c r="F11" s="61" t="s">
        <v>35</v>
      </c>
      <c r="G11" s="62" t="s">
        <v>36</v>
      </c>
      <c r="H11" s="62"/>
      <c r="I11" s="62"/>
      <c r="J11" s="71" t="s">
        <v>37</v>
      </c>
      <c r="K11" s="60">
        <v>4</v>
      </c>
      <c r="L11" s="60">
        <v>1</v>
      </c>
      <c r="M11" s="60" t="s">
        <v>48</v>
      </c>
      <c r="N11" s="71" t="s">
        <v>54</v>
      </c>
      <c r="O11" s="73" t="s">
        <v>40</v>
      </c>
      <c r="P11" s="74">
        <v>43751.5783912037</v>
      </c>
    </row>
    <row r="12" s="44" customFormat="1" ht="30" customHeight="1" spans="1:16">
      <c r="A12" s="63">
        <v>6</v>
      </c>
      <c r="B12" s="64" t="s">
        <v>55</v>
      </c>
      <c r="C12" s="65" t="s">
        <v>33</v>
      </c>
      <c r="D12" s="65" t="s">
        <v>56</v>
      </c>
      <c r="E12" s="65" t="s">
        <v>56</v>
      </c>
      <c r="F12" s="66" t="s">
        <v>35</v>
      </c>
      <c r="G12" s="67" t="s">
        <v>36</v>
      </c>
      <c r="H12" s="67"/>
      <c r="I12" s="67"/>
      <c r="J12" s="75" t="s">
        <v>37</v>
      </c>
      <c r="K12" s="65">
        <v>1</v>
      </c>
      <c r="L12" s="65">
        <v>1</v>
      </c>
      <c r="M12" s="65" t="s">
        <v>48</v>
      </c>
      <c r="N12" s="76" t="s">
        <v>39</v>
      </c>
      <c r="O12" s="77" t="s">
        <v>40</v>
      </c>
      <c r="P12" s="78">
        <v>43759.9125</v>
      </c>
    </row>
    <row r="13" s="44" customFormat="1" ht="30" customHeight="1" spans="1:16">
      <c r="A13" s="58">
        <v>7</v>
      </c>
      <c r="B13" s="59" t="s">
        <v>57</v>
      </c>
      <c r="C13" s="60" t="s">
        <v>33</v>
      </c>
      <c r="D13" s="60" t="s">
        <v>58</v>
      </c>
      <c r="E13" s="60" t="s">
        <v>58</v>
      </c>
      <c r="F13" s="61" t="s">
        <v>35</v>
      </c>
      <c r="G13" s="62" t="s">
        <v>36</v>
      </c>
      <c r="H13" s="62"/>
      <c r="I13" s="62"/>
      <c r="J13" s="71" t="s">
        <v>37</v>
      </c>
      <c r="K13" s="60">
        <v>31</v>
      </c>
      <c r="L13" s="60">
        <v>1</v>
      </c>
      <c r="M13" s="60" t="s">
        <v>48</v>
      </c>
      <c r="N13" s="72" t="s">
        <v>39</v>
      </c>
      <c r="O13" s="73" t="s">
        <v>40</v>
      </c>
      <c r="P13" s="74">
        <v>43761.0447916667</v>
      </c>
    </row>
    <row r="14" s="44" customFormat="1" ht="30" customHeight="1" spans="1:16">
      <c r="A14" s="63">
        <v>8</v>
      </c>
      <c r="B14" s="64" t="s">
        <v>59</v>
      </c>
      <c r="C14" s="65" t="s">
        <v>33</v>
      </c>
      <c r="D14" s="65" t="s">
        <v>60</v>
      </c>
      <c r="E14" s="65" t="s">
        <v>60</v>
      </c>
      <c r="F14" s="66" t="s">
        <v>35</v>
      </c>
      <c r="G14" s="67" t="s">
        <v>36</v>
      </c>
      <c r="H14" s="67"/>
      <c r="I14" s="67"/>
      <c r="J14" s="75" t="s">
        <v>37</v>
      </c>
      <c r="K14" s="65">
        <v>16</v>
      </c>
      <c r="L14" s="65">
        <v>1</v>
      </c>
      <c r="M14" s="65" t="s">
        <v>48</v>
      </c>
      <c r="N14" s="76" t="s">
        <v>39</v>
      </c>
      <c r="O14" s="77" t="s">
        <v>40</v>
      </c>
      <c r="P14" s="78">
        <v>43763.8812847222</v>
      </c>
    </row>
    <row r="15" s="44" customFormat="1" ht="30" customHeight="1" spans="1:16">
      <c r="A15" s="58">
        <v>9</v>
      </c>
      <c r="B15" s="59" t="s">
        <v>61</v>
      </c>
      <c r="C15" s="60" t="s">
        <v>33</v>
      </c>
      <c r="D15" s="60" t="s">
        <v>62</v>
      </c>
      <c r="E15" s="60" t="s">
        <v>62</v>
      </c>
      <c r="F15" s="61" t="s">
        <v>35</v>
      </c>
      <c r="G15" s="62" t="s">
        <v>36</v>
      </c>
      <c r="H15" s="62"/>
      <c r="I15" s="62"/>
      <c r="J15" s="71" t="s">
        <v>37</v>
      </c>
      <c r="K15" s="60">
        <v>1</v>
      </c>
      <c r="L15" s="60">
        <v>1</v>
      </c>
      <c r="M15" s="60" t="s">
        <v>48</v>
      </c>
      <c r="N15" s="72" t="s">
        <v>39</v>
      </c>
      <c r="O15" s="73" t="s">
        <v>40</v>
      </c>
      <c r="P15" s="74">
        <v>43763.8809953704</v>
      </c>
    </row>
    <row r="16" s="44" customFormat="1" ht="30" customHeight="1" spans="1:16">
      <c r="A16" s="63">
        <v>10</v>
      </c>
      <c r="B16" s="64" t="s">
        <v>63</v>
      </c>
      <c r="C16" s="65" t="s">
        <v>64</v>
      </c>
      <c r="D16" s="65" t="s">
        <v>34</v>
      </c>
      <c r="E16" s="65" t="s">
        <v>34</v>
      </c>
      <c r="F16" s="66" t="s">
        <v>35</v>
      </c>
      <c r="G16" s="67" t="s">
        <v>36</v>
      </c>
      <c r="H16" s="67"/>
      <c r="I16" s="67"/>
      <c r="J16" s="75" t="s">
        <v>37</v>
      </c>
      <c r="K16" s="65">
        <v>8</v>
      </c>
      <c r="L16" s="65">
        <v>1</v>
      </c>
      <c r="M16" s="65" t="s">
        <v>48</v>
      </c>
      <c r="N16" s="76" t="s">
        <v>39</v>
      </c>
      <c r="O16" s="77" t="s">
        <v>40</v>
      </c>
      <c r="P16" s="78">
        <v>43730.7433912037</v>
      </c>
    </row>
    <row r="17" s="44" customFormat="1" ht="30" customHeight="1" spans="1:16">
      <c r="A17" s="58">
        <v>11</v>
      </c>
      <c r="B17" s="59" t="s">
        <v>63</v>
      </c>
      <c r="C17" s="60" t="s">
        <v>64</v>
      </c>
      <c r="D17" s="60" t="s">
        <v>34</v>
      </c>
      <c r="E17" s="60" t="s">
        <v>34</v>
      </c>
      <c r="F17" s="61" t="s">
        <v>35</v>
      </c>
      <c r="G17" s="62" t="s">
        <v>36</v>
      </c>
      <c r="H17" s="62"/>
      <c r="I17" s="62"/>
      <c r="J17" s="71" t="s">
        <v>37</v>
      </c>
      <c r="K17" s="60">
        <v>9</v>
      </c>
      <c r="L17" s="60">
        <v>2</v>
      </c>
      <c r="M17" s="60" t="s">
        <v>48</v>
      </c>
      <c r="N17" s="72" t="s">
        <v>39</v>
      </c>
      <c r="O17" s="73" t="s">
        <v>40</v>
      </c>
      <c r="P17" s="74">
        <v>43731.7433912037</v>
      </c>
    </row>
    <row r="18" s="44" customFormat="1" ht="30" customHeight="1" spans="1:16">
      <c r="A18" s="63">
        <v>12</v>
      </c>
      <c r="B18" s="64" t="s">
        <v>63</v>
      </c>
      <c r="C18" s="65" t="s">
        <v>64</v>
      </c>
      <c r="D18" s="65" t="s">
        <v>34</v>
      </c>
      <c r="E18" s="65" t="s">
        <v>34</v>
      </c>
      <c r="F18" s="66" t="s">
        <v>35</v>
      </c>
      <c r="G18" s="67" t="s">
        <v>36</v>
      </c>
      <c r="H18" s="67"/>
      <c r="I18" s="67"/>
      <c r="J18" s="75" t="s">
        <v>37</v>
      </c>
      <c r="K18" s="65">
        <v>10</v>
      </c>
      <c r="L18" s="65">
        <v>3</v>
      </c>
      <c r="M18" s="65" t="s">
        <v>48</v>
      </c>
      <c r="N18" s="76" t="s">
        <v>39</v>
      </c>
      <c r="O18" s="77" t="s">
        <v>40</v>
      </c>
      <c r="P18" s="78">
        <v>43732.7433912037</v>
      </c>
    </row>
    <row r="19" s="44" customFormat="1" ht="30" customHeight="1" spans="1:16">
      <c r="A19" s="58">
        <v>13</v>
      </c>
      <c r="B19" s="59" t="s">
        <v>63</v>
      </c>
      <c r="C19" s="60" t="s">
        <v>64</v>
      </c>
      <c r="D19" s="60" t="s">
        <v>34</v>
      </c>
      <c r="E19" s="60" t="s">
        <v>34</v>
      </c>
      <c r="F19" s="61" t="s">
        <v>35</v>
      </c>
      <c r="G19" s="62" t="s">
        <v>36</v>
      </c>
      <c r="H19" s="62"/>
      <c r="I19" s="62"/>
      <c r="J19" s="71" t="s">
        <v>37</v>
      </c>
      <c r="K19" s="60">
        <v>11</v>
      </c>
      <c r="L19" s="60">
        <v>4</v>
      </c>
      <c r="M19" s="60" t="s">
        <v>48</v>
      </c>
      <c r="N19" s="72" t="s">
        <v>39</v>
      </c>
      <c r="O19" s="73" t="s">
        <v>40</v>
      </c>
      <c r="P19" s="74">
        <v>43733.7433912037</v>
      </c>
    </row>
    <row r="20" s="44" customFormat="1" ht="30" customHeight="1" spans="1:16">
      <c r="A20" s="63">
        <v>14</v>
      </c>
      <c r="B20" s="64" t="s">
        <v>63</v>
      </c>
      <c r="C20" s="65" t="s">
        <v>64</v>
      </c>
      <c r="D20" s="65" t="s">
        <v>34</v>
      </c>
      <c r="E20" s="65" t="s">
        <v>34</v>
      </c>
      <c r="F20" s="66" t="s">
        <v>35</v>
      </c>
      <c r="G20" s="67" t="s">
        <v>36</v>
      </c>
      <c r="H20" s="67"/>
      <c r="I20" s="67"/>
      <c r="J20" s="75" t="s">
        <v>37</v>
      </c>
      <c r="K20" s="65">
        <v>12</v>
      </c>
      <c r="L20" s="65">
        <v>5</v>
      </c>
      <c r="M20" s="65" t="s">
        <v>48</v>
      </c>
      <c r="N20" s="76" t="s">
        <v>39</v>
      </c>
      <c r="O20" s="77" t="s">
        <v>40</v>
      </c>
      <c r="P20" s="78">
        <v>43734.7433912037</v>
      </c>
    </row>
    <row r="21" s="44" customFormat="1" ht="30" customHeight="1" spans="1:16">
      <c r="A21" s="58">
        <v>15</v>
      </c>
      <c r="B21" s="59" t="s">
        <v>63</v>
      </c>
      <c r="C21" s="60" t="s">
        <v>64</v>
      </c>
      <c r="D21" s="60" t="s">
        <v>34</v>
      </c>
      <c r="E21" s="60" t="s">
        <v>34</v>
      </c>
      <c r="F21" s="61" t="s">
        <v>35</v>
      </c>
      <c r="G21" s="62" t="s">
        <v>36</v>
      </c>
      <c r="H21" s="62"/>
      <c r="I21" s="62"/>
      <c r="J21" s="71" t="s">
        <v>37</v>
      </c>
      <c r="K21" s="60">
        <v>13</v>
      </c>
      <c r="L21" s="60">
        <v>6</v>
      </c>
      <c r="M21" s="60" t="s">
        <v>48</v>
      </c>
      <c r="N21" s="72" t="s">
        <v>39</v>
      </c>
      <c r="O21" s="73" t="s">
        <v>40</v>
      </c>
      <c r="P21" s="74">
        <v>43735.7433912037</v>
      </c>
    </row>
    <row r="22" s="44" customFormat="1" ht="30" customHeight="1" spans="1:16">
      <c r="A22" s="63">
        <v>16</v>
      </c>
      <c r="B22" s="64" t="s">
        <v>63</v>
      </c>
      <c r="C22" s="65" t="s">
        <v>64</v>
      </c>
      <c r="D22" s="65" t="s">
        <v>34</v>
      </c>
      <c r="E22" s="65" t="s">
        <v>34</v>
      </c>
      <c r="F22" s="66" t="s">
        <v>35</v>
      </c>
      <c r="G22" s="67" t="s">
        <v>36</v>
      </c>
      <c r="H22" s="67"/>
      <c r="I22" s="67"/>
      <c r="J22" s="75" t="s">
        <v>37</v>
      </c>
      <c r="K22" s="65">
        <v>14</v>
      </c>
      <c r="L22" s="65">
        <v>7</v>
      </c>
      <c r="M22" s="65" t="s">
        <v>48</v>
      </c>
      <c r="N22" s="76" t="s">
        <v>39</v>
      </c>
      <c r="O22" s="77" t="s">
        <v>40</v>
      </c>
      <c r="P22" s="78">
        <v>43736.7433912037</v>
      </c>
    </row>
    <row r="23" s="44" customFormat="1" ht="30" customHeight="1" spans="1:16">
      <c r="A23" s="58">
        <v>17</v>
      </c>
      <c r="B23" s="59" t="s">
        <v>63</v>
      </c>
      <c r="C23" s="60" t="s">
        <v>64</v>
      </c>
      <c r="D23" s="60" t="s">
        <v>34</v>
      </c>
      <c r="E23" s="60" t="s">
        <v>34</v>
      </c>
      <c r="F23" s="61" t="s">
        <v>35</v>
      </c>
      <c r="G23" s="62" t="s">
        <v>36</v>
      </c>
      <c r="H23" s="62"/>
      <c r="I23" s="62"/>
      <c r="J23" s="71" t="s">
        <v>37</v>
      </c>
      <c r="K23" s="60">
        <v>15</v>
      </c>
      <c r="L23" s="60">
        <v>8</v>
      </c>
      <c r="M23" s="60" t="s">
        <v>48</v>
      </c>
      <c r="N23" s="72" t="s">
        <v>39</v>
      </c>
      <c r="O23" s="73" t="s">
        <v>40</v>
      </c>
      <c r="P23" s="74">
        <v>43737.7433912037</v>
      </c>
    </row>
    <row r="24" s="44" customFormat="1" ht="30" customHeight="1" spans="1:16">
      <c r="A24" s="63">
        <v>18</v>
      </c>
      <c r="B24" s="64" t="s">
        <v>63</v>
      </c>
      <c r="C24" s="65" t="s">
        <v>64</v>
      </c>
      <c r="D24" s="65" t="s">
        <v>34</v>
      </c>
      <c r="E24" s="65" t="s">
        <v>34</v>
      </c>
      <c r="F24" s="66" t="s">
        <v>35</v>
      </c>
      <c r="G24" s="67" t="s">
        <v>36</v>
      </c>
      <c r="H24" s="67"/>
      <c r="I24" s="67"/>
      <c r="J24" s="75" t="s">
        <v>37</v>
      </c>
      <c r="K24" s="65">
        <v>16</v>
      </c>
      <c r="L24" s="65">
        <v>9</v>
      </c>
      <c r="M24" s="65" t="s">
        <v>48</v>
      </c>
      <c r="N24" s="76" t="s">
        <v>39</v>
      </c>
      <c r="O24" s="77" t="s">
        <v>40</v>
      </c>
      <c r="P24" s="78">
        <v>43738.7433912037</v>
      </c>
    </row>
    <row r="25" s="44" customFormat="1" ht="30" customHeight="1" spans="1:16">
      <c r="A25" s="58">
        <v>19</v>
      </c>
      <c r="B25" s="59" t="s">
        <v>63</v>
      </c>
      <c r="C25" s="60" t="s">
        <v>64</v>
      </c>
      <c r="D25" s="60" t="s">
        <v>34</v>
      </c>
      <c r="E25" s="60" t="s">
        <v>34</v>
      </c>
      <c r="F25" s="61" t="s">
        <v>35</v>
      </c>
      <c r="G25" s="62" t="s">
        <v>36</v>
      </c>
      <c r="H25" s="62"/>
      <c r="I25" s="62"/>
      <c r="J25" s="71" t="s">
        <v>37</v>
      </c>
      <c r="K25" s="60">
        <v>17</v>
      </c>
      <c r="L25" s="60">
        <v>10</v>
      </c>
      <c r="M25" s="60" t="s">
        <v>48</v>
      </c>
      <c r="N25" s="72" t="s">
        <v>39</v>
      </c>
      <c r="O25" s="73" t="s">
        <v>40</v>
      </c>
      <c r="P25" s="74">
        <v>43739.7433912037</v>
      </c>
    </row>
    <row r="26" s="44" customFormat="1" ht="30" customHeight="1" spans="1:16">
      <c r="A26" s="63">
        <v>20</v>
      </c>
      <c r="B26" s="64" t="s">
        <v>63</v>
      </c>
      <c r="C26" s="65" t="s">
        <v>64</v>
      </c>
      <c r="D26" s="65" t="s">
        <v>34</v>
      </c>
      <c r="E26" s="65" t="s">
        <v>34</v>
      </c>
      <c r="F26" s="66" t="s">
        <v>35</v>
      </c>
      <c r="G26" s="67" t="s">
        <v>36</v>
      </c>
      <c r="H26" s="67"/>
      <c r="I26" s="67"/>
      <c r="J26" s="75" t="s">
        <v>37</v>
      </c>
      <c r="K26" s="65">
        <v>18</v>
      </c>
      <c r="L26" s="65">
        <v>11</v>
      </c>
      <c r="M26" s="65" t="s">
        <v>48</v>
      </c>
      <c r="N26" s="76" t="s">
        <v>39</v>
      </c>
      <c r="O26" s="77" t="s">
        <v>40</v>
      </c>
      <c r="P26" s="78">
        <v>43740.7433912037</v>
      </c>
    </row>
    <row r="27" ht="30" customHeight="1" spans="1:16">
      <c r="A27" s="68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79"/>
    </row>
  </sheetData>
  <mergeCells count="22">
    <mergeCell ref="A4:B4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</mergeCells>
  <pageMargins left="0" right="0" top="0" bottom="0" header="0.5" footer="0.5"/>
  <pageSetup paperSize="9" orientation="portrait" horizontalDpi="6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23"/>
  <sheetViews>
    <sheetView topLeftCell="A10" workbookViewId="0">
      <selection activeCell="J18" sqref="J18"/>
    </sheetView>
  </sheetViews>
  <sheetFormatPr defaultColWidth="9" defaultRowHeight="13.5" outlineLevelCol="6"/>
  <cols>
    <col min="2" max="7" width="20.625" customWidth="1"/>
  </cols>
  <sheetData>
    <row r="3" s="1" customFormat="1" ht="30" customHeight="1" spans="1:7">
      <c r="A3" s="2"/>
      <c r="B3" s="3" t="s">
        <v>40</v>
      </c>
      <c r="C3" s="4"/>
      <c r="D3" s="4"/>
      <c r="E3" s="4"/>
      <c r="F3" s="4"/>
      <c r="G3" s="5"/>
    </row>
    <row r="4" s="1" customFormat="1" ht="30" customHeight="1" spans="1:7">
      <c r="A4" s="2"/>
      <c r="B4" s="6" t="s">
        <v>65</v>
      </c>
      <c r="C4" s="7" t="s">
        <v>66</v>
      </c>
      <c r="D4" s="7" t="s">
        <v>67</v>
      </c>
      <c r="E4" s="7" t="s">
        <v>27</v>
      </c>
      <c r="F4" s="7" t="s">
        <v>28</v>
      </c>
      <c r="G4" s="8" t="s">
        <v>29</v>
      </c>
    </row>
    <row r="5" s="1" customFormat="1" ht="30" customHeight="1" spans="1:7">
      <c r="A5" s="2"/>
      <c r="B5" s="9">
        <v>2341234567890</v>
      </c>
      <c r="C5" s="10" t="s">
        <v>68</v>
      </c>
      <c r="D5" s="11">
        <v>1</v>
      </c>
      <c r="E5" s="12">
        <v>1</v>
      </c>
      <c r="F5" s="13" t="s">
        <v>69</v>
      </c>
      <c r="G5" s="14" t="s">
        <v>70</v>
      </c>
    </row>
    <row r="6" s="1" customFormat="1" ht="30" customHeight="1" spans="1:7">
      <c r="A6" s="2"/>
      <c r="B6" s="9" t="s">
        <v>71</v>
      </c>
      <c r="C6" s="10" t="s">
        <v>68</v>
      </c>
      <c r="D6" s="11">
        <v>2</v>
      </c>
      <c r="E6" s="12">
        <v>1</v>
      </c>
      <c r="F6" s="13"/>
      <c r="G6" s="15" t="s">
        <v>72</v>
      </c>
    </row>
    <row r="7" s="1" customFormat="1" ht="30" customHeight="1" spans="1:7">
      <c r="A7" s="2"/>
      <c r="B7" s="9" t="s">
        <v>73</v>
      </c>
      <c r="C7" s="10" t="s">
        <v>68</v>
      </c>
      <c r="D7" s="11">
        <v>3</v>
      </c>
      <c r="E7" s="12">
        <v>1</v>
      </c>
      <c r="F7" s="13"/>
      <c r="G7" s="14" t="s">
        <v>74</v>
      </c>
    </row>
    <row r="8" s="1" customFormat="1" ht="30" customHeight="1" spans="1:7">
      <c r="A8" s="2"/>
      <c r="B8" s="9" t="s">
        <v>75</v>
      </c>
      <c r="C8" s="10" t="s">
        <v>68</v>
      </c>
      <c r="D8" s="11">
        <v>4</v>
      </c>
      <c r="E8" s="12">
        <v>1</v>
      </c>
      <c r="F8" s="13"/>
      <c r="G8" s="14" t="s">
        <v>76</v>
      </c>
    </row>
    <row r="9" s="1" customFormat="1" ht="30" customHeight="1" spans="1:7">
      <c r="A9" s="2"/>
      <c r="B9" s="16"/>
      <c r="C9" s="17"/>
      <c r="D9" s="18">
        <f>SUM(D5:D8)</f>
        <v>10</v>
      </c>
      <c r="E9" s="19">
        <f>SUM(E5:E8)</f>
        <v>4</v>
      </c>
      <c r="F9" s="20"/>
      <c r="G9" s="21"/>
    </row>
    <row r="10" s="1" customFormat="1" ht="30" customHeight="1" spans="1:7">
      <c r="A10" s="2"/>
      <c r="B10" s="22" t="s">
        <v>77</v>
      </c>
      <c r="C10" s="23" t="s">
        <v>78</v>
      </c>
      <c r="D10" s="24" t="s">
        <v>35</v>
      </c>
      <c r="E10" s="25" t="s">
        <v>79</v>
      </c>
      <c r="F10" s="13"/>
      <c r="G10" s="15"/>
    </row>
    <row r="11" s="1" customFormat="1" ht="30" customHeight="1" spans="1:7">
      <c r="A11" s="2"/>
      <c r="B11" s="22" t="s">
        <v>80</v>
      </c>
      <c r="C11" s="23" t="s">
        <v>78</v>
      </c>
      <c r="D11" s="24" t="s">
        <v>81</v>
      </c>
      <c r="E11" s="25" t="s">
        <v>82</v>
      </c>
      <c r="F11" s="13"/>
      <c r="G11" s="15"/>
    </row>
    <row r="12" s="1" customFormat="1" ht="30" customHeight="1" spans="1:7">
      <c r="A12" s="2"/>
      <c r="B12" s="22" t="s">
        <v>83</v>
      </c>
      <c r="C12" s="23" t="s">
        <v>78</v>
      </c>
      <c r="D12" s="24" t="s">
        <v>84</v>
      </c>
      <c r="E12" s="25" t="s">
        <v>82</v>
      </c>
      <c r="F12" s="13"/>
      <c r="G12" s="15"/>
    </row>
    <row r="13" s="1" customFormat="1" ht="30" customHeight="1" spans="1:7">
      <c r="A13" s="2"/>
      <c r="B13" s="22" t="s">
        <v>24</v>
      </c>
      <c r="C13" s="26" t="s">
        <v>85</v>
      </c>
      <c r="D13" s="26"/>
      <c r="E13" s="26"/>
      <c r="F13" s="26"/>
      <c r="G13" s="27"/>
    </row>
    <row r="14" s="1" customFormat="1" ht="30" customHeight="1" spans="1:7">
      <c r="A14" s="2"/>
      <c r="B14" s="28" t="s">
        <v>86</v>
      </c>
      <c r="C14" s="26" t="s">
        <v>87</v>
      </c>
      <c r="D14" s="29" t="s">
        <v>88</v>
      </c>
      <c r="E14" s="29" t="s">
        <v>89</v>
      </c>
      <c r="F14" s="29" t="s">
        <v>90</v>
      </c>
      <c r="G14" s="30" t="s">
        <v>91</v>
      </c>
    </row>
    <row r="15" s="1" customFormat="1" ht="30" customHeight="1" spans="1:7">
      <c r="A15" s="2"/>
      <c r="B15" s="28" t="s">
        <v>92</v>
      </c>
      <c r="C15" s="29" t="s">
        <v>93</v>
      </c>
      <c r="D15" s="29" t="s">
        <v>88</v>
      </c>
      <c r="E15" s="29" t="s">
        <v>89</v>
      </c>
      <c r="F15" s="29" t="s">
        <v>90</v>
      </c>
      <c r="G15" s="30" t="s">
        <v>91</v>
      </c>
    </row>
    <row r="16" s="1" customFormat="1" ht="30" customHeight="1" spans="1:7">
      <c r="A16" s="2"/>
      <c r="B16" s="28" t="s">
        <v>94</v>
      </c>
      <c r="C16" s="29" t="s">
        <v>95</v>
      </c>
      <c r="D16" s="29"/>
      <c r="E16" s="29"/>
      <c r="F16" s="29"/>
      <c r="G16" s="30"/>
    </row>
    <row r="17" s="1" customFormat="1" ht="30" customHeight="1" spans="1:7">
      <c r="A17" s="2"/>
      <c r="B17" s="31" t="s">
        <v>96</v>
      </c>
      <c r="C17" s="32"/>
      <c r="D17" s="32"/>
      <c r="E17" s="32"/>
      <c r="F17" s="32"/>
      <c r="G17" s="33"/>
    </row>
    <row r="18" s="1" customFormat="1" ht="50" customHeight="1" spans="1:7">
      <c r="A18" s="2"/>
      <c r="B18" s="34">
        <v>43763.4969444444</v>
      </c>
      <c r="C18" s="35" t="s">
        <v>97</v>
      </c>
      <c r="D18" s="35"/>
      <c r="E18" s="35"/>
      <c r="F18" s="35"/>
      <c r="G18" s="36"/>
    </row>
    <row r="19" s="1" customFormat="1" ht="50" customHeight="1" spans="1:7">
      <c r="A19" s="2"/>
      <c r="B19" s="34"/>
      <c r="C19" s="37" t="s">
        <v>98</v>
      </c>
      <c r="D19" s="37"/>
      <c r="E19" s="37"/>
      <c r="F19" s="37"/>
      <c r="G19" s="38"/>
    </row>
    <row r="20" s="1" customFormat="1" ht="50" customHeight="1" spans="1:7">
      <c r="A20" s="2"/>
      <c r="B20" s="34">
        <v>43764.4969444444</v>
      </c>
      <c r="C20" s="35"/>
      <c r="D20" s="35"/>
      <c r="E20" s="35"/>
      <c r="F20" s="35"/>
      <c r="G20" s="36"/>
    </row>
    <row r="21" s="1" customFormat="1" ht="50" customHeight="1" spans="1:7">
      <c r="A21" s="2"/>
      <c r="B21" s="34"/>
      <c r="C21" s="37" t="s">
        <v>99</v>
      </c>
      <c r="D21" s="37"/>
      <c r="E21" s="37"/>
      <c r="F21" s="37"/>
      <c r="G21" s="38"/>
    </row>
    <row r="22" s="1" customFormat="1" ht="50" customHeight="1" spans="1:7">
      <c r="A22" s="2"/>
      <c r="B22" s="28"/>
      <c r="C22" s="37" t="s">
        <v>99</v>
      </c>
      <c r="D22" s="37"/>
      <c r="E22" s="37"/>
      <c r="F22" s="37"/>
      <c r="G22" s="38"/>
    </row>
    <row r="23" ht="30" customHeight="1" spans="2:7">
      <c r="B23" s="39" t="s">
        <v>100</v>
      </c>
      <c r="C23" s="40"/>
      <c r="D23" s="40"/>
      <c r="E23" s="40"/>
      <c r="F23" s="40"/>
      <c r="G23" s="41"/>
    </row>
  </sheetData>
  <mergeCells count="12">
    <mergeCell ref="B3:G3"/>
    <mergeCell ref="C13:G13"/>
    <mergeCell ref="C16:G16"/>
    <mergeCell ref="C18:G18"/>
    <mergeCell ref="C19:G19"/>
    <mergeCell ref="C20:G20"/>
    <mergeCell ref="C21:G21"/>
    <mergeCell ref="C22:G22"/>
    <mergeCell ref="B23:G23"/>
    <mergeCell ref="B18:B19"/>
    <mergeCell ref="B20:B21"/>
    <mergeCell ref="F5:F8"/>
  </mergeCells>
  <pageMargins left="0.75" right="0.75" top="1" bottom="1" header="0.5" footer="0.5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N7" rgbClr="39CA84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列表</vt:lpstr>
      <vt:lpstr>通知客户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2019-10-25T16:12:00Z</dcterms:created>
  <dcterms:modified xsi:type="dcterms:W3CDTF">2022-05-30T06:47:07Z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630BD470E946417D9623B7FE73ED384C</vt:lpwstr>
  </property>
</Properties>
</file>