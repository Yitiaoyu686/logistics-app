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1"/>
  </bookViews>
  <sheets>
    <sheet name="正常" sheetId="1" r:id="rId1"/>
    <sheet name="展开" sheetId="2" r:id="rId2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C9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点击JOB可显示其项下的所有集装信息，包括订单号
</t>
        </r>
      </text>
    </comment>
  </commentList>
</comments>
</file>

<file path=xl/comments2.xml><?xml version="1.0" encoding="utf-8"?>
<comments xmlns="http://schemas.openxmlformats.org/spreadsheetml/2006/main">
  <authors>
    <author>SamPao</author>
  </authors>
  <commentList>
    <comment ref="C9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点击JOB可显示其项下的所有集装信息，包括订单号
</t>
        </r>
      </text>
    </comment>
  </commentList>
</comments>
</file>

<file path=xl/sharedStrings.xml><?xml version="1.0" encoding="utf-8"?>
<sst xmlns="http://schemas.openxmlformats.org/spreadsheetml/2006/main" count="581" uniqueCount="124">
  <si>
    <t>全部</t>
  </si>
  <si>
    <t>尼日利亚</t>
  </si>
  <si>
    <t>加纳</t>
  </si>
  <si>
    <t>几内亚</t>
  </si>
  <si>
    <t>中国</t>
  </si>
  <si>
    <t>广州</t>
  </si>
  <si>
    <t>深圳</t>
  </si>
  <si>
    <t>上海</t>
  </si>
  <si>
    <t>香港</t>
  </si>
  <si>
    <t>白云区站点</t>
  </si>
  <si>
    <t>海珠区站点</t>
  </si>
  <si>
    <t>广园西站点</t>
  </si>
  <si>
    <t>南方大厦站点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</si>
  <si>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</si>
  <si>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</si>
  <si>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</si>
  <si>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</si>
  <si>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</si>
  <si>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</si>
  <si>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</si>
  <si>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</si>
  <si>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2027年</t>
  </si>
  <si>
    <t>2028年</t>
  </si>
  <si>
    <t>2029年</t>
  </si>
  <si>
    <t>2030年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</si>
  <si>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</si>
  <si>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</si>
  <si>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</si>
  <si>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</si>
  <si>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</si>
  <si>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</si>
  <si>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</si>
  <si>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</si>
  <si>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</si>
  <si>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</si>
  <si>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</si>
  <si>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</si>
  <si>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输入订单号/JOB/提单号/可查询</t>
  </si>
  <si>
    <t>序号</t>
  </si>
  <si>
    <t>站点</t>
  </si>
  <si>
    <t>任务编号</t>
  </si>
  <si>
    <t>线路</t>
  </si>
  <si>
    <t>类型</t>
  </si>
  <si>
    <t>承运人</t>
  </si>
  <si>
    <t>提单号</t>
  </si>
  <si>
    <t>起运港</t>
  </si>
  <si>
    <t>目的港</t>
  </si>
  <si>
    <t>重量Kg</t>
  </si>
  <si>
    <t>件数</t>
  </si>
  <si>
    <t>应付CNY</t>
  </si>
  <si>
    <t>状态</t>
  </si>
  <si>
    <t>操作</t>
  </si>
  <si>
    <t>更新日期</t>
  </si>
  <si>
    <t>福田区站点</t>
  </si>
  <si>
    <t>JOB100156</t>
  </si>
  <si>
    <t>CAN.CHN→LOS.NGN</t>
  </si>
  <si>
    <t>普快</t>
  </si>
  <si>
    <t>ET</t>
  </si>
  <si>
    <t>071-35539265</t>
  </si>
  <si>
    <t>CAN</t>
  </si>
  <si>
    <t>ACC</t>
  </si>
  <si>
    <t>待录入</t>
  </si>
  <si>
    <t>录入 @</t>
  </si>
  <si>
    <t>JOB100136</t>
  </si>
  <si>
    <t>071-35618004</t>
  </si>
  <si>
    <t>已录入</t>
  </si>
  <si>
    <t>编辑 @</t>
  </si>
  <si>
    <t>JOB100145</t>
  </si>
  <si>
    <t>特快</t>
  </si>
  <si>
    <t>MS</t>
  </si>
  <si>
    <t>071-35545580</t>
  </si>
  <si>
    <t>待审核</t>
  </si>
  <si>
    <t>@</t>
  </si>
  <si>
    <t>JOB100137</t>
  </si>
  <si>
    <t>已审核</t>
  </si>
  <si>
    <t>JOB100115</t>
  </si>
  <si>
    <t>HKG</t>
  </si>
  <si>
    <t>已驳回</t>
  </si>
  <si>
    <t>JOB100159</t>
  </si>
  <si>
    <t>录入@</t>
  </si>
  <si>
    <t>JOB100146</t>
  </si>
  <si>
    <t>LOS</t>
  </si>
  <si>
    <t>JOB100148</t>
  </si>
  <si>
    <t>JOB100154</t>
  </si>
  <si>
    <t>JOB100153</t>
  </si>
  <si>
    <t>JOB100116</t>
  </si>
  <si>
    <t>JOB100117</t>
  </si>
  <si>
    <t>JOB100118</t>
  </si>
  <si>
    <t>JOB100119</t>
  </si>
  <si>
    <t>JOB100120</t>
  </si>
  <si>
    <t>总应付CNY</t>
  </si>
  <si>
    <t>应付成本明细</t>
  </si>
  <si>
    <t>供应商</t>
  </si>
  <si>
    <t>订单号</t>
  </si>
  <si>
    <t>项目</t>
  </si>
  <si>
    <t>单价NGN</t>
  </si>
  <si>
    <t>数量</t>
  </si>
  <si>
    <t>小计CNY</t>
  </si>
  <si>
    <t>录入账号</t>
  </si>
  <si>
    <t>支付状态</t>
  </si>
  <si>
    <t>支付途径</t>
  </si>
  <si>
    <t>财务账号</t>
  </si>
  <si>
    <t>支付日期</t>
  </si>
  <si>
    <t>支付凭证</t>
  </si>
  <si>
    <t>广州喵喵国际货运代理有限公司深圳分公司</t>
  </si>
  <si>
    <t>无</t>
  </si>
  <si>
    <t>到门配送费</t>
  </si>
  <si>
    <t>CANOFFICE</t>
  </si>
  <si>
    <t>已付</t>
  </si>
  <si>
    <t>公账</t>
  </si>
  <si>
    <t>LUOYUEMEI</t>
  </si>
  <si>
    <t>查看</t>
  </si>
  <si>
    <t>Mailmail internationa logistics Co.,LTD</t>
  </si>
  <si>
    <t>190121000025 09</t>
  </si>
  <si>
    <t>报关费</t>
  </si>
  <si>
    <t>私账</t>
  </si>
  <si>
    <t>OLATUNDE</t>
  </si>
  <si>
    <t>其它费用</t>
  </si>
  <si>
    <t>微信/公</t>
  </si>
  <si>
    <t>微信/私</t>
  </si>
  <si>
    <t>支付宝/公</t>
  </si>
  <si>
    <t>支付宝/私</t>
  </si>
  <si>
    <t>现金</t>
  </si>
  <si>
    <t>总计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</si>
</sst>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#,##0.00_ "/>
    <numFmt numFmtId="177" formatCode="0.00_ "/>
  </numFmts>
  <fonts count="33">
    <font>
      <sz val="11"/>
      <color theme="1"/>
      <name val="宋体"/>
      <charset val="134"/>
      <scheme val="minor"/>
    </font>
    <font>
      <sz val="10"/>
      <color theme="1"/>
      <name val="Microsoft JhengHei"/>
      <charset val="134"/>
    </font>
    <font>
      <sz val="9"/>
      <color theme="1"/>
      <name val="Microsoft JhengHei"/>
      <charset val="134"/>
    </font>
    <font>
      <b/>
      <sz val="9"/>
      <color theme="1"/>
      <name val="Microsoft JhengHei"/>
      <charset val="134"/>
    </font>
    <font>
      <b/>
      <sz val="10"/>
      <name val="Microsoft JhengHei"/>
      <charset val="134"/>
    </font>
    <font>
      <b/>
      <sz val="10"/>
      <color theme="1"/>
      <name val="Microsoft JhengHei"/>
      <charset val="134"/>
    </font>
    <font>
      <b/>
      <sz val="10"/>
      <color theme="0"/>
      <name val="Microsoft JhengHei"/>
      <charset val="134"/>
    </font>
    <font>
      <sz val="10"/>
      <color rgb="FF393939"/>
      <name val="Microsoft JhengHei"/>
      <charset val="134"/>
    </font>
    <font>
      <b/>
      <sz val="10"/>
      <color rgb="FF393939"/>
      <name val="Microsoft JhengHei"/>
      <charset val="134"/>
    </font>
    <font>
      <sz val="9"/>
      <color rgb="FF393939"/>
      <name val="Microsoft JhengHei"/>
      <charset val="134"/>
    </font>
    <font>
      <b/>
      <sz val="9"/>
      <color rgb="FF393939"/>
      <name val="Microsoft JhengHei"/>
      <charset val="134"/>
    </font>
    <font>
      <b/>
      <sz val="18"/>
      <color theme="1"/>
      <name val="Microsoft JhengHei"/>
      <charset val="134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2" fillId="9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8" borderId="12" applyNumberFormat="0" applyFon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21" fillId="17" borderId="11" applyNumberFormat="0" applyAlignment="0" applyProtection="0">
      <alignment vertical="center"/>
    </xf>
    <xf numFmtId="0" fontId="23" fillId="17" borderId="9" applyNumberFormat="0" applyAlignment="0" applyProtection="0">
      <alignment vertical="center"/>
    </xf>
    <xf numFmtId="0" fontId="25" fillId="21" borderId="13" applyNumberForma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8" fillId="7" borderId="0" xfId="0" applyFont="1" applyFill="1" applyBorder="1" applyAlignment="1">
      <alignment vertical="center" wrapText="1"/>
    </xf>
    <xf numFmtId="0" fontId="3" fillId="8" borderId="5" xfId="0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vertical="center"/>
    </xf>
    <xf numFmtId="0" fontId="2" fillId="7" borderId="0" xfId="0" applyFont="1" applyFill="1" applyBorder="1" applyAlignment="1">
      <alignment horizontal="center" vertical="center"/>
    </xf>
    <xf numFmtId="177" fontId="2" fillId="7" borderId="0" xfId="0" applyNumberFormat="1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0" xfId="0" applyFont="1" applyFill="1" applyBorder="1" applyAlignment="1">
      <alignment vertical="center"/>
    </xf>
    <xf numFmtId="0" fontId="2" fillId="8" borderId="0" xfId="0" applyFont="1" applyFill="1" applyBorder="1" applyAlignment="1">
      <alignment horizontal="center" vertical="center"/>
    </xf>
    <xf numFmtId="177" fontId="2" fillId="8" borderId="0" xfId="0" applyNumberFormat="1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left" vertical="center" wrapText="1"/>
    </xf>
    <xf numFmtId="0" fontId="9" fillId="8" borderId="0" xfId="0" applyFont="1" applyFill="1" applyBorder="1" applyAlignment="1">
      <alignment horizontal="left" vertical="center" wrapText="1"/>
    </xf>
    <xf numFmtId="0" fontId="9" fillId="8" borderId="0" xfId="0" applyFont="1" applyFill="1" applyBorder="1" applyAlignment="1">
      <alignment horizontal="center" vertical="center" wrapText="1"/>
    </xf>
    <xf numFmtId="0" fontId="9" fillId="8" borderId="0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0" xfId="0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vertical="center"/>
    </xf>
    <xf numFmtId="0" fontId="7" fillId="4" borderId="4" xfId="0" applyFont="1" applyFill="1" applyBorder="1" applyAlignment="1">
      <alignment vertical="center"/>
    </xf>
    <xf numFmtId="177" fontId="7" fillId="7" borderId="4" xfId="0" applyNumberFormat="1" applyFont="1" applyFill="1" applyBorder="1" applyAlignment="1">
      <alignment horizontal="center" vertical="center"/>
    </xf>
    <xf numFmtId="4" fontId="7" fillId="7" borderId="4" xfId="0" applyNumberFormat="1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 wrapText="1"/>
    </xf>
    <xf numFmtId="0" fontId="2" fillId="0" borderId="0" xfId="0" applyFont="1" applyBorder="1">
      <alignment vertical="center"/>
    </xf>
    <xf numFmtId="177" fontId="10" fillId="8" borderId="2" xfId="0" applyNumberFormat="1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 wrapText="1"/>
    </xf>
    <xf numFmtId="176" fontId="2" fillId="7" borderId="0" xfId="0" applyNumberFormat="1" applyFont="1" applyFill="1" applyBorder="1" applyAlignment="1">
      <alignment horizontal="center" vertical="center"/>
    </xf>
    <xf numFmtId="177" fontId="9" fillId="7" borderId="0" xfId="0" applyNumberFormat="1" applyFont="1" applyFill="1" applyBorder="1" applyAlignment="1">
      <alignment horizontal="center" vertical="center"/>
    </xf>
    <xf numFmtId="0" fontId="9" fillId="7" borderId="0" xfId="0" applyFont="1" applyFill="1" applyBorder="1" applyAlignment="1">
      <alignment horizontal="center" vertical="center"/>
    </xf>
    <xf numFmtId="14" fontId="2" fillId="7" borderId="0" xfId="0" applyNumberFormat="1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 wrapText="1"/>
    </xf>
    <xf numFmtId="176" fontId="2" fillId="8" borderId="0" xfId="0" applyNumberFormat="1" applyFont="1" applyFill="1" applyBorder="1" applyAlignment="1">
      <alignment horizontal="center" vertical="center"/>
    </xf>
    <xf numFmtId="177" fontId="9" fillId="8" borderId="0" xfId="0" applyNumberFormat="1" applyFont="1" applyFill="1" applyBorder="1" applyAlignment="1">
      <alignment horizontal="center" vertical="center"/>
    </xf>
    <xf numFmtId="0" fontId="9" fillId="8" borderId="0" xfId="0" applyFont="1" applyFill="1" applyBorder="1" applyAlignment="1">
      <alignment horizontal="center" vertical="center"/>
    </xf>
    <xf numFmtId="14" fontId="2" fillId="8" borderId="0" xfId="0" applyNumberFormat="1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 wrapText="1"/>
    </xf>
    <xf numFmtId="176" fontId="3" fillId="8" borderId="0" xfId="0" applyNumberFormat="1" applyFont="1" applyFill="1" applyBorder="1" applyAlignment="1">
      <alignment horizontal="center" vertical="center"/>
    </xf>
    <xf numFmtId="176" fontId="9" fillId="8" borderId="0" xfId="0" applyNumberFormat="1" applyFont="1" applyFill="1" applyBorder="1" applyAlignment="1">
      <alignment horizontal="center" vertical="center" wrapText="1"/>
    </xf>
    <xf numFmtId="177" fontId="7" fillId="8" borderId="2" xfId="0" applyNumberFormat="1" applyFont="1" applyFill="1" applyBorder="1" applyAlignment="1">
      <alignment horizontal="center" vertical="center"/>
    </xf>
    <xf numFmtId="4" fontId="7" fillId="8" borderId="2" xfId="0" applyNumberFormat="1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 wrapText="1"/>
    </xf>
    <xf numFmtId="177" fontId="7" fillId="7" borderId="0" xfId="0" applyNumberFormat="1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 wrapText="1"/>
    </xf>
    <xf numFmtId="177" fontId="7" fillId="8" borderId="0" xfId="0" applyNumberFormat="1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22" fontId="1" fillId="7" borderId="8" xfId="0" applyNumberFormat="1" applyFont="1" applyFill="1" applyBorder="1" applyAlignment="1">
      <alignment horizontal="center" vertical="center"/>
    </xf>
    <xf numFmtId="22" fontId="1" fillId="8" borderId="7" xfId="0" applyNumberFormat="1" applyFont="1" applyFill="1" applyBorder="1" applyAlignment="1">
      <alignment horizontal="center" vertical="center"/>
    </xf>
    <xf numFmtId="22" fontId="1" fillId="7" borderId="6" xfId="0" applyNumberFormat="1" applyFont="1" applyFill="1" applyBorder="1" applyAlignment="1">
      <alignment horizontal="center" vertical="center"/>
    </xf>
    <xf numFmtId="22" fontId="1" fillId="8" borderId="6" xfId="0" applyNumberFormat="1" applyFont="1" applyFill="1" applyBorder="1" applyAlignment="1">
      <alignment horizontal="center" vertical="center"/>
    </xf>
    <xf numFmtId="0" fontId="7" fillId="4" borderId="8" xfId="0" applyFont="1" applyFill="1" applyBorder="1" applyAlignment="1">
      <alignment vertical="center"/>
    </xf>
    <xf numFmtId="4" fontId="7" fillId="7" borderId="0" xfId="0" applyNumberFormat="1" applyFont="1" applyFill="1" applyBorder="1" applyAlignment="1">
      <alignment horizontal="center" vertical="center"/>
    </xf>
    <xf numFmtId="4" fontId="7" fillId="8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1584325</xdr:colOff>
      <xdr:row>8</xdr:row>
      <xdr:rowOff>82550</xdr:rowOff>
    </xdr:from>
    <xdr:to>
      <xdr:col>11</xdr:col>
      <xdr:colOff>1692275</xdr:colOff>
      <xdr:row>8</xdr:row>
      <xdr:rowOff>158750</xdr:rowOff>
    </xdr:to>
    <xdr:sp>
      <xdr:nvSpPr>
        <xdr:cNvPr id="2" name="流程图: 合并 1"/>
        <xdr:cNvSpPr/>
      </xdr:nvSpPr>
      <xdr:spPr>
        <a:xfrm>
          <a:off x="10153650" y="2622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1584325</xdr:colOff>
      <xdr:row>18</xdr:row>
      <xdr:rowOff>82550</xdr:rowOff>
    </xdr:from>
    <xdr:to>
      <xdr:col>11</xdr:col>
      <xdr:colOff>1692275</xdr:colOff>
      <xdr:row>18</xdr:row>
      <xdr:rowOff>158750</xdr:rowOff>
    </xdr:to>
    <xdr:sp>
      <xdr:nvSpPr>
        <xdr:cNvPr id="3" name="流程图: 合并 2"/>
        <xdr:cNvSpPr/>
      </xdr:nvSpPr>
      <xdr:spPr>
        <a:xfrm>
          <a:off x="10153650" y="5797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8</xdr:row>
      <xdr:rowOff>96520</xdr:rowOff>
    </xdr:from>
    <xdr:to>
      <xdr:col>0</xdr:col>
      <xdr:colOff>506730</xdr:colOff>
      <xdr:row>8</xdr:row>
      <xdr:rowOff>172720</xdr:rowOff>
    </xdr:to>
    <xdr:sp>
      <xdr:nvSpPr>
        <xdr:cNvPr id="4" name="流程图: 合并 3"/>
        <xdr:cNvSpPr/>
      </xdr:nvSpPr>
      <xdr:spPr>
        <a:xfrm>
          <a:off x="398780" y="263652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15</xdr:row>
      <xdr:rowOff>97155</xdr:rowOff>
    </xdr:from>
    <xdr:to>
      <xdr:col>0</xdr:col>
      <xdr:colOff>506730</xdr:colOff>
      <xdr:row>15</xdr:row>
      <xdr:rowOff>173355</xdr:rowOff>
    </xdr:to>
    <xdr:sp>
      <xdr:nvSpPr>
        <xdr:cNvPr id="5" name="流程图: 合并 4"/>
        <xdr:cNvSpPr/>
      </xdr:nvSpPr>
      <xdr:spPr>
        <a:xfrm>
          <a:off x="398780" y="485965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9</xdr:row>
      <xdr:rowOff>98425</xdr:rowOff>
    </xdr:from>
    <xdr:to>
      <xdr:col>0</xdr:col>
      <xdr:colOff>506730</xdr:colOff>
      <xdr:row>9</xdr:row>
      <xdr:rowOff>174625</xdr:rowOff>
    </xdr:to>
    <xdr:sp>
      <xdr:nvSpPr>
        <xdr:cNvPr id="6" name="流程图: 合并 5"/>
        <xdr:cNvSpPr/>
      </xdr:nvSpPr>
      <xdr:spPr>
        <a:xfrm>
          <a:off x="398780" y="295592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9</xdr:row>
      <xdr:rowOff>99695</xdr:rowOff>
    </xdr:from>
    <xdr:to>
      <xdr:col>0</xdr:col>
      <xdr:colOff>506730</xdr:colOff>
      <xdr:row>9</xdr:row>
      <xdr:rowOff>175895</xdr:rowOff>
    </xdr:to>
    <xdr:sp>
      <xdr:nvSpPr>
        <xdr:cNvPr id="7" name="流程图: 合并 6"/>
        <xdr:cNvSpPr/>
      </xdr:nvSpPr>
      <xdr:spPr>
        <a:xfrm>
          <a:off x="398780" y="295719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10</xdr:row>
      <xdr:rowOff>96520</xdr:rowOff>
    </xdr:from>
    <xdr:to>
      <xdr:col>0</xdr:col>
      <xdr:colOff>506730</xdr:colOff>
      <xdr:row>10</xdr:row>
      <xdr:rowOff>172720</xdr:rowOff>
    </xdr:to>
    <xdr:sp>
      <xdr:nvSpPr>
        <xdr:cNvPr id="8" name="流程图: 合并 7"/>
        <xdr:cNvSpPr/>
      </xdr:nvSpPr>
      <xdr:spPr>
        <a:xfrm>
          <a:off x="398780" y="327152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16</xdr:row>
      <xdr:rowOff>101600</xdr:rowOff>
    </xdr:from>
    <xdr:to>
      <xdr:col>0</xdr:col>
      <xdr:colOff>506730</xdr:colOff>
      <xdr:row>16</xdr:row>
      <xdr:rowOff>177800</xdr:rowOff>
    </xdr:to>
    <xdr:sp>
      <xdr:nvSpPr>
        <xdr:cNvPr id="9" name="流程图: 合并 8"/>
        <xdr:cNvSpPr/>
      </xdr:nvSpPr>
      <xdr:spPr>
        <a:xfrm>
          <a:off x="398780" y="518160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11</xdr:row>
      <xdr:rowOff>98425</xdr:rowOff>
    </xdr:from>
    <xdr:to>
      <xdr:col>0</xdr:col>
      <xdr:colOff>506730</xdr:colOff>
      <xdr:row>11</xdr:row>
      <xdr:rowOff>174625</xdr:rowOff>
    </xdr:to>
    <xdr:sp>
      <xdr:nvSpPr>
        <xdr:cNvPr id="10" name="流程图: 合并 9"/>
        <xdr:cNvSpPr/>
      </xdr:nvSpPr>
      <xdr:spPr>
        <a:xfrm>
          <a:off x="398780" y="359092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20</xdr:row>
      <xdr:rowOff>92075</xdr:rowOff>
    </xdr:from>
    <xdr:to>
      <xdr:col>0</xdr:col>
      <xdr:colOff>506730</xdr:colOff>
      <xdr:row>20</xdr:row>
      <xdr:rowOff>168275</xdr:rowOff>
    </xdr:to>
    <xdr:sp>
      <xdr:nvSpPr>
        <xdr:cNvPr id="11" name="流程图: 合并 10"/>
        <xdr:cNvSpPr/>
      </xdr:nvSpPr>
      <xdr:spPr>
        <a:xfrm>
          <a:off x="398780" y="644207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12</xdr:row>
      <xdr:rowOff>96520</xdr:rowOff>
    </xdr:from>
    <xdr:to>
      <xdr:col>0</xdr:col>
      <xdr:colOff>506730</xdr:colOff>
      <xdr:row>12</xdr:row>
      <xdr:rowOff>172720</xdr:rowOff>
    </xdr:to>
    <xdr:sp>
      <xdr:nvSpPr>
        <xdr:cNvPr id="12" name="流程图: 合并 11"/>
        <xdr:cNvSpPr/>
      </xdr:nvSpPr>
      <xdr:spPr>
        <a:xfrm>
          <a:off x="398780" y="390652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19</xdr:row>
      <xdr:rowOff>97155</xdr:rowOff>
    </xdr:from>
    <xdr:to>
      <xdr:col>0</xdr:col>
      <xdr:colOff>506730</xdr:colOff>
      <xdr:row>19</xdr:row>
      <xdr:rowOff>173355</xdr:rowOff>
    </xdr:to>
    <xdr:sp>
      <xdr:nvSpPr>
        <xdr:cNvPr id="13" name="流程图: 合并 12"/>
        <xdr:cNvSpPr/>
      </xdr:nvSpPr>
      <xdr:spPr>
        <a:xfrm>
          <a:off x="398780" y="612965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13</xdr:row>
      <xdr:rowOff>96520</xdr:rowOff>
    </xdr:from>
    <xdr:to>
      <xdr:col>0</xdr:col>
      <xdr:colOff>506730</xdr:colOff>
      <xdr:row>13</xdr:row>
      <xdr:rowOff>172720</xdr:rowOff>
    </xdr:to>
    <xdr:sp>
      <xdr:nvSpPr>
        <xdr:cNvPr id="14" name="流程图: 合并 13"/>
        <xdr:cNvSpPr/>
      </xdr:nvSpPr>
      <xdr:spPr>
        <a:xfrm>
          <a:off x="398780" y="422402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18</xdr:row>
      <xdr:rowOff>97790</xdr:rowOff>
    </xdr:from>
    <xdr:to>
      <xdr:col>0</xdr:col>
      <xdr:colOff>506730</xdr:colOff>
      <xdr:row>18</xdr:row>
      <xdr:rowOff>173990</xdr:rowOff>
    </xdr:to>
    <xdr:sp>
      <xdr:nvSpPr>
        <xdr:cNvPr id="15" name="流程图: 合并 14"/>
        <xdr:cNvSpPr/>
      </xdr:nvSpPr>
      <xdr:spPr>
        <a:xfrm>
          <a:off x="398780" y="581279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14</xdr:row>
      <xdr:rowOff>98425</xdr:rowOff>
    </xdr:from>
    <xdr:to>
      <xdr:col>0</xdr:col>
      <xdr:colOff>506730</xdr:colOff>
      <xdr:row>14</xdr:row>
      <xdr:rowOff>174625</xdr:rowOff>
    </xdr:to>
    <xdr:sp>
      <xdr:nvSpPr>
        <xdr:cNvPr id="16" name="流程图: 合并 15"/>
        <xdr:cNvSpPr/>
      </xdr:nvSpPr>
      <xdr:spPr>
        <a:xfrm>
          <a:off x="398780" y="454342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17</xdr:row>
      <xdr:rowOff>95250</xdr:rowOff>
    </xdr:from>
    <xdr:to>
      <xdr:col>0</xdr:col>
      <xdr:colOff>506730</xdr:colOff>
      <xdr:row>17</xdr:row>
      <xdr:rowOff>171450</xdr:rowOff>
    </xdr:to>
    <xdr:sp>
      <xdr:nvSpPr>
        <xdr:cNvPr id="17" name="流程图: 合并 16"/>
        <xdr:cNvSpPr/>
      </xdr:nvSpPr>
      <xdr:spPr>
        <a:xfrm>
          <a:off x="398780" y="549275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21</xdr:row>
      <xdr:rowOff>100330</xdr:rowOff>
    </xdr:from>
    <xdr:to>
      <xdr:col>0</xdr:col>
      <xdr:colOff>506730</xdr:colOff>
      <xdr:row>21</xdr:row>
      <xdr:rowOff>176530</xdr:rowOff>
    </xdr:to>
    <xdr:sp>
      <xdr:nvSpPr>
        <xdr:cNvPr id="18" name="流程图: 合并 17"/>
        <xdr:cNvSpPr/>
      </xdr:nvSpPr>
      <xdr:spPr>
        <a:xfrm>
          <a:off x="398780" y="676783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22</xdr:row>
      <xdr:rowOff>92075</xdr:rowOff>
    </xdr:from>
    <xdr:to>
      <xdr:col>0</xdr:col>
      <xdr:colOff>506730</xdr:colOff>
      <xdr:row>22</xdr:row>
      <xdr:rowOff>168275</xdr:rowOff>
    </xdr:to>
    <xdr:sp>
      <xdr:nvSpPr>
        <xdr:cNvPr id="19" name="流程图: 合并 18"/>
        <xdr:cNvSpPr/>
      </xdr:nvSpPr>
      <xdr:spPr>
        <a:xfrm>
          <a:off x="398780" y="707707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23</xdr:row>
      <xdr:rowOff>83185</xdr:rowOff>
    </xdr:from>
    <xdr:to>
      <xdr:col>0</xdr:col>
      <xdr:colOff>506730</xdr:colOff>
      <xdr:row>23</xdr:row>
      <xdr:rowOff>159385</xdr:rowOff>
    </xdr:to>
    <xdr:sp>
      <xdr:nvSpPr>
        <xdr:cNvPr id="20" name="流程图: 合并 19"/>
        <xdr:cNvSpPr/>
      </xdr:nvSpPr>
      <xdr:spPr>
        <a:xfrm>
          <a:off x="398780" y="738568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24</xdr:row>
      <xdr:rowOff>88265</xdr:rowOff>
    </xdr:from>
    <xdr:to>
      <xdr:col>0</xdr:col>
      <xdr:colOff>506730</xdr:colOff>
      <xdr:row>24</xdr:row>
      <xdr:rowOff>164465</xdr:rowOff>
    </xdr:to>
    <xdr:sp>
      <xdr:nvSpPr>
        <xdr:cNvPr id="21" name="流程图: 合并 20"/>
        <xdr:cNvSpPr/>
      </xdr:nvSpPr>
      <xdr:spPr>
        <a:xfrm>
          <a:off x="398780" y="770826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26</xdr:row>
      <xdr:rowOff>113665</xdr:rowOff>
    </xdr:from>
    <xdr:to>
      <xdr:col>0</xdr:col>
      <xdr:colOff>506730</xdr:colOff>
      <xdr:row>26</xdr:row>
      <xdr:rowOff>189865</xdr:rowOff>
    </xdr:to>
    <xdr:sp>
      <xdr:nvSpPr>
        <xdr:cNvPr id="22" name="流程图: 合并 21"/>
        <xdr:cNvSpPr/>
      </xdr:nvSpPr>
      <xdr:spPr>
        <a:xfrm>
          <a:off x="398780" y="836866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25</xdr:row>
      <xdr:rowOff>95885</xdr:rowOff>
    </xdr:from>
    <xdr:to>
      <xdr:col>0</xdr:col>
      <xdr:colOff>506730</xdr:colOff>
      <xdr:row>25</xdr:row>
      <xdr:rowOff>172085</xdr:rowOff>
    </xdr:to>
    <xdr:sp>
      <xdr:nvSpPr>
        <xdr:cNvPr id="23" name="流程图: 合并 22"/>
        <xdr:cNvSpPr/>
      </xdr:nvSpPr>
      <xdr:spPr>
        <a:xfrm>
          <a:off x="398780" y="803338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27</xdr:row>
      <xdr:rowOff>93345</xdr:rowOff>
    </xdr:from>
    <xdr:to>
      <xdr:col>0</xdr:col>
      <xdr:colOff>506730</xdr:colOff>
      <xdr:row>27</xdr:row>
      <xdr:rowOff>169545</xdr:rowOff>
    </xdr:to>
    <xdr:sp>
      <xdr:nvSpPr>
        <xdr:cNvPr id="24" name="流程图: 合并 23"/>
        <xdr:cNvSpPr/>
      </xdr:nvSpPr>
      <xdr:spPr>
        <a:xfrm>
          <a:off x="398780" y="866584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1584325</xdr:colOff>
      <xdr:row>12</xdr:row>
      <xdr:rowOff>82550</xdr:rowOff>
    </xdr:from>
    <xdr:to>
      <xdr:col>11</xdr:col>
      <xdr:colOff>1692275</xdr:colOff>
      <xdr:row>12</xdr:row>
      <xdr:rowOff>158750</xdr:rowOff>
    </xdr:to>
    <xdr:sp>
      <xdr:nvSpPr>
        <xdr:cNvPr id="25" name="流程图: 合并 24"/>
        <xdr:cNvSpPr/>
      </xdr:nvSpPr>
      <xdr:spPr>
        <a:xfrm>
          <a:off x="10153650" y="3892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1584325</xdr:colOff>
      <xdr:row>18</xdr:row>
      <xdr:rowOff>82550</xdr:rowOff>
    </xdr:from>
    <xdr:to>
      <xdr:col>11</xdr:col>
      <xdr:colOff>1692275</xdr:colOff>
      <xdr:row>18</xdr:row>
      <xdr:rowOff>158750</xdr:rowOff>
    </xdr:to>
    <xdr:sp>
      <xdr:nvSpPr>
        <xdr:cNvPr id="26" name="流程图: 合并 25"/>
        <xdr:cNvSpPr/>
      </xdr:nvSpPr>
      <xdr:spPr>
        <a:xfrm>
          <a:off x="10153650" y="5797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1584325</xdr:colOff>
      <xdr:row>22</xdr:row>
      <xdr:rowOff>82550</xdr:rowOff>
    </xdr:from>
    <xdr:to>
      <xdr:col>11</xdr:col>
      <xdr:colOff>1692275</xdr:colOff>
      <xdr:row>22</xdr:row>
      <xdr:rowOff>158750</xdr:rowOff>
    </xdr:to>
    <xdr:sp>
      <xdr:nvSpPr>
        <xdr:cNvPr id="27" name="流程图: 合并 26"/>
        <xdr:cNvSpPr/>
      </xdr:nvSpPr>
      <xdr:spPr>
        <a:xfrm>
          <a:off x="10153650" y="7067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1584325</xdr:colOff>
      <xdr:row>27</xdr:row>
      <xdr:rowOff>82550</xdr:rowOff>
    </xdr:from>
    <xdr:to>
      <xdr:col>11</xdr:col>
      <xdr:colOff>1692275</xdr:colOff>
      <xdr:row>27</xdr:row>
      <xdr:rowOff>158750</xdr:rowOff>
    </xdr:to>
    <xdr:sp>
      <xdr:nvSpPr>
        <xdr:cNvPr id="28" name="流程图: 合并 27"/>
        <xdr:cNvSpPr/>
      </xdr:nvSpPr>
      <xdr:spPr>
        <a:xfrm>
          <a:off x="10153650" y="86550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1584325</xdr:colOff>
      <xdr:row>8</xdr:row>
      <xdr:rowOff>82550</xdr:rowOff>
    </xdr:from>
    <xdr:to>
      <xdr:col>7</xdr:col>
      <xdr:colOff>1692275</xdr:colOff>
      <xdr:row>8</xdr:row>
      <xdr:rowOff>158750</xdr:rowOff>
    </xdr:to>
    <xdr:sp>
      <xdr:nvSpPr>
        <xdr:cNvPr id="29" name="流程图: 合并 28"/>
        <xdr:cNvSpPr/>
      </xdr:nvSpPr>
      <xdr:spPr>
        <a:xfrm>
          <a:off x="6915150" y="2622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1584325</xdr:colOff>
      <xdr:row>18</xdr:row>
      <xdr:rowOff>82550</xdr:rowOff>
    </xdr:from>
    <xdr:to>
      <xdr:col>7</xdr:col>
      <xdr:colOff>1692275</xdr:colOff>
      <xdr:row>18</xdr:row>
      <xdr:rowOff>158750</xdr:rowOff>
    </xdr:to>
    <xdr:sp>
      <xdr:nvSpPr>
        <xdr:cNvPr id="30" name="流程图: 合并 29"/>
        <xdr:cNvSpPr/>
      </xdr:nvSpPr>
      <xdr:spPr>
        <a:xfrm>
          <a:off x="6915150" y="5797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1584325</xdr:colOff>
      <xdr:row>12</xdr:row>
      <xdr:rowOff>82550</xdr:rowOff>
    </xdr:from>
    <xdr:to>
      <xdr:col>7</xdr:col>
      <xdr:colOff>1692275</xdr:colOff>
      <xdr:row>12</xdr:row>
      <xdr:rowOff>158750</xdr:rowOff>
    </xdr:to>
    <xdr:sp>
      <xdr:nvSpPr>
        <xdr:cNvPr id="31" name="流程图: 合并 30"/>
        <xdr:cNvSpPr/>
      </xdr:nvSpPr>
      <xdr:spPr>
        <a:xfrm>
          <a:off x="6915150" y="3892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1584325</xdr:colOff>
      <xdr:row>18</xdr:row>
      <xdr:rowOff>82550</xdr:rowOff>
    </xdr:from>
    <xdr:to>
      <xdr:col>7</xdr:col>
      <xdr:colOff>1692275</xdr:colOff>
      <xdr:row>18</xdr:row>
      <xdr:rowOff>158750</xdr:rowOff>
    </xdr:to>
    <xdr:sp>
      <xdr:nvSpPr>
        <xdr:cNvPr id="32" name="流程图: 合并 31"/>
        <xdr:cNvSpPr/>
      </xdr:nvSpPr>
      <xdr:spPr>
        <a:xfrm>
          <a:off x="6915150" y="5797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1584325</xdr:colOff>
      <xdr:row>22</xdr:row>
      <xdr:rowOff>82550</xdr:rowOff>
    </xdr:from>
    <xdr:to>
      <xdr:col>7</xdr:col>
      <xdr:colOff>1692275</xdr:colOff>
      <xdr:row>22</xdr:row>
      <xdr:rowOff>158750</xdr:rowOff>
    </xdr:to>
    <xdr:sp>
      <xdr:nvSpPr>
        <xdr:cNvPr id="33" name="流程图: 合并 32"/>
        <xdr:cNvSpPr/>
      </xdr:nvSpPr>
      <xdr:spPr>
        <a:xfrm>
          <a:off x="6915150" y="7067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1584325</xdr:colOff>
      <xdr:row>27</xdr:row>
      <xdr:rowOff>82550</xdr:rowOff>
    </xdr:from>
    <xdr:to>
      <xdr:col>7</xdr:col>
      <xdr:colOff>1692275</xdr:colOff>
      <xdr:row>27</xdr:row>
      <xdr:rowOff>158750</xdr:rowOff>
    </xdr:to>
    <xdr:sp>
      <xdr:nvSpPr>
        <xdr:cNvPr id="34" name="流程图: 合并 33"/>
        <xdr:cNvSpPr/>
      </xdr:nvSpPr>
      <xdr:spPr>
        <a:xfrm>
          <a:off x="6915150" y="86550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1584325</xdr:colOff>
      <xdr:row>8</xdr:row>
      <xdr:rowOff>82550</xdr:rowOff>
    </xdr:from>
    <xdr:to>
      <xdr:col>9</xdr:col>
      <xdr:colOff>1692275</xdr:colOff>
      <xdr:row>8</xdr:row>
      <xdr:rowOff>158750</xdr:rowOff>
    </xdr:to>
    <xdr:sp>
      <xdr:nvSpPr>
        <xdr:cNvPr id="2" name="流程图: 合并 1"/>
        <xdr:cNvSpPr/>
      </xdr:nvSpPr>
      <xdr:spPr>
        <a:xfrm>
          <a:off x="8534400" y="2622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1584325</xdr:colOff>
      <xdr:row>28</xdr:row>
      <xdr:rowOff>82550</xdr:rowOff>
    </xdr:from>
    <xdr:to>
      <xdr:col>9</xdr:col>
      <xdr:colOff>1692275</xdr:colOff>
      <xdr:row>28</xdr:row>
      <xdr:rowOff>158750</xdr:rowOff>
    </xdr:to>
    <xdr:sp>
      <xdr:nvSpPr>
        <xdr:cNvPr id="3" name="流程图: 合并 2"/>
        <xdr:cNvSpPr/>
      </xdr:nvSpPr>
      <xdr:spPr>
        <a:xfrm>
          <a:off x="8534400" y="8972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370205</xdr:colOff>
      <xdr:row>8</xdr:row>
      <xdr:rowOff>77470</xdr:rowOff>
    </xdr:from>
    <xdr:to>
      <xdr:col>0</xdr:col>
      <xdr:colOff>478155</xdr:colOff>
      <xdr:row>8</xdr:row>
      <xdr:rowOff>153670</xdr:rowOff>
    </xdr:to>
    <xdr:sp>
      <xdr:nvSpPr>
        <xdr:cNvPr id="4" name="流程图: 合并 3"/>
        <xdr:cNvSpPr/>
      </xdr:nvSpPr>
      <xdr:spPr>
        <a:xfrm rot="10800000">
          <a:off x="370205" y="261747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25</xdr:row>
      <xdr:rowOff>97155</xdr:rowOff>
    </xdr:from>
    <xdr:to>
      <xdr:col>0</xdr:col>
      <xdr:colOff>506730</xdr:colOff>
      <xdr:row>25</xdr:row>
      <xdr:rowOff>173355</xdr:rowOff>
    </xdr:to>
    <xdr:sp>
      <xdr:nvSpPr>
        <xdr:cNvPr id="5" name="流程图: 合并 4"/>
        <xdr:cNvSpPr/>
      </xdr:nvSpPr>
      <xdr:spPr>
        <a:xfrm>
          <a:off x="398780" y="803465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20</xdr:row>
      <xdr:rowOff>96520</xdr:rowOff>
    </xdr:from>
    <xdr:to>
      <xdr:col>0</xdr:col>
      <xdr:colOff>506730</xdr:colOff>
      <xdr:row>20</xdr:row>
      <xdr:rowOff>172720</xdr:rowOff>
    </xdr:to>
    <xdr:sp>
      <xdr:nvSpPr>
        <xdr:cNvPr id="8" name="流程图: 合并 7"/>
        <xdr:cNvSpPr/>
      </xdr:nvSpPr>
      <xdr:spPr>
        <a:xfrm>
          <a:off x="398780" y="644652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26</xdr:row>
      <xdr:rowOff>101600</xdr:rowOff>
    </xdr:from>
    <xdr:to>
      <xdr:col>0</xdr:col>
      <xdr:colOff>506730</xdr:colOff>
      <xdr:row>26</xdr:row>
      <xdr:rowOff>177800</xdr:rowOff>
    </xdr:to>
    <xdr:sp>
      <xdr:nvSpPr>
        <xdr:cNvPr id="9" name="流程图: 合并 8"/>
        <xdr:cNvSpPr/>
      </xdr:nvSpPr>
      <xdr:spPr>
        <a:xfrm>
          <a:off x="398780" y="835660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21</xdr:row>
      <xdr:rowOff>98425</xdr:rowOff>
    </xdr:from>
    <xdr:to>
      <xdr:col>0</xdr:col>
      <xdr:colOff>506730</xdr:colOff>
      <xdr:row>21</xdr:row>
      <xdr:rowOff>174625</xdr:rowOff>
    </xdr:to>
    <xdr:sp>
      <xdr:nvSpPr>
        <xdr:cNvPr id="10" name="流程图: 合并 9"/>
        <xdr:cNvSpPr/>
      </xdr:nvSpPr>
      <xdr:spPr>
        <a:xfrm>
          <a:off x="398780" y="676592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30</xdr:row>
      <xdr:rowOff>92075</xdr:rowOff>
    </xdr:from>
    <xdr:to>
      <xdr:col>0</xdr:col>
      <xdr:colOff>506730</xdr:colOff>
      <xdr:row>30</xdr:row>
      <xdr:rowOff>168275</xdr:rowOff>
    </xdr:to>
    <xdr:sp>
      <xdr:nvSpPr>
        <xdr:cNvPr id="11" name="流程图: 合并 10"/>
        <xdr:cNvSpPr/>
      </xdr:nvSpPr>
      <xdr:spPr>
        <a:xfrm>
          <a:off x="398780" y="961707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22</xdr:row>
      <xdr:rowOff>96520</xdr:rowOff>
    </xdr:from>
    <xdr:to>
      <xdr:col>0</xdr:col>
      <xdr:colOff>506730</xdr:colOff>
      <xdr:row>22</xdr:row>
      <xdr:rowOff>172720</xdr:rowOff>
    </xdr:to>
    <xdr:sp>
      <xdr:nvSpPr>
        <xdr:cNvPr id="12" name="流程图: 合并 11"/>
        <xdr:cNvSpPr/>
      </xdr:nvSpPr>
      <xdr:spPr>
        <a:xfrm>
          <a:off x="398780" y="708152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29</xdr:row>
      <xdr:rowOff>97155</xdr:rowOff>
    </xdr:from>
    <xdr:to>
      <xdr:col>0</xdr:col>
      <xdr:colOff>506730</xdr:colOff>
      <xdr:row>29</xdr:row>
      <xdr:rowOff>173355</xdr:rowOff>
    </xdr:to>
    <xdr:sp>
      <xdr:nvSpPr>
        <xdr:cNvPr id="13" name="流程图: 合并 12"/>
        <xdr:cNvSpPr/>
      </xdr:nvSpPr>
      <xdr:spPr>
        <a:xfrm>
          <a:off x="398780" y="930465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23</xdr:row>
      <xdr:rowOff>96520</xdr:rowOff>
    </xdr:from>
    <xdr:to>
      <xdr:col>0</xdr:col>
      <xdr:colOff>506730</xdr:colOff>
      <xdr:row>23</xdr:row>
      <xdr:rowOff>172720</xdr:rowOff>
    </xdr:to>
    <xdr:sp>
      <xdr:nvSpPr>
        <xdr:cNvPr id="14" name="流程图: 合并 13"/>
        <xdr:cNvSpPr/>
      </xdr:nvSpPr>
      <xdr:spPr>
        <a:xfrm>
          <a:off x="398780" y="739902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28</xdr:row>
      <xdr:rowOff>97790</xdr:rowOff>
    </xdr:from>
    <xdr:to>
      <xdr:col>0</xdr:col>
      <xdr:colOff>506730</xdr:colOff>
      <xdr:row>28</xdr:row>
      <xdr:rowOff>173990</xdr:rowOff>
    </xdr:to>
    <xdr:sp>
      <xdr:nvSpPr>
        <xdr:cNvPr id="15" name="流程图: 合并 14"/>
        <xdr:cNvSpPr/>
      </xdr:nvSpPr>
      <xdr:spPr>
        <a:xfrm>
          <a:off x="398780" y="898779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24</xdr:row>
      <xdr:rowOff>98425</xdr:rowOff>
    </xdr:from>
    <xdr:to>
      <xdr:col>0</xdr:col>
      <xdr:colOff>506730</xdr:colOff>
      <xdr:row>24</xdr:row>
      <xdr:rowOff>174625</xdr:rowOff>
    </xdr:to>
    <xdr:sp>
      <xdr:nvSpPr>
        <xdr:cNvPr id="16" name="流程图: 合并 15"/>
        <xdr:cNvSpPr/>
      </xdr:nvSpPr>
      <xdr:spPr>
        <a:xfrm>
          <a:off x="398780" y="771842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27</xdr:row>
      <xdr:rowOff>95250</xdr:rowOff>
    </xdr:from>
    <xdr:to>
      <xdr:col>0</xdr:col>
      <xdr:colOff>506730</xdr:colOff>
      <xdr:row>27</xdr:row>
      <xdr:rowOff>171450</xdr:rowOff>
    </xdr:to>
    <xdr:sp>
      <xdr:nvSpPr>
        <xdr:cNvPr id="17" name="流程图: 合并 16"/>
        <xdr:cNvSpPr/>
      </xdr:nvSpPr>
      <xdr:spPr>
        <a:xfrm>
          <a:off x="398780" y="866775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31</xdr:row>
      <xdr:rowOff>100330</xdr:rowOff>
    </xdr:from>
    <xdr:to>
      <xdr:col>0</xdr:col>
      <xdr:colOff>506730</xdr:colOff>
      <xdr:row>31</xdr:row>
      <xdr:rowOff>176530</xdr:rowOff>
    </xdr:to>
    <xdr:sp>
      <xdr:nvSpPr>
        <xdr:cNvPr id="18" name="流程图: 合并 17"/>
        <xdr:cNvSpPr/>
      </xdr:nvSpPr>
      <xdr:spPr>
        <a:xfrm>
          <a:off x="398780" y="994283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32</xdr:row>
      <xdr:rowOff>92075</xdr:rowOff>
    </xdr:from>
    <xdr:to>
      <xdr:col>0</xdr:col>
      <xdr:colOff>506730</xdr:colOff>
      <xdr:row>32</xdr:row>
      <xdr:rowOff>168275</xdr:rowOff>
    </xdr:to>
    <xdr:sp>
      <xdr:nvSpPr>
        <xdr:cNvPr id="19" name="流程图: 合并 18"/>
        <xdr:cNvSpPr/>
      </xdr:nvSpPr>
      <xdr:spPr>
        <a:xfrm>
          <a:off x="398780" y="1025207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33</xdr:row>
      <xdr:rowOff>83185</xdr:rowOff>
    </xdr:from>
    <xdr:to>
      <xdr:col>0</xdr:col>
      <xdr:colOff>506730</xdr:colOff>
      <xdr:row>33</xdr:row>
      <xdr:rowOff>159385</xdr:rowOff>
    </xdr:to>
    <xdr:sp>
      <xdr:nvSpPr>
        <xdr:cNvPr id="20" name="流程图: 合并 19"/>
        <xdr:cNvSpPr/>
      </xdr:nvSpPr>
      <xdr:spPr>
        <a:xfrm>
          <a:off x="398780" y="1056068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34</xdr:row>
      <xdr:rowOff>88265</xdr:rowOff>
    </xdr:from>
    <xdr:to>
      <xdr:col>0</xdr:col>
      <xdr:colOff>506730</xdr:colOff>
      <xdr:row>34</xdr:row>
      <xdr:rowOff>164465</xdr:rowOff>
    </xdr:to>
    <xdr:sp>
      <xdr:nvSpPr>
        <xdr:cNvPr id="21" name="流程图: 合并 20"/>
        <xdr:cNvSpPr/>
      </xdr:nvSpPr>
      <xdr:spPr>
        <a:xfrm>
          <a:off x="398780" y="1088326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36</xdr:row>
      <xdr:rowOff>113665</xdr:rowOff>
    </xdr:from>
    <xdr:to>
      <xdr:col>0</xdr:col>
      <xdr:colOff>506730</xdr:colOff>
      <xdr:row>36</xdr:row>
      <xdr:rowOff>189865</xdr:rowOff>
    </xdr:to>
    <xdr:sp>
      <xdr:nvSpPr>
        <xdr:cNvPr id="22" name="流程图: 合并 21"/>
        <xdr:cNvSpPr/>
      </xdr:nvSpPr>
      <xdr:spPr>
        <a:xfrm>
          <a:off x="398780" y="1154366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35</xdr:row>
      <xdr:rowOff>95885</xdr:rowOff>
    </xdr:from>
    <xdr:to>
      <xdr:col>0</xdr:col>
      <xdr:colOff>506730</xdr:colOff>
      <xdr:row>35</xdr:row>
      <xdr:rowOff>172085</xdr:rowOff>
    </xdr:to>
    <xdr:sp>
      <xdr:nvSpPr>
        <xdr:cNvPr id="23" name="流程图: 合并 22"/>
        <xdr:cNvSpPr/>
      </xdr:nvSpPr>
      <xdr:spPr>
        <a:xfrm>
          <a:off x="398780" y="1120838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37</xdr:row>
      <xdr:rowOff>93345</xdr:rowOff>
    </xdr:from>
    <xdr:to>
      <xdr:col>0</xdr:col>
      <xdr:colOff>506730</xdr:colOff>
      <xdr:row>37</xdr:row>
      <xdr:rowOff>169545</xdr:rowOff>
    </xdr:to>
    <xdr:sp>
      <xdr:nvSpPr>
        <xdr:cNvPr id="24" name="流程图: 合并 23"/>
        <xdr:cNvSpPr/>
      </xdr:nvSpPr>
      <xdr:spPr>
        <a:xfrm>
          <a:off x="398780" y="1184084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381000</xdr:colOff>
      <xdr:row>19</xdr:row>
      <xdr:rowOff>73025</xdr:rowOff>
    </xdr:from>
    <xdr:to>
      <xdr:col>0</xdr:col>
      <xdr:colOff>488950</xdr:colOff>
      <xdr:row>19</xdr:row>
      <xdr:rowOff>149225</xdr:rowOff>
    </xdr:to>
    <xdr:sp>
      <xdr:nvSpPr>
        <xdr:cNvPr id="25" name="流程图: 合并 24"/>
        <xdr:cNvSpPr/>
      </xdr:nvSpPr>
      <xdr:spPr>
        <a:xfrm rot="10800000">
          <a:off x="381000" y="610552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1584325</xdr:colOff>
      <xdr:row>8</xdr:row>
      <xdr:rowOff>82550</xdr:rowOff>
    </xdr:from>
    <xdr:to>
      <xdr:col>11</xdr:col>
      <xdr:colOff>1692275</xdr:colOff>
      <xdr:row>8</xdr:row>
      <xdr:rowOff>158750</xdr:rowOff>
    </xdr:to>
    <xdr:sp>
      <xdr:nvSpPr>
        <xdr:cNvPr id="6" name="流程图: 合并 5"/>
        <xdr:cNvSpPr/>
      </xdr:nvSpPr>
      <xdr:spPr>
        <a:xfrm>
          <a:off x="10153650" y="2622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1584325</xdr:colOff>
      <xdr:row>8</xdr:row>
      <xdr:rowOff>82550</xdr:rowOff>
    </xdr:from>
    <xdr:to>
      <xdr:col>7</xdr:col>
      <xdr:colOff>1692275</xdr:colOff>
      <xdr:row>8</xdr:row>
      <xdr:rowOff>158750</xdr:rowOff>
    </xdr:to>
    <xdr:sp>
      <xdr:nvSpPr>
        <xdr:cNvPr id="26" name="流程图: 合并 25"/>
        <xdr:cNvSpPr/>
      </xdr:nvSpPr>
      <xdr:spPr>
        <a:xfrm>
          <a:off x="6915150" y="2622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1584325</xdr:colOff>
      <xdr:row>28</xdr:row>
      <xdr:rowOff>82550</xdr:rowOff>
    </xdr:from>
    <xdr:to>
      <xdr:col>11</xdr:col>
      <xdr:colOff>1692275</xdr:colOff>
      <xdr:row>28</xdr:row>
      <xdr:rowOff>158750</xdr:rowOff>
    </xdr:to>
    <xdr:sp>
      <xdr:nvSpPr>
        <xdr:cNvPr id="29" name="流程图: 合并 28"/>
        <xdr:cNvSpPr/>
      </xdr:nvSpPr>
      <xdr:spPr>
        <a:xfrm>
          <a:off x="10153650" y="8972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25</xdr:row>
      <xdr:rowOff>97155</xdr:rowOff>
    </xdr:from>
    <xdr:to>
      <xdr:col>0</xdr:col>
      <xdr:colOff>506730</xdr:colOff>
      <xdr:row>25</xdr:row>
      <xdr:rowOff>173355</xdr:rowOff>
    </xdr:to>
    <xdr:sp>
      <xdr:nvSpPr>
        <xdr:cNvPr id="30" name="流程图: 合并 29"/>
        <xdr:cNvSpPr/>
      </xdr:nvSpPr>
      <xdr:spPr>
        <a:xfrm>
          <a:off x="398780" y="803465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26</xdr:row>
      <xdr:rowOff>101600</xdr:rowOff>
    </xdr:from>
    <xdr:to>
      <xdr:col>0</xdr:col>
      <xdr:colOff>506730</xdr:colOff>
      <xdr:row>26</xdr:row>
      <xdr:rowOff>177800</xdr:rowOff>
    </xdr:to>
    <xdr:sp>
      <xdr:nvSpPr>
        <xdr:cNvPr id="32" name="流程图: 合并 31"/>
        <xdr:cNvSpPr/>
      </xdr:nvSpPr>
      <xdr:spPr>
        <a:xfrm>
          <a:off x="398780" y="835660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21</xdr:row>
      <xdr:rowOff>98425</xdr:rowOff>
    </xdr:from>
    <xdr:to>
      <xdr:col>0</xdr:col>
      <xdr:colOff>506730</xdr:colOff>
      <xdr:row>21</xdr:row>
      <xdr:rowOff>174625</xdr:rowOff>
    </xdr:to>
    <xdr:sp>
      <xdr:nvSpPr>
        <xdr:cNvPr id="33" name="流程图: 合并 32"/>
        <xdr:cNvSpPr/>
      </xdr:nvSpPr>
      <xdr:spPr>
        <a:xfrm>
          <a:off x="398780" y="676592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30</xdr:row>
      <xdr:rowOff>92075</xdr:rowOff>
    </xdr:from>
    <xdr:to>
      <xdr:col>0</xdr:col>
      <xdr:colOff>506730</xdr:colOff>
      <xdr:row>30</xdr:row>
      <xdr:rowOff>168275</xdr:rowOff>
    </xdr:to>
    <xdr:sp>
      <xdr:nvSpPr>
        <xdr:cNvPr id="34" name="流程图: 合并 33"/>
        <xdr:cNvSpPr/>
      </xdr:nvSpPr>
      <xdr:spPr>
        <a:xfrm>
          <a:off x="398780" y="961707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22</xdr:row>
      <xdr:rowOff>96520</xdr:rowOff>
    </xdr:from>
    <xdr:to>
      <xdr:col>0</xdr:col>
      <xdr:colOff>506730</xdr:colOff>
      <xdr:row>22</xdr:row>
      <xdr:rowOff>172720</xdr:rowOff>
    </xdr:to>
    <xdr:sp>
      <xdr:nvSpPr>
        <xdr:cNvPr id="35" name="流程图: 合并 34"/>
        <xdr:cNvSpPr/>
      </xdr:nvSpPr>
      <xdr:spPr>
        <a:xfrm>
          <a:off x="398780" y="708152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29</xdr:row>
      <xdr:rowOff>97155</xdr:rowOff>
    </xdr:from>
    <xdr:to>
      <xdr:col>0</xdr:col>
      <xdr:colOff>506730</xdr:colOff>
      <xdr:row>29</xdr:row>
      <xdr:rowOff>173355</xdr:rowOff>
    </xdr:to>
    <xdr:sp>
      <xdr:nvSpPr>
        <xdr:cNvPr id="36" name="流程图: 合并 35"/>
        <xdr:cNvSpPr/>
      </xdr:nvSpPr>
      <xdr:spPr>
        <a:xfrm>
          <a:off x="398780" y="930465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23</xdr:row>
      <xdr:rowOff>96520</xdr:rowOff>
    </xdr:from>
    <xdr:to>
      <xdr:col>0</xdr:col>
      <xdr:colOff>506730</xdr:colOff>
      <xdr:row>23</xdr:row>
      <xdr:rowOff>172720</xdr:rowOff>
    </xdr:to>
    <xdr:sp>
      <xdr:nvSpPr>
        <xdr:cNvPr id="37" name="流程图: 合并 36"/>
        <xdr:cNvSpPr/>
      </xdr:nvSpPr>
      <xdr:spPr>
        <a:xfrm>
          <a:off x="398780" y="739902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28</xdr:row>
      <xdr:rowOff>97790</xdr:rowOff>
    </xdr:from>
    <xdr:to>
      <xdr:col>0</xdr:col>
      <xdr:colOff>506730</xdr:colOff>
      <xdr:row>28</xdr:row>
      <xdr:rowOff>173990</xdr:rowOff>
    </xdr:to>
    <xdr:sp>
      <xdr:nvSpPr>
        <xdr:cNvPr id="38" name="流程图: 合并 37"/>
        <xdr:cNvSpPr/>
      </xdr:nvSpPr>
      <xdr:spPr>
        <a:xfrm>
          <a:off x="398780" y="898779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24</xdr:row>
      <xdr:rowOff>98425</xdr:rowOff>
    </xdr:from>
    <xdr:to>
      <xdr:col>0</xdr:col>
      <xdr:colOff>506730</xdr:colOff>
      <xdr:row>24</xdr:row>
      <xdr:rowOff>174625</xdr:rowOff>
    </xdr:to>
    <xdr:sp>
      <xdr:nvSpPr>
        <xdr:cNvPr id="39" name="流程图: 合并 38"/>
        <xdr:cNvSpPr/>
      </xdr:nvSpPr>
      <xdr:spPr>
        <a:xfrm>
          <a:off x="398780" y="771842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27</xdr:row>
      <xdr:rowOff>95250</xdr:rowOff>
    </xdr:from>
    <xdr:to>
      <xdr:col>0</xdr:col>
      <xdr:colOff>506730</xdr:colOff>
      <xdr:row>27</xdr:row>
      <xdr:rowOff>171450</xdr:rowOff>
    </xdr:to>
    <xdr:sp>
      <xdr:nvSpPr>
        <xdr:cNvPr id="40" name="流程图: 合并 39"/>
        <xdr:cNvSpPr/>
      </xdr:nvSpPr>
      <xdr:spPr>
        <a:xfrm>
          <a:off x="398780" y="866775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31</xdr:row>
      <xdr:rowOff>100330</xdr:rowOff>
    </xdr:from>
    <xdr:to>
      <xdr:col>0</xdr:col>
      <xdr:colOff>506730</xdr:colOff>
      <xdr:row>31</xdr:row>
      <xdr:rowOff>176530</xdr:rowOff>
    </xdr:to>
    <xdr:sp>
      <xdr:nvSpPr>
        <xdr:cNvPr id="41" name="流程图: 合并 40"/>
        <xdr:cNvSpPr/>
      </xdr:nvSpPr>
      <xdr:spPr>
        <a:xfrm>
          <a:off x="398780" y="994283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32</xdr:row>
      <xdr:rowOff>92075</xdr:rowOff>
    </xdr:from>
    <xdr:to>
      <xdr:col>0</xdr:col>
      <xdr:colOff>506730</xdr:colOff>
      <xdr:row>32</xdr:row>
      <xdr:rowOff>168275</xdr:rowOff>
    </xdr:to>
    <xdr:sp>
      <xdr:nvSpPr>
        <xdr:cNvPr id="42" name="流程图: 合并 41"/>
        <xdr:cNvSpPr/>
      </xdr:nvSpPr>
      <xdr:spPr>
        <a:xfrm>
          <a:off x="398780" y="1025207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33</xdr:row>
      <xdr:rowOff>83185</xdr:rowOff>
    </xdr:from>
    <xdr:to>
      <xdr:col>0</xdr:col>
      <xdr:colOff>506730</xdr:colOff>
      <xdr:row>33</xdr:row>
      <xdr:rowOff>159385</xdr:rowOff>
    </xdr:to>
    <xdr:sp>
      <xdr:nvSpPr>
        <xdr:cNvPr id="43" name="流程图: 合并 42"/>
        <xdr:cNvSpPr/>
      </xdr:nvSpPr>
      <xdr:spPr>
        <a:xfrm>
          <a:off x="398780" y="1056068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34</xdr:row>
      <xdr:rowOff>88265</xdr:rowOff>
    </xdr:from>
    <xdr:to>
      <xdr:col>0</xdr:col>
      <xdr:colOff>506730</xdr:colOff>
      <xdr:row>34</xdr:row>
      <xdr:rowOff>164465</xdr:rowOff>
    </xdr:to>
    <xdr:sp>
      <xdr:nvSpPr>
        <xdr:cNvPr id="44" name="流程图: 合并 43"/>
        <xdr:cNvSpPr/>
      </xdr:nvSpPr>
      <xdr:spPr>
        <a:xfrm>
          <a:off x="398780" y="1088326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36</xdr:row>
      <xdr:rowOff>113665</xdr:rowOff>
    </xdr:from>
    <xdr:to>
      <xdr:col>0</xdr:col>
      <xdr:colOff>506730</xdr:colOff>
      <xdr:row>36</xdr:row>
      <xdr:rowOff>189865</xdr:rowOff>
    </xdr:to>
    <xdr:sp>
      <xdr:nvSpPr>
        <xdr:cNvPr id="45" name="流程图: 合并 44"/>
        <xdr:cNvSpPr/>
      </xdr:nvSpPr>
      <xdr:spPr>
        <a:xfrm>
          <a:off x="398780" y="1154366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35</xdr:row>
      <xdr:rowOff>95885</xdr:rowOff>
    </xdr:from>
    <xdr:to>
      <xdr:col>0</xdr:col>
      <xdr:colOff>506730</xdr:colOff>
      <xdr:row>35</xdr:row>
      <xdr:rowOff>172085</xdr:rowOff>
    </xdr:to>
    <xdr:sp>
      <xdr:nvSpPr>
        <xdr:cNvPr id="46" name="流程图: 合并 45"/>
        <xdr:cNvSpPr/>
      </xdr:nvSpPr>
      <xdr:spPr>
        <a:xfrm>
          <a:off x="398780" y="1120838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398780</xdr:colOff>
      <xdr:row>37</xdr:row>
      <xdr:rowOff>93345</xdr:rowOff>
    </xdr:from>
    <xdr:to>
      <xdr:col>0</xdr:col>
      <xdr:colOff>506730</xdr:colOff>
      <xdr:row>37</xdr:row>
      <xdr:rowOff>169545</xdr:rowOff>
    </xdr:to>
    <xdr:sp>
      <xdr:nvSpPr>
        <xdr:cNvPr id="47" name="流程图: 合并 46"/>
        <xdr:cNvSpPr/>
      </xdr:nvSpPr>
      <xdr:spPr>
        <a:xfrm>
          <a:off x="398780" y="11840845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1584325</xdr:colOff>
      <xdr:row>22</xdr:row>
      <xdr:rowOff>82550</xdr:rowOff>
    </xdr:from>
    <xdr:to>
      <xdr:col>11</xdr:col>
      <xdr:colOff>1692275</xdr:colOff>
      <xdr:row>22</xdr:row>
      <xdr:rowOff>158750</xdr:rowOff>
    </xdr:to>
    <xdr:sp>
      <xdr:nvSpPr>
        <xdr:cNvPr id="48" name="流程图: 合并 47"/>
        <xdr:cNvSpPr/>
      </xdr:nvSpPr>
      <xdr:spPr>
        <a:xfrm>
          <a:off x="10153650" y="7067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1584325</xdr:colOff>
      <xdr:row>28</xdr:row>
      <xdr:rowOff>82550</xdr:rowOff>
    </xdr:from>
    <xdr:to>
      <xdr:col>11</xdr:col>
      <xdr:colOff>1692275</xdr:colOff>
      <xdr:row>28</xdr:row>
      <xdr:rowOff>158750</xdr:rowOff>
    </xdr:to>
    <xdr:sp>
      <xdr:nvSpPr>
        <xdr:cNvPr id="49" name="流程图: 合并 48"/>
        <xdr:cNvSpPr/>
      </xdr:nvSpPr>
      <xdr:spPr>
        <a:xfrm>
          <a:off x="10153650" y="8972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1584325</xdr:colOff>
      <xdr:row>32</xdr:row>
      <xdr:rowOff>82550</xdr:rowOff>
    </xdr:from>
    <xdr:to>
      <xdr:col>11</xdr:col>
      <xdr:colOff>1692275</xdr:colOff>
      <xdr:row>32</xdr:row>
      <xdr:rowOff>158750</xdr:rowOff>
    </xdr:to>
    <xdr:sp>
      <xdr:nvSpPr>
        <xdr:cNvPr id="50" name="流程图: 合并 49"/>
        <xdr:cNvSpPr/>
      </xdr:nvSpPr>
      <xdr:spPr>
        <a:xfrm>
          <a:off x="10153650" y="10242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1584325</xdr:colOff>
      <xdr:row>37</xdr:row>
      <xdr:rowOff>82550</xdr:rowOff>
    </xdr:from>
    <xdr:to>
      <xdr:col>11</xdr:col>
      <xdr:colOff>1692275</xdr:colOff>
      <xdr:row>37</xdr:row>
      <xdr:rowOff>158750</xdr:rowOff>
    </xdr:to>
    <xdr:sp>
      <xdr:nvSpPr>
        <xdr:cNvPr id="51" name="流程图: 合并 50"/>
        <xdr:cNvSpPr/>
      </xdr:nvSpPr>
      <xdr:spPr>
        <a:xfrm>
          <a:off x="10153650" y="118300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1584325</xdr:colOff>
      <xdr:row>28</xdr:row>
      <xdr:rowOff>82550</xdr:rowOff>
    </xdr:from>
    <xdr:to>
      <xdr:col>7</xdr:col>
      <xdr:colOff>1692275</xdr:colOff>
      <xdr:row>28</xdr:row>
      <xdr:rowOff>158750</xdr:rowOff>
    </xdr:to>
    <xdr:sp>
      <xdr:nvSpPr>
        <xdr:cNvPr id="52" name="流程图: 合并 51"/>
        <xdr:cNvSpPr/>
      </xdr:nvSpPr>
      <xdr:spPr>
        <a:xfrm>
          <a:off x="6915150" y="8972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1584325</xdr:colOff>
      <xdr:row>22</xdr:row>
      <xdr:rowOff>82550</xdr:rowOff>
    </xdr:from>
    <xdr:to>
      <xdr:col>7</xdr:col>
      <xdr:colOff>1692275</xdr:colOff>
      <xdr:row>22</xdr:row>
      <xdr:rowOff>158750</xdr:rowOff>
    </xdr:to>
    <xdr:sp>
      <xdr:nvSpPr>
        <xdr:cNvPr id="53" name="流程图: 合并 52"/>
        <xdr:cNvSpPr/>
      </xdr:nvSpPr>
      <xdr:spPr>
        <a:xfrm>
          <a:off x="6915150" y="7067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1584325</xdr:colOff>
      <xdr:row>28</xdr:row>
      <xdr:rowOff>82550</xdr:rowOff>
    </xdr:from>
    <xdr:to>
      <xdr:col>7</xdr:col>
      <xdr:colOff>1692275</xdr:colOff>
      <xdr:row>28</xdr:row>
      <xdr:rowOff>158750</xdr:rowOff>
    </xdr:to>
    <xdr:sp>
      <xdr:nvSpPr>
        <xdr:cNvPr id="54" name="流程图: 合并 53"/>
        <xdr:cNvSpPr/>
      </xdr:nvSpPr>
      <xdr:spPr>
        <a:xfrm>
          <a:off x="6915150" y="8972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1584325</xdr:colOff>
      <xdr:row>32</xdr:row>
      <xdr:rowOff>82550</xdr:rowOff>
    </xdr:from>
    <xdr:to>
      <xdr:col>7</xdr:col>
      <xdr:colOff>1692275</xdr:colOff>
      <xdr:row>32</xdr:row>
      <xdr:rowOff>158750</xdr:rowOff>
    </xdr:to>
    <xdr:sp>
      <xdr:nvSpPr>
        <xdr:cNvPr id="55" name="流程图: 合并 54"/>
        <xdr:cNvSpPr/>
      </xdr:nvSpPr>
      <xdr:spPr>
        <a:xfrm>
          <a:off x="6915150" y="102425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1584325</xdr:colOff>
      <xdr:row>37</xdr:row>
      <xdr:rowOff>82550</xdr:rowOff>
    </xdr:from>
    <xdr:to>
      <xdr:col>7</xdr:col>
      <xdr:colOff>1692275</xdr:colOff>
      <xdr:row>37</xdr:row>
      <xdr:rowOff>158750</xdr:rowOff>
    </xdr:to>
    <xdr:sp>
      <xdr:nvSpPr>
        <xdr:cNvPr id="56" name="流程图: 合并 55"/>
        <xdr:cNvSpPr/>
      </xdr:nvSpPr>
      <xdr:spPr>
        <a:xfrm>
          <a:off x="6915150" y="11830050"/>
          <a:ext cx="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29"/>
  <sheetViews>
    <sheetView workbookViewId="0">
      <selection activeCell="H20" sqref="H20:I20"/>
    </sheetView>
  </sheetViews>
  <sheetFormatPr defaultColWidth="9" defaultRowHeight="13.5"/>
  <cols>
    <col min="1" max="1" width="7.375" style="1" customWidth="1"/>
    <col min="2" max="3" width="13.625" style="1" customWidth="1"/>
    <col min="4" max="4" width="10.625" style="1" customWidth="1"/>
    <col min="5" max="5" width="13.625" style="1" customWidth="1"/>
    <col min="6" max="13" width="10.625" style="1" customWidth="1"/>
    <col min="14" max="14" width="15.625" style="1" customWidth="1"/>
    <col min="15" max="16" width="10.625" style="1" customWidth="1"/>
    <col min="17" max="17" width="16" style="1"/>
    <col min="18" max="16384" width="9" style="1"/>
  </cols>
  <sheetData>
    <row r="1" s="1" customFormat="1" ht="25" customHeight="1" spans="1:5">
      <c r="A1" s="6" t="s">
        <v>0</v>
      </c>
      <c r="B1" s="7" t="s">
        <v>1</v>
      </c>
      <c r="C1" s="8" t="s">
        <v>2</v>
      </c>
      <c r="D1" s="8" t="s">
        <v>3</v>
      </c>
      <c r="E1" s="9" t="s">
        <v>4</v>
      </c>
    </row>
    <row r="2" s="1" customFormat="1" ht="25" customHeight="1" spans="1:17">
      <c r="A2" s="7" t="s">
        <v>0</v>
      </c>
      <c r="B2" s="10" t="s">
        <v>5</v>
      </c>
      <c r="C2" s="7" t="s">
        <v>6</v>
      </c>
      <c r="D2" s="7" t="s">
        <v>7</v>
      </c>
      <c r="E2" s="7" t="s">
        <v>8</v>
      </c>
      <c r="J2" s="11"/>
      <c r="K2" s="11"/>
      <c r="L2" s="11"/>
      <c r="M2" s="11"/>
      <c r="O2" s="11"/>
      <c r="P2" s="11"/>
      <c r="Q2" s="11"/>
    </row>
    <row r="3" s="1" customFormat="1" ht="25" customHeight="1" spans="1:17">
      <c r="A3" s="12" t="s">
        <v>0</v>
      </c>
      <c r="B3" s="7" t="s">
        <v>9</v>
      </c>
      <c r="C3" s="7" t="s">
        <v>10</v>
      </c>
      <c r="D3" s="7" t="s">
        <v>11</v>
      </c>
      <c r="E3" s="7" t="s">
        <v>12</v>
      </c>
      <c r="J3" s="11"/>
      <c r="K3" s="11"/>
      <c r="L3" s="11"/>
      <c r="M3" s="11"/>
      <c r="O3" s="11"/>
      <c r="P3" s="11"/>
      <c r="Q3" s="11"/>
    </row>
    <row r="4" s="1" customFormat="1" ht="25" customHeight="1" spans="1:17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O4" s="11"/>
      <c r="P4" s="11"/>
      <c r="Q4" s="3"/>
    </row>
    <row r="5" s="2" customFormat="1" ht="25" customHeight="1" spans="1:16381">
      <c r="A5" s="13" t="s">
        <v>13</v>
      </c>
      <c r="B5" s="14" t="s">
        <v>14</v>
      </c>
      <c r="C5" s="14" t="s">
        <v>15</v>
      </c>
      <c r="D5" s="14" t="s">
        <v>16</v>
      </c>
      <c r="E5" s="14" t="s">
        <v>17</v>
      </c>
      <c r="F5" s="14" t="s">
        <v>18</v>
      </c>
      <c r="G5" s="14" t="s">
        <v>19</v>
      </c>
      <c r="H5" s="14" t="s">
        <v>20</v>
      </c>
      <c r="I5" s="14" t="s">
        <v>21</v>
      </c>
      <c r="J5" s="14" t="s">
        <v>22</v>
      </c>
      <c r="K5" s="14" t="s">
        <v>23</v>
      </c>
      <c r="L5" s="14" t="s">
        <v>24</v>
      </c>
      <c r="T5" s="11"/>
      <c r="XEK5"/>
      <c r="XEL5"/>
      <c r="XEM5"/>
      <c r="XEN5"/>
      <c r="XEO5"/>
      <c r="XEP5"/>
      <c r="XEQ5"/>
      <c r="XER5"/>
      <c r="XES5"/>
      <c r="XET5"/>
      <c r="XEU5"/>
      <c r="XEV5"/>
      <c r="XEW5"/>
      <c r="XEX5"/>
      <c r="XEY5"/>
      <c r="XEZ5"/>
      <c r="XFA5"/>
    </row>
    <row r="6" s="3" customFormat="1" ht="25" customHeight="1" spans="1:20">
      <c r="A6" s="13" t="s">
        <v>25</v>
      </c>
      <c r="B6" s="14" t="s">
        <v>26</v>
      </c>
      <c r="C6" s="14" t="s">
        <v>27</v>
      </c>
      <c r="D6" s="14" t="s">
        <v>28</v>
      </c>
      <c r="E6" s="14" t="s">
        <v>29</v>
      </c>
      <c r="F6" s="14" t="s">
        <v>30</v>
      </c>
      <c r="G6" s="14" t="s">
        <v>31</v>
      </c>
      <c r="H6" s="14" t="s">
        <v>32</v>
      </c>
      <c r="I6" s="14" t="s">
        <v>33</v>
      </c>
      <c r="J6" s="14" t="s">
        <v>34</v>
      </c>
      <c r="K6" s="14" t="s">
        <v>35</v>
      </c>
      <c r="L6" s="14" t="s">
        <v>36</v>
      </c>
      <c r="T6" s="76"/>
    </row>
    <row r="7" s="1" customFormat="1" ht="25" customHeight="1" spans="1:17">
      <c r="A7" s="15" t="s">
        <v>37</v>
      </c>
      <c r="B7" s="15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ht="25" customHeight="1" spans="1:17">
      <c r="A8" s="16" t="s">
        <v>38</v>
      </c>
      <c r="B8" s="17" t="s">
        <v>39</v>
      </c>
      <c r="C8" s="17" t="s">
        <v>40</v>
      </c>
      <c r="D8" s="17" t="s">
        <v>41</v>
      </c>
      <c r="E8" s="17"/>
      <c r="F8" s="17" t="s">
        <v>42</v>
      </c>
      <c r="G8" s="17" t="s">
        <v>43</v>
      </c>
      <c r="H8" s="17" t="s">
        <v>44</v>
      </c>
      <c r="I8" s="17"/>
      <c r="J8" s="17" t="s">
        <v>45</v>
      </c>
      <c r="K8" s="17" t="s">
        <v>46</v>
      </c>
      <c r="L8" s="17" t="s">
        <v>47</v>
      </c>
      <c r="M8" s="17" t="s">
        <v>48</v>
      </c>
      <c r="N8" s="17" t="s">
        <v>49</v>
      </c>
      <c r="O8" s="17" t="s">
        <v>50</v>
      </c>
      <c r="P8" s="17" t="s">
        <v>51</v>
      </c>
      <c r="Q8" s="77" t="s">
        <v>52</v>
      </c>
    </row>
    <row r="9" s="4" customFormat="1" ht="25" customHeight="1" spans="1:17">
      <c r="A9" s="42">
        <v>1</v>
      </c>
      <c r="B9" s="43" t="s">
        <v>53</v>
      </c>
      <c r="C9" s="44" t="s">
        <v>54</v>
      </c>
      <c r="D9" s="44" t="s">
        <v>55</v>
      </c>
      <c r="E9" s="44"/>
      <c r="F9" s="43" t="s">
        <v>56</v>
      </c>
      <c r="G9" s="43" t="s">
        <v>57</v>
      </c>
      <c r="H9" s="43" t="s">
        <v>58</v>
      </c>
      <c r="I9" s="43"/>
      <c r="J9" s="43" t="s">
        <v>59</v>
      </c>
      <c r="K9" s="43" t="s">
        <v>60</v>
      </c>
      <c r="L9" s="72">
        <v>20</v>
      </c>
      <c r="M9" s="43">
        <v>10</v>
      </c>
      <c r="N9" s="83">
        <v>0</v>
      </c>
      <c r="O9" s="73" t="s">
        <v>61</v>
      </c>
      <c r="P9" s="44" t="s">
        <v>62</v>
      </c>
      <c r="Q9" s="80">
        <v>43763.9939467593</v>
      </c>
    </row>
    <row r="10" s="4" customFormat="1" ht="25" customHeight="1" spans="1:17">
      <c r="A10" s="45">
        <v>2</v>
      </c>
      <c r="B10" s="46" t="s">
        <v>10</v>
      </c>
      <c r="C10" s="47" t="s">
        <v>63</v>
      </c>
      <c r="D10" s="47" t="s">
        <v>55</v>
      </c>
      <c r="E10" s="47"/>
      <c r="F10" s="46" t="s">
        <v>56</v>
      </c>
      <c r="G10" s="46" t="s">
        <v>57</v>
      </c>
      <c r="H10" s="46" t="s">
        <v>64</v>
      </c>
      <c r="I10" s="46"/>
      <c r="J10" s="46" t="s">
        <v>59</v>
      </c>
      <c r="K10" s="46" t="s">
        <v>60</v>
      </c>
      <c r="L10" s="74">
        <v>21</v>
      </c>
      <c r="M10" s="46">
        <v>11</v>
      </c>
      <c r="N10" s="84">
        <v>50000</v>
      </c>
      <c r="O10" s="75" t="s">
        <v>65</v>
      </c>
      <c r="P10" s="47" t="s">
        <v>66</v>
      </c>
      <c r="Q10" s="81">
        <v>43764.9939467593</v>
      </c>
    </row>
    <row r="11" s="4" customFormat="1" ht="25" customHeight="1" spans="1:17">
      <c r="A11" s="42">
        <v>3</v>
      </c>
      <c r="B11" s="43" t="s">
        <v>10</v>
      </c>
      <c r="C11" s="44" t="s">
        <v>67</v>
      </c>
      <c r="D11" s="44" t="s">
        <v>55</v>
      </c>
      <c r="E11" s="44"/>
      <c r="F11" s="43" t="s">
        <v>68</v>
      </c>
      <c r="G11" s="43" t="s">
        <v>69</v>
      </c>
      <c r="H11" s="43" t="s">
        <v>70</v>
      </c>
      <c r="I11" s="43"/>
      <c r="J11" s="43" t="s">
        <v>59</v>
      </c>
      <c r="K11" s="43" t="s">
        <v>60</v>
      </c>
      <c r="L11" s="72">
        <v>22</v>
      </c>
      <c r="M11" s="43">
        <v>12</v>
      </c>
      <c r="N11" s="43"/>
      <c r="O11" s="73" t="s">
        <v>71</v>
      </c>
      <c r="P11" s="44" t="s">
        <v>72</v>
      </c>
      <c r="Q11" s="80">
        <v>43765.9939467593</v>
      </c>
    </row>
    <row r="12" s="4" customFormat="1" ht="25" customHeight="1" spans="1:17">
      <c r="A12" s="45">
        <v>4</v>
      </c>
      <c r="B12" s="46" t="s">
        <v>53</v>
      </c>
      <c r="C12" s="47" t="s">
        <v>73</v>
      </c>
      <c r="D12" s="47" t="s">
        <v>55</v>
      </c>
      <c r="E12" s="47"/>
      <c r="F12" s="46" t="s">
        <v>68</v>
      </c>
      <c r="G12" s="46" t="s">
        <v>57</v>
      </c>
      <c r="H12" s="46" t="s">
        <v>70</v>
      </c>
      <c r="I12" s="46"/>
      <c r="J12" s="46" t="s">
        <v>59</v>
      </c>
      <c r="K12" s="46" t="s">
        <v>60</v>
      </c>
      <c r="L12" s="74">
        <v>23</v>
      </c>
      <c r="M12" s="46">
        <v>13</v>
      </c>
      <c r="N12" s="46"/>
      <c r="O12" s="75" t="s">
        <v>74</v>
      </c>
      <c r="P12" s="47" t="s">
        <v>72</v>
      </c>
      <c r="Q12" s="81">
        <v>43766.9939467593</v>
      </c>
    </row>
    <row r="13" s="4" customFormat="1" ht="25" customHeight="1" spans="1:17">
      <c r="A13" s="42">
        <v>5</v>
      </c>
      <c r="B13" s="43" t="s">
        <v>10</v>
      </c>
      <c r="C13" s="44" t="s">
        <v>75</v>
      </c>
      <c r="D13" s="44" t="s">
        <v>55</v>
      </c>
      <c r="E13" s="44"/>
      <c r="F13" s="43" t="s">
        <v>68</v>
      </c>
      <c r="G13" s="43" t="s">
        <v>57</v>
      </c>
      <c r="H13" s="43" t="s">
        <v>58</v>
      </c>
      <c r="I13" s="43"/>
      <c r="J13" s="43" t="s">
        <v>76</v>
      </c>
      <c r="K13" s="43" t="s">
        <v>60</v>
      </c>
      <c r="L13" s="72">
        <v>24</v>
      </c>
      <c r="M13" s="43">
        <v>29</v>
      </c>
      <c r="N13" s="43"/>
      <c r="O13" s="73" t="s">
        <v>77</v>
      </c>
      <c r="P13" s="44" t="s">
        <v>66</v>
      </c>
      <c r="Q13" s="80">
        <v>43767.9939467593</v>
      </c>
    </row>
    <row r="14" s="4" customFormat="1" ht="25" customHeight="1" spans="1:17">
      <c r="A14" s="45">
        <v>6</v>
      </c>
      <c r="B14" s="46" t="s">
        <v>53</v>
      </c>
      <c r="C14" s="47" t="s">
        <v>78</v>
      </c>
      <c r="D14" s="47" t="s">
        <v>55</v>
      </c>
      <c r="E14" s="47"/>
      <c r="F14" s="46" t="s">
        <v>68</v>
      </c>
      <c r="G14" s="46" t="s">
        <v>57</v>
      </c>
      <c r="H14" s="46" t="s">
        <v>64</v>
      </c>
      <c r="I14" s="46"/>
      <c r="J14" s="46" t="s">
        <v>59</v>
      </c>
      <c r="K14" s="46" t="s">
        <v>60</v>
      </c>
      <c r="L14" s="74">
        <v>25</v>
      </c>
      <c r="M14" s="46">
        <v>30</v>
      </c>
      <c r="N14" s="46"/>
      <c r="O14" s="75" t="s">
        <v>71</v>
      </c>
      <c r="P14" s="47" t="s">
        <v>79</v>
      </c>
      <c r="Q14" s="81">
        <v>43768.9939467593</v>
      </c>
    </row>
    <row r="15" s="4" customFormat="1" ht="25" customHeight="1" spans="1:17">
      <c r="A15" s="42">
        <v>7</v>
      </c>
      <c r="B15" s="43" t="s">
        <v>10</v>
      </c>
      <c r="C15" s="44" t="s">
        <v>80</v>
      </c>
      <c r="D15" s="44" t="s">
        <v>55</v>
      </c>
      <c r="E15" s="44"/>
      <c r="F15" s="43" t="s">
        <v>68</v>
      </c>
      <c r="G15" s="43" t="s">
        <v>57</v>
      </c>
      <c r="H15" s="43" t="s">
        <v>58</v>
      </c>
      <c r="I15" s="43"/>
      <c r="J15" s="43" t="s">
        <v>76</v>
      </c>
      <c r="K15" s="43" t="s">
        <v>81</v>
      </c>
      <c r="L15" s="72">
        <v>26</v>
      </c>
      <c r="M15" s="43">
        <v>31</v>
      </c>
      <c r="N15" s="43"/>
      <c r="O15" s="73" t="s">
        <v>74</v>
      </c>
      <c r="P15" s="44" t="s">
        <v>72</v>
      </c>
      <c r="Q15" s="80">
        <v>43769.9939467593</v>
      </c>
    </row>
    <row r="16" s="4" customFormat="1" ht="25" customHeight="1" spans="1:17">
      <c r="A16" s="45">
        <v>8</v>
      </c>
      <c r="B16" s="46" t="s">
        <v>53</v>
      </c>
      <c r="C16" s="47" t="s">
        <v>82</v>
      </c>
      <c r="D16" s="47" t="s">
        <v>55</v>
      </c>
      <c r="E16" s="47"/>
      <c r="F16" s="46" t="s">
        <v>68</v>
      </c>
      <c r="G16" s="46" t="s">
        <v>57</v>
      </c>
      <c r="H16" s="46" t="s">
        <v>64</v>
      </c>
      <c r="I16" s="46"/>
      <c r="J16" s="46" t="s">
        <v>76</v>
      </c>
      <c r="K16" s="46" t="s">
        <v>81</v>
      </c>
      <c r="L16" s="74">
        <v>27</v>
      </c>
      <c r="M16" s="46">
        <v>32</v>
      </c>
      <c r="N16" s="46"/>
      <c r="O16" s="75" t="s">
        <v>71</v>
      </c>
      <c r="P16" s="47" t="s">
        <v>79</v>
      </c>
      <c r="Q16" s="81">
        <v>43770.9939467593</v>
      </c>
    </row>
    <row r="17" s="4" customFormat="1" ht="25" customHeight="1" spans="1:17">
      <c r="A17" s="42">
        <v>9</v>
      </c>
      <c r="B17" s="43" t="s">
        <v>10</v>
      </c>
      <c r="C17" s="44" t="s">
        <v>83</v>
      </c>
      <c r="D17" s="44" t="s">
        <v>55</v>
      </c>
      <c r="E17" s="44"/>
      <c r="F17" s="43" t="s">
        <v>68</v>
      </c>
      <c r="G17" s="43" t="s">
        <v>57</v>
      </c>
      <c r="H17" s="43" t="s">
        <v>70</v>
      </c>
      <c r="I17" s="43"/>
      <c r="J17" s="43" t="s">
        <v>76</v>
      </c>
      <c r="K17" s="43" t="s">
        <v>81</v>
      </c>
      <c r="L17" s="72">
        <v>28</v>
      </c>
      <c r="M17" s="43">
        <v>33</v>
      </c>
      <c r="N17" s="43"/>
      <c r="O17" s="73" t="s">
        <v>74</v>
      </c>
      <c r="P17" s="44" t="s">
        <v>72</v>
      </c>
      <c r="Q17" s="80">
        <v>43771.9939467593</v>
      </c>
    </row>
    <row r="18" s="4" customFormat="1" ht="25" customHeight="1" spans="1:17">
      <c r="A18" s="45">
        <v>10</v>
      </c>
      <c r="B18" s="46" t="s">
        <v>53</v>
      </c>
      <c r="C18" s="47" t="s">
        <v>84</v>
      </c>
      <c r="D18" s="47" t="s">
        <v>55</v>
      </c>
      <c r="E18" s="47"/>
      <c r="F18" s="46" t="s">
        <v>68</v>
      </c>
      <c r="G18" s="46" t="s">
        <v>57</v>
      </c>
      <c r="H18" s="46" t="s">
        <v>70</v>
      </c>
      <c r="I18" s="46"/>
      <c r="J18" s="46" t="s">
        <v>76</v>
      </c>
      <c r="K18" s="46" t="s">
        <v>81</v>
      </c>
      <c r="L18" s="74">
        <v>29</v>
      </c>
      <c r="M18" s="46">
        <v>19</v>
      </c>
      <c r="N18" s="46"/>
      <c r="O18" s="75" t="s">
        <v>71</v>
      </c>
      <c r="P18" s="47" t="s">
        <v>79</v>
      </c>
      <c r="Q18" s="81">
        <v>43772.9939467593</v>
      </c>
    </row>
    <row r="19" s="4" customFormat="1" ht="25" customHeight="1" spans="1:17">
      <c r="A19" s="42">
        <v>11</v>
      </c>
      <c r="B19" s="43" t="s">
        <v>10</v>
      </c>
      <c r="C19" s="44" t="s">
        <v>54</v>
      </c>
      <c r="D19" s="44" t="s">
        <v>55</v>
      </c>
      <c r="E19" s="44"/>
      <c r="F19" s="43" t="s">
        <v>68</v>
      </c>
      <c r="G19" s="43" t="s">
        <v>57</v>
      </c>
      <c r="H19" s="43" t="s">
        <v>58</v>
      </c>
      <c r="I19" s="43"/>
      <c r="J19" s="43" t="s">
        <v>59</v>
      </c>
      <c r="K19" s="43" t="s">
        <v>60</v>
      </c>
      <c r="L19" s="72">
        <v>30</v>
      </c>
      <c r="M19" s="43">
        <v>20</v>
      </c>
      <c r="N19" s="43"/>
      <c r="O19" s="73" t="s">
        <v>74</v>
      </c>
      <c r="P19" s="44" t="s">
        <v>72</v>
      </c>
      <c r="Q19" s="80">
        <v>43773.9939467593</v>
      </c>
    </row>
    <row r="20" s="4" customFormat="1" ht="25" customHeight="1" spans="1:17">
      <c r="A20" s="45">
        <v>12</v>
      </c>
      <c r="B20" s="46" t="s">
        <v>53</v>
      </c>
      <c r="C20" s="47" t="s">
        <v>63</v>
      </c>
      <c r="D20" s="47" t="s">
        <v>55</v>
      </c>
      <c r="E20" s="47"/>
      <c r="F20" s="46" t="s">
        <v>68</v>
      </c>
      <c r="G20" s="46" t="s">
        <v>57</v>
      </c>
      <c r="H20" s="46" t="s">
        <v>64</v>
      </c>
      <c r="I20" s="46"/>
      <c r="J20" s="46" t="s">
        <v>59</v>
      </c>
      <c r="K20" s="46" t="s">
        <v>60</v>
      </c>
      <c r="L20" s="74">
        <v>31</v>
      </c>
      <c r="M20" s="46">
        <v>21</v>
      </c>
      <c r="N20" s="46"/>
      <c r="O20" s="75" t="s">
        <v>71</v>
      </c>
      <c r="P20" s="47" t="s">
        <v>79</v>
      </c>
      <c r="Q20" s="81">
        <v>43774.9939467593</v>
      </c>
    </row>
    <row r="21" s="4" customFormat="1" ht="25" customHeight="1" spans="1:17">
      <c r="A21" s="42">
        <v>13</v>
      </c>
      <c r="B21" s="43" t="s">
        <v>10</v>
      </c>
      <c r="C21" s="44" t="s">
        <v>67</v>
      </c>
      <c r="D21" s="44" t="s">
        <v>55</v>
      </c>
      <c r="E21" s="44"/>
      <c r="F21" s="43" t="s">
        <v>68</v>
      </c>
      <c r="G21" s="43" t="s">
        <v>69</v>
      </c>
      <c r="H21" s="43" t="s">
        <v>58</v>
      </c>
      <c r="I21" s="43"/>
      <c r="J21" s="43" t="s">
        <v>59</v>
      </c>
      <c r="K21" s="43" t="s">
        <v>60</v>
      </c>
      <c r="L21" s="72">
        <v>32</v>
      </c>
      <c r="M21" s="43">
        <v>22</v>
      </c>
      <c r="N21" s="43"/>
      <c r="O21" s="73" t="s">
        <v>74</v>
      </c>
      <c r="P21" s="44" t="s">
        <v>72</v>
      </c>
      <c r="Q21" s="80">
        <v>43775.9939467593</v>
      </c>
    </row>
    <row r="22" s="4" customFormat="1" ht="25" customHeight="1" spans="1:17">
      <c r="A22" s="45">
        <v>14</v>
      </c>
      <c r="B22" s="46" t="s">
        <v>53</v>
      </c>
      <c r="C22" s="47" t="s">
        <v>73</v>
      </c>
      <c r="D22" s="47" t="s">
        <v>55</v>
      </c>
      <c r="E22" s="47"/>
      <c r="F22" s="46" t="s">
        <v>68</v>
      </c>
      <c r="G22" s="46" t="s">
        <v>57</v>
      </c>
      <c r="H22" s="46" t="s">
        <v>64</v>
      </c>
      <c r="I22" s="46"/>
      <c r="J22" s="46" t="s">
        <v>59</v>
      </c>
      <c r="K22" s="46" t="s">
        <v>60</v>
      </c>
      <c r="L22" s="74">
        <v>33</v>
      </c>
      <c r="M22" s="46">
        <v>23</v>
      </c>
      <c r="N22" s="46"/>
      <c r="O22" s="75" t="s">
        <v>71</v>
      </c>
      <c r="P22" s="47" t="s">
        <v>79</v>
      </c>
      <c r="Q22" s="81">
        <v>43776.9939467593</v>
      </c>
    </row>
    <row r="23" s="4" customFormat="1" ht="25" customHeight="1" spans="1:17">
      <c r="A23" s="42">
        <v>15</v>
      </c>
      <c r="B23" s="43" t="s">
        <v>10</v>
      </c>
      <c r="C23" s="44" t="s">
        <v>75</v>
      </c>
      <c r="D23" s="44" t="s">
        <v>55</v>
      </c>
      <c r="E23" s="44"/>
      <c r="F23" s="43" t="s">
        <v>68</v>
      </c>
      <c r="G23" s="43" t="s">
        <v>57</v>
      </c>
      <c r="H23" s="43" t="s">
        <v>58</v>
      </c>
      <c r="I23" s="43"/>
      <c r="J23" s="43" t="s">
        <v>76</v>
      </c>
      <c r="K23" s="43" t="s">
        <v>60</v>
      </c>
      <c r="L23" s="72">
        <v>34</v>
      </c>
      <c r="M23" s="43">
        <v>24</v>
      </c>
      <c r="N23" s="43"/>
      <c r="O23" s="73" t="s">
        <v>74</v>
      </c>
      <c r="P23" s="44" t="s">
        <v>72</v>
      </c>
      <c r="Q23" s="80">
        <v>43777.9939467593</v>
      </c>
    </row>
    <row r="24" s="4" customFormat="1" ht="25" customHeight="1" spans="1:17">
      <c r="A24" s="45">
        <v>16</v>
      </c>
      <c r="B24" s="46" t="s">
        <v>53</v>
      </c>
      <c r="C24" s="47" t="s">
        <v>85</v>
      </c>
      <c r="D24" s="47" t="s">
        <v>55</v>
      </c>
      <c r="E24" s="47"/>
      <c r="F24" s="46" t="s">
        <v>68</v>
      </c>
      <c r="G24" s="46" t="s">
        <v>57</v>
      </c>
      <c r="H24" s="46" t="s">
        <v>64</v>
      </c>
      <c r="I24" s="46"/>
      <c r="J24" s="46" t="s">
        <v>76</v>
      </c>
      <c r="K24" s="46" t="s">
        <v>60</v>
      </c>
      <c r="L24" s="74">
        <v>35</v>
      </c>
      <c r="M24" s="46">
        <v>25</v>
      </c>
      <c r="N24" s="46"/>
      <c r="O24" s="75" t="s">
        <v>71</v>
      </c>
      <c r="P24" s="47" t="s">
        <v>79</v>
      </c>
      <c r="Q24" s="81">
        <v>43778.9939467593</v>
      </c>
    </row>
    <row r="25" s="4" customFormat="1" ht="25" customHeight="1" spans="1:17">
      <c r="A25" s="42">
        <v>17</v>
      </c>
      <c r="B25" s="43" t="s">
        <v>10</v>
      </c>
      <c r="C25" s="44" t="s">
        <v>86</v>
      </c>
      <c r="D25" s="44" t="s">
        <v>55</v>
      </c>
      <c r="E25" s="44"/>
      <c r="F25" s="43" t="s">
        <v>68</v>
      </c>
      <c r="G25" s="43" t="s">
        <v>57</v>
      </c>
      <c r="H25" s="43" t="s">
        <v>58</v>
      </c>
      <c r="I25" s="43"/>
      <c r="J25" s="43" t="s">
        <v>76</v>
      </c>
      <c r="K25" s="43" t="s">
        <v>60</v>
      </c>
      <c r="L25" s="72">
        <v>36</v>
      </c>
      <c r="M25" s="43">
        <v>26</v>
      </c>
      <c r="N25" s="43"/>
      <c r="O25" s="73" t="s">
        <v>74</v>
      </c>
      <c r="P25" s="44" t="s">
        <v>72</v>
      </c>
      <c r="Q25" s="80">
        <v>43779.9939467593</v>
      </c>
    </row>
    <row r="26" s="4" customFormat="1" ht="25" customHeight="1" spans="1:17">
      <c r="A26" s="45">
        <v>18</v>
      </c>
      <c r="B26" s="46" t="s">
        <v>53</v>
      </c>
      <c r="C26" s="47" t="s">
        <v>87</v>
      </c>
      <c r="D26" s="47" t="s">
        <v>55</v>
      </c>
      <c r="E26" s="47"/>
      <c r="F26" s="46" t="s">
        <v>68</v>
      </c>
      <c r="G26" s="46" t="s">
        <v>57</v>
      </c>
      <c r="H26" s="46" t="s">
        <v>64</v>
      </c>
      <c r="I26" s="46"/>
      <c r="J26" s="46" t="s">
        <v>76</v>
      </c>
      <c r="K26" s="46" t="s">
        <v>60</v>
      </c>
      <c r="L26" s="74">
        <v>37</v>
      </c>
      <c r="M26" s="46">
        <v>27</v>
      </c>
      <c r="N26" s="46"/>
      <c r="O26" s="75" t="s">
        <v>71</v>
      </c>
      <c r="P26" s="47" t="s">
        <v>79</v>
      </c>
      <c r="Q26" s="81">
        <v>43780.9939467593</v>
      </c>
    </row>
    <row r="27" s="4" customFormat="1" ht="25" customHeight="1" spans="1:17">
      <c r="A27" s="42">
        <v>19</v>
      </c>
      <c r="B27" s="43" t="s">
        <v>10</v>
      </c>
      <c r="C27" s="44" t="s">
        <v>88</v>
      </c>
      <c r="D27" s="44" t="s">
        <v>55</v>
      </c>
      <c r="E27" s="44"/>
      <c r="F27" s="43" t="s">
        <v>68</v>
      </c>
      <c r="G27" s="43" t="s">
        <v>57</v>
      </c>
      <c r="H27" s="43" t="s">
        <v>64</v>
      </c>
      <c r="I27" s="43"/>
      <c r="J27" s="43" t="s">
        <v>76</v>
      </c>
      <c r="K27" s="43" t="s">
        <v>60</v>
      </c>
      <c r="L27" s="72">
        <v>38</v>
      </c>
      <c r="M27" s="43">
        <v>28</v>
      </c>
      <c r="N27" s="43"/>
      <c r="O27" s="73" t="s">
        <v>74</v>
      </c>
      <c r="P27" s="44" t="s">
        <v>72</v>
      </c>
      <c r="Q27" s="80">
        <v>43781.9939467593</v>
      </c>
    </row>
    <row r="28" s="4" customFormat="1" ht="25" customHeight="1" spans="1:17">
      <c r="A28" s="45">
        <v>20</v>
      </c>
      <c r="B28" s="46" t="s">
        <v>53</v>
      </c>
      <c r="C28" s="47" t="s">
        <v>89</v>
      </c>
      <c r="D28" s="47" t="s">
        <v>55</v>
      </c>
      <c r="E28" s="47"/>
      <c r="F28" s="46" t="s">
        <v>68</v>
      </c>
      <c r="G28" s="46" t="s">
        <v>57</v>
      </c>
      <c r="H28" s="46" t="s">
        <v>58</v>
      </c>
      <c r="I28" s="46"/>
      <c r="J28" s="46" t="s">
        <v>76</v>
      </c>
      <c r="K28" s="46" t="s">
        <v>60</v>
      </c>
      <c r="L28" s="74">
        <v>39</v>
      </c>
      <c r="M28" s="46">
        <v>29</v>
      </c>
      <c r="N28" s="46"/>
      <c r="O28" s="75" t="s">
        <v>71</v>
      </c>
      <c r="P28" s="47" t="s">
        <v>79</v>
      </c>
      <c r="Q28" s="81">
        <v>43782.9939467593</v>
      </c>
    </row>
    <row r="29" ht="25" customHeight="1" spans="1:17">
      <c r="A29" s="48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82"/>
    </row>
  </sheetData>
  <mergeCells count="43">
    <mergeCell ref="A4:C4"/>
    <mergeCell ref="D8:E8"/>
    <mergeCell ref="H8:I8"/>
    <mergeCell ref="D9:E9"/>
    <mergeCell ref="H9:I9"/>
    <mergeCell ref="D10:E10"/>
    <mergeCell ref="H10:I10"/>
    <mergeCell ref="D11:E11"/>
    <mergeCell ref="H11:I11"/>
    <mergeCell ref="D12:E12"/>
    <mergeCell ref="H12:I12"/>
    <mergeCell ref="D13:E13"/>
    <mergeCell ref="H13:I13"/>
    <mergeCell ref="D14:E14"/>
    <mergeCell ref="H14:I14"/>
    <mergeCell ref="D15:E15"/>
    <mergeCell ref="H15:I15"/>
    <mergeCell ref="D16:E16"/>
    <mergeCell ref="H16:I16"/>
    <mergeCell ref="D17:E17"/>
    <mergeCell ref="H17:I17"/>
    <mergeCell ref="D18:E18"/>
    <mergeCell ref="H18:I18"/>
    <mergeCell ref="D19:E19"/>
    <mergeCell ref="H19:I19"/>
    <mergeCell ref="D20:E20"/>
    <mergeCell ref="H20:I20"/>
    <mergeCell ref="D21:E21"/>
    <mergeCell ref="H21:I21"/>
    <mergeCell ref="D22:E22"/>
    <mergeCell ref="H22:I22"/>
    <mergeCell ref="D23:E23"/>
    <mergeCell ref="H23:I23"/>
    <mergeCell ref="D24:E24"/>
    <mergeCell ref="H24:I24"/>
    <mergeCell ref="D25:E25"/>
    <mergeCell ref="H25:I25"/>
    <mergeCell ref="D26:E26"/>
    <mergeCell ref="H26:I26"/>
    <mergeCell ref="D27:E27"/>
    <mergeCell ref="H27:I27"/>
    <mergeCell ref="D28:E28"/>
    <mergeCell ref="H28:I28"/>
  </mergeCells>
  <pageMargins left="0.75" right="0.75" top="1" bottom="1" header="0.5" footer="0.5"/>
  <pageSetup paperSize="9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39"/>
  <sheetViews>
    <sheetView tabSelected="1" topLeftCell="A7" workbookViewId="0">
      <selection activeCell="Q17" sqref="Q17"/>
    </sheetView>
  </sheetViews>
  <sheetFormatPr defaultColWidth="9" defaultRowHeight="13.5"/>
  <cols>
    <col min="1" max="1" width="7.375" style="1" customWidth="1"/>
    <col min="2" max="3" width="13.625" style="1" customWidth="1"/>
    <col min="4" max="4" width="10.625" style="1" customWidth="1"/>
    <col min="5" max="5" width="13.625" style="1" customWidth="1"/>
    <col min="6" max="13" width="10.625" style="1" customWidth="1"/>
    <col min="14" max="14" width="15.625" style="1" customWidth="1"/>
    <col min="15" max="16" width="10.625" style="1" customWidth="1"/>
    <col min="17" max="17" width="15.625" style="1" customWidth="1"/>
    <col min="18" max="16384" width="9" style="1"/>
  </cols>
  <sheetData>
    <row r="1" s="1" customFormat="1" ht="25" customHeight="1" spans="1:5">
      <c r="A1" s="6" t="s">
        <v>0</v>
      </c>
      <c r="B1" s="7" t="s">
        <v>1</v>
      </c>
      <c r="C1" s="8" t="s">
        <v>2</v>
      </c>
      <c r="D1" s="8" t="s">
        <v>3</v>
      </c>
      <c r="E1" s="9" t="s">
        <v>4</v>
      </c>
    </row>
    <row r="2" s="1" customFormat="1" ht="25" customHeight="1" spans="1:17">
      <c r="A2" s="7" t="s">
        <v>0</v>
      </c>
      <c r="B2" s="10" t="s">
        <v>5</v>
      </c>
      <c r="C2" s="7" t="s">
        <v>6</v>
      </c>
      <c r="D2" s="7" t="s">
        <v>7</v>
      </c>
      <c r="E2" s="7" t="s">
        <v>8</v>
      </c>
      <c r="H2" s="11"/>
      <c r="I2" s="11"/>
      <c r="J2" s="11"/>
      <c r="K2" s="11"/>
      <c r="M2" s="11"/>
      <c r="N2" s="11"/>
      <c r="O2" s="11"/>
      <c r="P2" s="11"/>
      <c r="Q2" s="11"/>
    </row>
    <row r="3" s="1" customFormat="1" ht="25" customHeight="1" spans="1:17">
      <c r="A3" s="12" t="s">
        <v>0</v>
      </c>
      <c r="B3" s="7" t="s">
        <v>9</v>
      </c>
      <c r="C3" s="7" t="s">
        <v>10</v>
      </c>
      <c r="D3" s="7" t="s">
        <v>11</v>
      </c>
      <c r="E3" s="7" t="s">
        <v>12</v>
      </c>
      <c r="H3" s="11"/>
      <c r="I3" s="11"/>
      <c r="J3" s="11"/>
      <c r="K3" s="11"/>
      <c r="M3" s="11"/>
      <c r="N3" s="11"/>
      <c r="O3" s="11"/>
      <c r="P3" s="11"/>
      <c r="Q3" s="11"/>
    </row>
    <row r="4" s="1" customFormat="1" ht="25" customHeight="1" spans="1:17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M4" s="11"/>
      <c r="N4" s="11"/>
      <c r="O4" s="11"/>
      <c r="P4" s="3"/>
      <c r="Q4" s="3"/>
    </row>
    <row r="5" s="2" customFormat="1" ht="25" customHeight="1" spans="1:16381">
      <c r="A5" s="13" t="s">
        <v>13</v>
      </c>
      <c r="B5" s="14" t="s">
        <v>14</v>
      </c>
      <c r="C5" s="14" t="s">
        <v>15</v>
      </c>
      <c r="D5" s="14" t="s">
        <v>16</v>
      </c>
      <c r="E5" s="14" t="s">
        <v>17</v>
      </c>
      <c r="F5" s="14" t="s">
        <v>18</v>
      </c>
      <c r="G5" s="14" t="s">
        <v>19</v>
      </c>
      <c r="H5" s="14" t="s">
        <v>20</v>
      </c>
      <c r="I5" s="14" t="s">
        <v>21</v>
      </c>
      <c r="J5" s="14" t="s">
        <v>22</v>
      </c>
      <c r="K5" s="14" t="s">
        <v>23</v>
      </c>
      <c r="L5" s="14" t="s">
        <v>24</v>
      </c>
      <c r="T5" s="11"/>
      <c r="XEK5"/>
      <c r="XEL5"/>
      <c r="XEM5"/>
      <c r="XEN5"/>
      <c r="XEO5"/>
      <c r="XEP5"/>
      <c r="XEQ5"/>
      <c r="XER5"/>
      <c r="XES5"/>
      <c r="XET5"/>
      <c r="XEU5"/>
      <c r="XEV5"/>
      <c r="XEW5"/>
      <c r="XEX5"/>
      <c r="XEY5"/>
      <c r="XEZ5"/>
      <c r="XFA5"/>
    </row>
    <row r="6" s="3" customFormat="1" ht="25" customHeight="1" spans="1:20">
      <c r="A6" s="13" t="s">
        <v>25</v>
      </c>
      <c r="B6" s="14" t="s">
        <v>26</v>
      </c>
      <c r="C6" s="14" t="s">
        <v>27</v>
      </c>
      <c r="D6" s="14" t="s">
        <v>28</v>
      </c>
      <c r="E6" s="14" t="s">
        <v>29</v>
      </c>
      <c r="F6" s="14" t="s">
        <v>30</v>
      </c>
      <c r="G6" s="14" t="s">
        <v>31</v>
      </c>
      <c r="H6" s="14" t="s">
        <v>32</v>
      </c>
      <c r="I6" s="14" t="s">
        <v>33</v>
      </c>
      <c r="J6" s="14" t="s">
        <v>34</v>
      </c>
      <c r="K6" s="14" t="s">
        <v>35</v>
      </c>
      <c r="L6" s="14" t="s">
        <v>36</v>
      </c>
      <c r="T6" s="76"/>
    </row>
    <row r="7" s="1" customFormat="1" ht="25" customHeight="1" spans="1:17">
      <c r="A7" s="15" t="s">
        <v>37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ht="25" customHeight="1" spans="1:17">
      <c r="A8" s="16" t="s">
        <v>38</v>
      </c>
      <c r="B8" s="17" t="s">
        <v>39</v>
      </c>
      <c r="C8" s="17" t="s">
        <v>40</v>
      </c>
      <c r="D8" s="17" t="s">
        <v>41</v>
      </c>
      <c r="E8" s="17"/>
      <c r="F8" s="17" t="s">
        <v>42</v>
      </c>
      <c r="G8" s="17" t="s">
        <v>43</v>
      </c>
      <c r="H8" s="17" t="s">
        <v>44</v>
      </c>
      <c r="I8" s="17"/>
      <c r="J8" s="17" t="s">
        <v>45</v>
      </c>
      <c r="K8" s="17" t="s">
        <v>46</v>
      </c>
      <c r="L8" s="17" t="s">
        <v>47</v>
      </c>
      <c r="M8" s="17" t="s">
        <v>48</v>
      </c>
      <c r="N8" s="17" t="s">
        <v>90</v>
      </c>
      <c r="O8" s="17" t="s">
        <v>50</v>
      </c>
      <c r="P8" s="17" t="s">
        <v>51</v>
      </c>
      <c r="Q8" s="77" t="s">
        <v>52</v>
      </c>
    </row>
    <row r="9" s="4" customFormat="1" ht="25" customHeight="1" spans="1:17">
      <c r="A9" s="18">
        <v>1</v>
      </c>
      <c r="B9" s="19" t="s">
        <v>53</v>
      </c>
      <c r="C9" s="20" t="s">
        <v>54</v>
      </c>
      <c r="D9" s="20" t="s">
        <v>55</v>
      </c>
      <c r="E9" s="20"/>
      <c r="F9" s="19" t="s">
        <v>56</v>
      </c>
      <c r="G9" s="19" t="s">
        <v>57</v>
      </c>
      <c r="H9" s="19" t="s">
        <v>58</v>
      </c>
      <c r="I9" s="19"/>
      <c r="J9" s="19" t="s">
        <v>59</v>
      </c>
      <c r="K9" s="19" t="s">
        <v>60</v>
      </c>
      <c r="L9" s="50">
        <v>20</v>
      </c>
      <c r="M9" s="19">
        <v>10</v>
      </c>
      <c r="N9" s="51">
        <v>1000000</v>
      </c>
      <c r="O9" s="52" t="s">
        <v>61</v>
      </c>
      <c r="P9" s="20" t="s">
        <v>62</v>
      </c>
      <c r="Q9" s="78">
        <v>43763.9939467593</v>
      </c>
    </row>
    <row r="10" s="4" customFormat="1" ht="25" customHeight="1" spans="1:17">
      <c r="A10" s="21" t="s">
        <v>91</v>
      </c>
      <c r="B10" s="22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53"/>
      <c r="Q10" s="23"/>
    </row>
    <row r="11" s="5" customFormat="1" ht="25" customHeight="1" spans="1:15">
      <c r="A11" s="24" t="s">
        <v>38</v>
      </c>
      <c r="B11" s="25" t="s">
        <v>92</v>
      </c>
      <c r="C11" s="26"/>
      <c r="D11" s="26"/>
      <c r="E11" s="26" t="s">
        <v>93</v>
      </c>
      <c r="F11" s="26" t="s">
        <v>94</v>
      </c>
      <c r="G11" s="26" t="s">
        <v>95</v>
      </c>
      <c r="H11" s="26" t="s">
        <v>96</v>
      </c>
      <c r="I11" s="26" t="s">
        <v>97</v>
      </c>
      <c r="J11" s="26" t="s">
        <v>98</v>
      </c>
      <c r="K11" s="26" t="s">
        <v>99</v>
      </c>
      <c r="L11" s="54" t="s">
        <v>100</v>
      </c>
      <c r="M11" s="55" t="s">
        <v>101</v>
      </c>
      <c r="N11" s="55" t="s">
        <v>102</v>
      </c>
      <c r="O11" s="56" t="s">
        <v>103</v>
      </c>
    </row>
    <row r="12" s="4" customFormat="1" ht="25" customHeight="1" spans="1:15">
      <c r="A12" s="27">
        <v>1</v>
      </c>
      <c r="B12" s="28" t="s">
        <v>104</v>
      </c>
      <c r="C12" s="28"/>
      <c r="D12" s="28"/>
      <c r="E12" s="29" t="s">
        <v>105</v>
      </c>
      <c r="F12" s="29" t="s">
        <v>106</v>
      </c>
      <c r="G12" s="30">
        <v>400</v>
      </c>
      <c r="H12" s="29">
        <v>1</v>
      </c>
      <c r="I12" s="57">
        <v>400</v>
      </c>
      <c r="J12" s="57" t="s">
        <v>107</v>
      </c>
      <c r="K12" s="57" t="s">
        <v>108</v>
      </c>
      <c r="L12" s="58" t="s">
        <v>109</v>
      </c>
      <c r="M12" s="59" t="s">
        <v>110</v>
      </c>
      <c r="N12" s="60">
        <v>43763</v>
      </c>
      <c r="O12" s="61" t="s">
        <v>111</v>
      </c>
    </row>
    <row r="13" s="4" customFormat="1" ht="25" customHeight="1" spans="1:15">
      <c r="A13" s="31">
        <v>2</v>
      </c>
      <c r="B13" s="32" t="s">
        <v>112</v>
      </c>
      <c r="C13" s="32"/>
      <c r="D13" s="32"/>
      <c r="E13" s="33" t="s">
        <v>113</v>
      </c>
      <c r="F13" s="33" t="s">
        <v>114</v>
      </c>
      <c r="G13" s="34">
        <v>400</v>
      </c>
      <c r="H13" s="33">
        <v>1500</v>
      </c>
      <c r="I13" s="62">
        <v>900000</v>
      </c>
      <c r="J13" s="62" t="s">
        <v>107</v>
      </c>
      <c r="K13" s="62" t="s">
        <v>108</v>
      </c>
      <c r="L13" s="63" t="s">
        <v>115</v>
      </c>
      <c r="M13" s="64" t="s">
        <v>110</v>
      </c>
      <c r="N13" s="65">
        <v>43764</v>
      </c>
      <c r="O13" s="66" t="s">
        <v>111</v>
      </c>
    </row>
    <row r="14" s="4" customFormat="1" ht="25" customHeight="1" spans="1:15">
      <c r="A14" s="27">
        <v>3</v>
      </c>
      <c r="B14" s="28" t="s">
        <v>116</v>
      </c>
      <c r="C14" s="28"/>
      <c r="D14" s="28"/>
      <c r="E14" s="29" t="s">
        <v>105</v>
      </c>
      <c r="F14" s="29" t="s">
        <v>117</v>
      </c>
      <c r="G14" s="30">
        <v>50</v>
      </c>
      <c r="H14" s="29">
        <v>1</v>
      </c>
      <c r="I14" s="57">
        <v>50</v>
      </c>
      <c r="J14" s="57" t="s">
        <v>107</v>
      </c>
      <c r="K14" s="57" t="s">
        <v>108</v>
      </c>
      <c r="L14" s="58" t="s">
        <v>118</v>
      </c>
      <c r="M14" s="59" t="s">
        <v>110</v>
      </c>
      <c r="N14" s="60">
        <v>43765</v>
      </c>
      <c r="O14" s="61" t="s">
        <v>111</v>
      </c>
    </row>
    <row r="15" s="4" customFormat="1" ht="25" customHeight="1" spans="1:15">
      <c r="A15" s="31">
        <v>4</v>
      </c>
      <c r="B15" s="32" t="s">
        <v>116</v>
      </c>
      <c r="C15" s="32"/>
      <c r="D15" s="32"/>
      <c r="E15" s="33" t="s">
        <v>105</v>
      </c>
      <c r="F15" s="33" t="s">
        <v>117</v>
      </c>
      <c r="G15" s="34">
        <v>51</v>
      </c>
      <c r="H15" s="33">
        <v>2</v>
      </c>
      <c r="I15" s="62">
        <v>51</v>
      </c>
      <c r="J15" s="62" t="s">
        <v>107</v>
      </c>
      <c r="K15" s="62" t="s">
        <v>108</v>
      </c>
      <c r="L15" s="63" t="s">
        <v>119</v>
      </c>
      <c r="M15" s="64" t="s">
        <v>110</v>
      </c>
      <c r="N15" s="65">
        <v>43766</v>
      </c>
      <c r="O15" s="66" t="s">
        <v>111</v>
      </c>
    </row>
    <row r="16" s="4" customFormat="1" ht="25" customHeight="1" spans="1:15">
      <c r="A16" s="27">
        <v>5</v>
      </c>
      <c r="B16" s="28" t="s">
        <v>116</v>
      </c>
      <c r="C16" s="28"/>
      <c r="D16" s="28"/>
      <c r="E16" s="29" t="s">
        <v>105</v>
      </c>
      <c r="F16" s="29" t="s">
        <v>117</v>
      </c>
      <c r="G16" s="30">
        <v>52</v>
      </c>
      <c r="H16" s="29">
        <v>3</v>
      </c>
      <c r="I16" s="57">
        <v>52</v>
      </c>
      <c r="J16" s="57" t="s">
        <v>107</v>
      </c>
      <c r="K16" s="57" t="s">
        <v>108</v>
      </c>
      <c r="L16" s="58" t="s">
        <v>120</v>
      </c>
      <c r="M16" s="59" t="s">
        <v>110</v>
      </c>
      <c r="N16" s="60">
        <v>43767</v>
      </c>
      <c r="O16" s="61" t="s">
        <v>111</v>
      </c>
    </row>
    <row r="17" s="4" customFormat="1" ht="25" customHeight="1" spans="1:15">
      <c r="A17" s="31">
        <v>6</v>
      </c>
      <c r="B17" s="32" t="s">
        <v>116</v>
      </c>
      <c r="C17" s="32"/>
      <c r="D17" s="32"/>
      <c r="E17" s="33" t="s">
        <v>105</v>
      </c>
      <c r="F17" s="33" t="s">
        <v>117</v>
      </c>
      <c r="G17" s="34">
        <v>53</v>
      </c>
      <c r="H17" s="33">
        <v>4</v>
      </c>
      <c r="I17" s="62">
        <v>53</v>
      </c>
      <c r="J17" s="62" t="s">
        <v>107</v>
      </c>
      <c r="K17" s="62" t="s">
        <v>108</v>
      </c>
      <c r="L17" s="63" t="s">
        <v>121</v>
      </c>
      <c r="M17" s="64" t="s">
        <v>110</v>
      </c>
      <c r="N17" s="65">
        <v>43768</v>
      </c>
      <c r="O17" s="66" t="s">
        <v>111</v>
      </c>
    </row>
    <row r="18" s="4" customFormat="1" ht="25" customHeight="1" spans="1:15">
      <c r="A18" s="27">
        <v>7</v>
      </c>
      <c r="B18" s="28" t="s">
        <v>116</v>
      </c>
      <c r="C18" s="28"/>
      <c r="D18" s="28"/>
      <c r="E18" s="29" t="s">
        <v>105</v>
      </c>
      <c r="F18" s="29" t="s">
        <v>117</v>
      </c>
      <c r="G18" s="30">
        <v>54</v>
      </c>
      <c r="H18" s="29">
        <v>5</v>
      </c>
      <c r="I18" s="57">
        <v>54</v>
      </c>
      <c r="J18" s="57" t="s">
        <v>107</v>
      </c>
      <c r="K18" s="57" t="s">
        <v>108</v>
      </c>
      <c r="L18" s="58" t="s">
        <v>122</v>
      </c>
      <c r="M18" s="59" t="s">
        <v>110</v>
      </c>
      <c r="N18" s="60">
        <v>43769</v>
      </c>
      <c r="O18" s="61" t="s">
        <v>111</v>
      </c>
    </row>
    <row r="19" s="4" customFormat="1" ht="25" customHeight="1" spans="1:15">
      <c r="A19" s="35"/>
      <c r="B19" s="36"/>
      <c r="C19" s="36"/>
      <c r="D19" s="36"/>
      <c r="E19" s="37"/>
      <c r="F19" s="37"/>
      <c r="G19" s="38"/>
      <c r="H19" s="25" t="s">
        <v>123</v>
      </c>
      <c r="I19" s="67">
        <f>SUM(I12:I18)</f>
        <v>900660</v>
      </c>
      <c r="J19" s="62"/>
      <c r="K19" s="65"/>
      <c r="L19" s="68"/>
      <c r="M19" s="68"/>
      <c r="N19" s="68"/>
      <c r="O19" s="66"/>
    </row>
    <row r="20" s="4" customFormat="1" ht="25" customHeight="1" spans="1:17">
      <c r="A20" s="39">
        <v>2</v>
      </c>
      <c r="B20" s="40" t="s">
        <v>10</v>
      </c>
      <c r="C20" s="41" t="s">
        <v>63</v>
      </c>
      <c r="D20" s="41" t="s">
        <v>55</v>
      </c>
      <c r="E20" s="41"/>
      <c r="F20" s="40" t="s">
        <v>56</v>
      </c>
      <c r="G20" s="40" t="s">
        <v>57</v>
      </c>
      <c r="H20" s="40" t="s">
        <v>64</v>
      </c>
      <c r="I20" s="40"/>
      <c r="J20" s="40" t="s">
        <v>59</v>
      </c>
      <c r="K20" s="40" t="s">
        <v>60</v>
      </c>
      <c r="L20" s="69">
        <v>21</v>
      </c>
      <c r="M20" s="40">
        <v>11</v>
      </c>
      <c r="N20" s="70">
        <v>50000</v>
      </c>
      <c r="O20" s="71" t="s">
        <v>65</v>
      </c>
      <c r="P20" s="41" t="s">
        <v>66</v>
      </c>
      <c r="Q20" s="79">
        <v>43764.9939467593</v>
      </c>
    </row>
    <row r="21" s="4" customFormat="1" ht="25" customHeight="1" spans="1:17">
      <c r="A21" s="42">
        <v>3</v>
      </c>
      <c r="B21" s="43" t="s">
        <v>10</v>
      </c>
      <c r="C21" s="44" t="s">
        <v>67</v>
      </c>
      <c r="D21" s="44" t="s">
        <v>55</v>
      </c>
      <c r="E21" s="44"/>
      <c r="F21" s="43" t="s">
        <v>68</v>
      </c>
      <c r="G21" s="43" t="s">
        <v>69</v>
      </c>
      <c r="H21" s="43" t="s">
        <v>70</v>
      </c>
      <c r="I21" s="43"/>
      <c r="J21" s="43" t="s">
        <v>59</v>
      </c>
      <c r="K21" s="43" t="s">
        <v>60</v>
      </c>
      <c r="L21" s="72">
        <v>22</v>
      </c>
      <c r="M21" s="43">
        <v>12</v>
      </c>
      <c r="N21" s="43"/>
      <c r="O21" s="73" t="s">
        <v>71</v>
      </c>
      <c r="P21" s="44" t="s">
        <v>72</v>
      </c>
      <c r="Q21" s="80">
        <v>43765.9939467593</v>
      </c>
    </row>
    <row r="22" s="4" customFormat="1" ht="25" customHeight="1" spans="1:17">
      <c r="A22" s="45">
        <v>4</v>
      </c>
      <c r="B22" s="46" t="s">
        <v>53</v>
      </c>
      <c r="C22" s="47" t="s">
        <v>73</v>
      </c>
      <c r="D22" s="47" t="s">
        <v>55</v>
      </c>
      <c r="E22" s="47"/>
      <c r="F22" s="46" t="s">
        <v>68</v>
      </c>
      <c r="G22" s="46" t="s">
        <v>57</v>
      </c>
      <c r="H22" s="46" t="s">
        <v>70</v>
      </c>
      <c r="I22" s="46"/>
      <c r="J22" s="46" t="s">
        <v>59</v>
      </c>
      <c r="K22" s="46" t="s">
        <v>60</v>
      </c>
      <c r="L22" s="74">
        <v>23</v>
      </c>
      <c r="M22" s="46">
        <v>13</v>
      </c>
      <c r="N22" s="46"/>
      <c r="O22" s="75" t="s">
        <v>74</v>
      </c>
      <c r="P22" s="47" t="s">
        <v>72</v>
      </c>
      <c r="Q22" s="81">
        <v>43766.9939467593</v>
      </c>
    </row>
    <row r="23" s="4" customFormat="1" ht="25" customHeight="1" spans="1:17">
      <c r="A23" s="42">
        <v>5</v>
      </c>
      <c r="B23" s="43" t="s">
        <v>10</v>
      </c>
      <c r="C23" s="44" t="s">
        <v>75</v>
      </c>
      <c r="D23" s="44" t="s">
        <v>55</v>
      </c>
      <c r="E23" s="44"/>
      <c r="F23" s="43" t="s">
        <v>68</v>
      </c>
      <c r="G23" s="43" t="s">
        <v>57</v>
      </c>
      <c r="H23" s="43" t="s">
        <v>58</v>
      </c>
      <c r="I23" s="43"/>
      <c r="J23" s="43" t="s">
        <v>76</v>
      </c>
      <c r="K23" s="43" t="s">
        <v>60</v>
      </c>
      <c r="L23" s="72">
        <v>24</v>
      </c>
      <c r="M23" s="43">
        <v>29</v>
      </c>
      <c r="N23" s="43"/>
      <c r="O23" s="73" t="s">
        <v>77</v>
      </c>
      <c r="P23" s="44" t="s">
        <v>66</v>
      </c>
      <c r="Q23" s="80">
        <v>43767.9939467593</v>
      </c>
    </row>
    <row r="24" s="4" customFormat="1" ht="25" customHeight="1" spans="1:17">
      <c r="A24" s="45">
        <v>6</v>
      </c>
      <c r="B24" s="46" t="s">
        <v>53</v>
      </c>
      <c r="C24" s="47" t="s">
        <v>78</v>
      </c>
      <c r="D24" s="47" t="s">
        <v>55</v>
      </c>
      <c r="E24" s="47"/>
      <c r="F24" s="46" t="s">
        <v>68</v>
      </c>
      <c r="G24" s="46" t="s">
        <v>57</v>
      </c>
      <c r="H24" s="46" t="s">
        <v>64</v>
      </c>
      <c r="I24" s="46"/>
      <c r="J24" s="46" t="s">
        <v>59</v>
      </c>
      <c r="K24" s="46" t="s">
        <v>60</v>
      </c>
      <c r="L24" s="74">
        <v>25</v>
      </c>
      <c r="M24" s="46">
        <v>30</v>
      </c>
      <c r="N24" s="46"/>
      <c r="O24" s="75" t="s">
        <v>71</v>
      </c>
      <c r="P24" s="47" t="s">
        <v>79</v>
      </c>
      <c r="Q24" s="81">
        <v>43768.9939467593</v>
      </c>
    </row>
    <row r="25" s="4" customFormat="1" ht="25" customHeight="1" spans="1:17">
      <c r="A25" s="42">
        <v>7</v>
      </c>
      <c r="B25" s="43" t="s">
        <v>10</v>
      </c>
      <c r="C25" s="44" t="s">
        <v>80</v>
      </c>
      <c r="D25" s="44" t="s">
        <v>55</v>
      </c>
      <c r="E25" s="44"/>
      <c r="F25" s="43" t="s">
        <v>68</v>
      </c>
      <c r="G25" s="43" t="s">
        <v>57</v>
      </c>
      <c r="H25" s="43" t="s">
        <v>58</v>
      </c>
      <c r="I25" s="43"/>
      <c r="J25" s="43" t="s">
        <v>76</v>
      </c>
      <c r="K25" s="43" t="s">
        <v>81</v>
      </c>
      <c r="L25" s="72">
        <v>26</v>
      </c>
      <c r="M25" s="43">
        <v>31</v>
      </c>
      <c r="N25" s="43"/>
      <c r="O25" s="73" t="s">
        <v>74</v>
      </c>
      <c r="P25" s="44" t="s">
        <v>72</v>
      </c>
      <c r="Q25" s="80">
        <v>43769.9939467593</v>
      </c>
    </row>
    <row r="26" s="4" customFormat="1" ht="25" customHeight="1" spans="1:17">
      <c r="A26" s="45">
        <v>8</v>
      </c>
      <c r="B26" s="46" t="s">
        <v>53</v>
      </c>
      <c r="C26" s="47" t="s">
        <v>82</v>
      </c>
      <c r="D26" s="47" t="s">
        <v>55</v>
      </c>
      <c r="E26" s="47"/>
      <c r="F26" s="46" t="s">
        <v>68</v>
      </c>
      <c r="G26" s="46" t="s">
        <v>57</v>
      </c>
      <c r="H26" s="46" t="s">
        <v>64</v>
      </c>
      <c r="I26" s="46"/>
      <c r="J26" s="46" t="s">
        <v>76</v>
      </c>
      <c r="K26" s="46" t="s">
        <v>81</v>
      </c>
      <c r="L26" s="74">
        <v>27</v>
      </c>
      <c r="M26" s="46">
        <v>32</v>
      </c>
      <c r="N26" s="46"/>
      <c r="O26" s="75" t="s">
        <v>71</v>
      </c>
      <c r="P26" s="47" t="s">
        <v>79</v>
      </c>
      <c r="Q26" s="81">
        <v>43770.9939467593</v>
      </c>
    </row>
    <row r="27" s="4" customFormat="1" ht="25" customHeight="1" spans="1:17">
      <c r="A27" s="42">
        <v>9</v>
      </c>
      <c r="B27" s="43" t="s">
        <v>10</v>
      </c>
      <c r="C27" s="44" t="s">
        <v>83</v>
      </c>
      <c r="D27" s="44" t="s">
        <v>55</v>
      </c>
      <c r="E27" s="44"/>
      <c r="F27" s="43" t="s">
        <v>68</v>
      </c>
      <c r="G27" s="43" t="s">
        <v>57</v>
      </c>
      <c r="H27" s="43" t="s">
        <v>70</v>
      </c>
      <c r="I27" s="43"/>
      <c r="J27" s="43" t="s">
        <v>76</v>
      </c>
      <c r="K27" s="43" t="s">
        <v>81</v>
      </c>
      <c r="L27" s="72">
        <v>28</v>
      </c>
      <c r="M27" s="43">
        <v>33</v>
      </c>
      <c r="N27" s="43"/>
      <c r="O27" s="73" t="s">
        <v>74</v>
      </c>
      <c r="P27" s="44" t="s">
        <v>72</v>
      </c>
      <c r="Q27" s="80">
        <v>43771.9939467593</v>
      </c>
    </row>
    <row r="28" s="4" customFormat="1" ht="25" customHeight="1" spans="1:17">
      <c r="A28" s="45">
        <v>10</v>
      </c>
      <c r="B28" s="46" t="s">
        <v>53</v>
      </c>
      <c r="C28" s="47" t="s">
        <v>84</v>
      </c>
      <c r="D28" s="47" t="s">
        <v>55</v>
      </c>
      <c r="E28" s="47"/>
      <c r="F28" s="46" t="s">
        <v>68</v>
      </c>
      <c r="G28" s="46" t="s">
        <v>57</v>
      </c>
      <c r="H28" s="46" t="s">
        <v>70</v>
      </c>
      <c r="I28" s="46"/>
      <c r="J28" s="46" t="s">
        <v>76</v>
      </c>
      <c r="K28" s="46" t="s">
        <v>81</v>
      </c>
      <c r="L28" s="74">
        <v>29</v>
      </c>
      <c r="M28" s="46">
        <v>19</v>
      </c>
      <c r="N28" s="46"/>
      <c r="O28" s="75" t="s">
        <v>71</v>
      </c>
      <c r="P28" s="47" t="s">
        <v>79</v>
      </c>
      <c r="Q28" s="81">
        <v>43772.9939467593</v>
      </c>
    </row>
    <row r="29" s="4" customFormat="1" ht="25" customHeight="1" spans="1:17">
      <c r="A29" s="42">
        <v>11</v>
      </c>
      <c r="B29" s="43" t="s">
        <v>10</v>
      </c>
      <c r="C29" s="44" t="s">
        <v>54</v>
      </c>
      <c r="D29" s="44" t="s">
        <v>55</v>
      </c>
      <c r="E29" s="44"/>
      <c r="F29" s="43" t="s">
        <v>68</v>
      </c>
      <c r="G29" s="43" t="s">
        <v>57</v>
      </c>
      <c r="H29" s="43" t="s">
        <v>58</v>
      </c>
      <c r="I29" s="43"/>
      <c r="J29" s="43" t="s">
        <v>59</v>
      </c>
      <c r="K29" s="43" t="s">
        <v>60</v>
      </c>
      <c r="L29" s="72">
        <v>30</v>
      </c>
      <c r="M29" s="43">
        <v>20</v>
      </c>
      <c r="N29" s="43"/>
      <c r="O29" s="73" t="s">
        <v>74</v>
      </c>
      <c r="P29" s="44" t="s">
        <v>72</v>
      </c>
      <c r="Q29" s="80">
        <v>43773.9939467593</v>
      </c>
    </row>
    <row r="30" s="4" customFormat="1" ht="25" customHeight="1" spans="1:17">
      <c r="A30" s="45">
        <v>12</v>
      </c>
      <c r="B30" s="46" t="s">
        <v>53</v>
      </c>
      <c r="C30" s="47" t="s">
        <v>63</v>
      </c>
      <c r="D30" s="47" t="s">
        <v>55</v>
      </c>
      <c r="E30" s="47"/>
      <c r="F30" s="46" t="s">
        <v>68</v>
      </c>
      <c r="G30" s="46" t="s">
        <v>57</v>
      </c>
      <c r="H30" s="46" t="s">
        <v>64</v>
      </c>
      <c r="I30" s="46"/>
      <c r="J30" s="46" t="s">
        <v>59</v>
      </c>
      <c r="K30" s="46" t="s">
        <v>60</v>
      </c>
      <c r="L30" s="74">
        <v>31</v>
      </c>
      <c r="M30" s="46">
        <v>21</v>
      </c>
      <c r="N30" s="46"/>
      <c r="O30" s="75" t="s">
        <v>71</v>
      </c>
      <c r="P30" s="47" t="s">
        <v>79</v>
      </c>
      <c r="Q30" s="81">
        <v>43774.9939467593</v>
      </c>
    </row>
    <row r="31" s="4" customFormat="1" ht="25" customHeight="1" spans="1:17">
      <c r="A31" s="42">
        <v>13</v>
      </c>
      <c r="B31" s="43" t="s">
        <v>10</v>
      </c>
      <c r="C31" s="44" t="s">
        <v>67</v>
      </c>
      <c r="D31" s="44" t="s">
        <v>55</v>
      </c>
      <c r="E31" s="44"/>
      <c r="F31" s="43" t="s">
        <v>68</v>
      </c>
      <c r="G31" s="43" t="s">
        <v>69</v>
      </c>
      <c r="H31" s="43" t="s">
        <v>58</v>
      </c>
      <c r="I31" s="43"/>
      <c r="J31" s="43" t="s">
        <v>59</v>
      </c>
      <c r="K31" s="43" t="s">
        <v>60</v>
      </c>
      <c r="L31" s="72">
        <v>32</v>
      </c>
      <c r="M31" s="43">
        <v>22</v>
      </c>
      <c r="N31" s="43"/>
      <c r="O31" s="73" t="s">
        <v>74</v>
      </c>
      <c r="P31" s="44" t="s">
        <v>72</v>
      </c>
      <c r="Q31" s="80">
        <v>43775.9939467593</v>
      </c>
    </row>
    <row r="32" s="4" customFormat="1" ht="25" customHeight="1" spans="1:17">
      <c r="A32" s="45">
        <v>14</v>
      </c>
      <c r="B32" s="46" t="s">
        <v>53</v>
      </c>
      <c r="C32" s="47" t="s">
        <v>73</v>
      </c>
      <c r="D32" s="47" t="s">
        <v>55</v>
      </c>
      <c r="E32" s="47"/>
      <c r="F32" s="46" t="s">
        <v>68</v>
      </c>
      <c r="G32" s="46" t="s">
        <v>57</v>
      </c>
      <c r="H32" s="46" t="s">
        <v>64</v>
      </c>
      <c r="I32" s="46"/>
      <c r="J32" s="46" t="s">
        <v>59</v>
      </c>
      <c r="K32" s="46" t="s">
        <v>60</v>
      </c>
      <c r="L32" s="74">
        <v>33</v>
      </c>
      <c r="M32" s="46">
        <v>23</v>
      </c>
      <c r="N32" s="46"/>
      <c r="O32" s="75" t="s">
        <v>71</v>
      </c>
      <c r="P32" s="47" t="s">
        <v>79</v>
      </c>
      <c r="Q32" s="81">
        <v>43776.9939467593</v>
      </c>
    </row>
    <row r="33" s="4" customFormat="1" ht="25" customHeight="1" spans="1:17">
      <c r="A33" s="42">
        <v>15</v>
      </c>
      <c r="B33" s="43" t="s">
        <v>10</v>
      </c>
      <c r="C33" s="44" t="s">
        <v>75</v>
      </c>
      <c r="D33" s="44" t="s">
        <v>55</v>
      </c>
      <c r="E33" s="44"/>
      <c r="F33" s="43" t="s">
        <v>68</v>
      </c>
      <c r="G33" s="43" t="s">
        <v>57</v>
      </c>
      <c r="H33" s="43" t="s">
        <v>58</v>
      </c>
      <c r="I33" s="43"/>
      <c r="J33" s="43" t="s">
        <v>76</v>
      </c>
      <c r="K33" s="43" t="s">
        <v>60</v>
      </c>
      <c r="L33" s="72">
        <v>34</v>
      </c>
      <c r="M33" s="43">
        <v>24</v>
      </c>
      <c r="N33" s="43"/>
      <c r="O33" s="73" t="s">
        <v>74</v>
      </c>
      <c r="P33" s="44" t="s">
        <v>72</v>
      </c>
      <c r="Q33" s="80">
        <v>43777.9939467593</v>
      </c>
    </row>
    <row r="34" s="4" customFormat="1" ht="25" customHeight="1" spans="1:17">
      <c r="A34" s="45">
        <v>16</v>
      </c>
      <c r="B34" s="46" t="s">
        <v>53</v>
      </c>
      <c r="C34" s="47" t="s">
        <v>85</v>
      </c>
      <c r="D34" s="47" t="s">
        <v>55</v>
      </c>
      <c r="E34" s="47"/>
      <c r="F34" s="46" t="s">
        <v>68</v>
      </c>
      <c r="G34" s="46" t="s">
        <v>57</v>
      </c>
      <c r="H34" s="46" t="s">
        <v>64</v>
      </c>
      <c r="I34" s="46"/>
      <c r="J34" s="46" t="s">
        <v>76</v>
      </c>
      <c r="K34" s="46" t="s">
        <v>60</v>
      </c>
      <c r="L34" s="74">
        <v>35</v>
      </c>
      <c r="M34" s="46">
        <v>25</v>
      </c>
      <c r="N34" s="46"/>
      <c r="O34" s="75" t="s">
        <v>71</v>
      </c>
      <c r="P34" s="47" t="s">
        <v>79</v>
      </c>
      <c r="Q34" s="81">
        <v>43778.9939467593</v>
      </c>
    </row>
    <row r="35" s="4" customFormat="1" ht="25" customHeight="1" spans="1:17">
      <c r="A35" s="42">
        <v>17</v>
      </c>
      <c r="B35" s="43" t="s">
        <v>10</v>
      </c>
      <c r="C35" s="44" t="s">
        <v>86</v>
      </c>
      <c r="D35" s="44" t="s">
        <v>55</v>
      </c>
      <c r="E35" s="44"/>
      <c r="F35" s="43" t="s">
        <v>68</v>
      </c>
      <c r="G35" s="43" t="s">
        <v>57</v>
      </c>
      <c r="H35" s="43" t="s">
        <v>58</v>
      </c>
      <c r="I35" s="43"/>
      <c r="J35" s="43" t="s">
        <v>76</v>
      </c>
      <c r="K35" s="43" t="s">
        <v>60</v>
      </c>
      <c r="L35" s="72">
        <v>36</v>
      </c>
      <c r="M35" s="43">
        <v>26</v>
      </c>
      <c r="N35" s="43"/>
      <c r="O35" s="73" t="s">
        <v>74</v>
      </c>
      <c r="P35" s="44" t="s">
        <v>72</v>
      </c>
      <c r="Q35" s="80">
        <v>43779.9939467593</v>
      </c>
    </row>
    <row r="36" s="4" customFormat="1" ht="25" customHeight="1" spans="1:17">
      <c r="A36" s="45">
        <v>18</v>
      </c>
      <c r="B36" s="46" t="s">
        <v>53</v>
      </c>
      <c r="C36" s="47" t="s">
        <v>87</v>
      </c>
      <c r="D36" s="47" t="s">
        <v>55</v>
      </c>
      <c r="E36" s="47"/>
      <c r="F36" s="46" t="s">
        <v>68</v>
      </c>
      <c r="G36" s="46" t="s">
        <v>57</v>
      </c>
      <c r="H36" s="46" t="s">
        <v>64</v>
      </c>
      <c r="I36" s="46"/>
      <c r="J36" s="46" t="s">
        <v>76</v>
      </c>
      <c r="K36" s="46" t="s">
        <v>60</v>
      </c>
      <c r="L36" s="74">
        <v>37</v>
      </c>
      <c r="M36" s="46">
        <v>27</v>
      </c>
      <c r="N36" s="46"/>
      <c r="O36" s="75" t="s">
        <v>71</v>
      </c>
      <c r="P36" s="47" t="s">
        <v>79</v>
      </c>
      <c r="Q36" s="81">
        <v>43780.9939467593</v>
      </c>
    </row>
    <row r="37" s="4" customFormat="1" ht="25" customHeight="1" spans="1:17">
      <c r="A37" s="42">
        <v>19</v>
      </c>
      <c r="B37" s="43" t="s">
        <v>10</v>
      </c>
      <c r="C37" s="44" t="s">
        <v>88</v>
      </c>
      <c r="D37" s="44" t="s">
        <v>55</v>
      </c>
      <c r="E37" s="44"/>
      <c r="F37" s="43" t="s">
        <v>68</v>
      </c>
      <c r="G37" s="43" t="s">
        <v>57</v>
      </c>
      <c r="H37" s="43" t="s">
        <v>64</v>
      </c>
      <c r="I37" s="43"/>
      <c r="J37" s="43" t="s">
        <v>76</v>
      </c>
      <c r="K37" s="43" t="s">
        <v>60</v>
      </c>
      <c r="L37" s="72">
        <v>38</v>
      </c>
      <c r="M37" s="43">
        <v>28</v>
      </c>
      <c r="N37" s="43"/>
      <c r="O37" s="73" t="s">
        <v>74</v>
      </c>
      <c r="P37" s="44" t="s">
        <v>72</v>
      </c>
      <c r="Q37" s="80">
        <v>43781.9939467593</v>
      </c>
    </row>
    <row r="38" s="4" customFormat="1" ht="25" customHeight="1" spans="1:17">
      <c r="A38" s="45">
        <v>20</v>
      </c>
      <c r="B38" s="46" t="s">
        <v>53</v>
      </c>
      <c r="C38" s="47" t="s">
        <v>89</v>
      </c>
      <c r="D38" s="47" t="s">
        <v>55</v>
      </c>
      <c r="E38" s="47"/>
      <c r="F38" s="46" t="s">
        <v>68</v>
      </c>
      <c r="G38" s="46" t="s">
        <v>57</v>
      </c>
      <c r="H38" s="46" t="s">
        <v>58</v>
      </c>
      <c r="I38" s="46"/>
      <c r="J38" s="46" t="s">
        <v>76</v>
      </c>
      <c r="K38" s="46" t="s">
        <v>60</v>
      </c>
      <c r="L38" s="74">
        <v>39</v>
      </c>
      <c r="M38" s="46">
        <v>29</v>
      </c>
      <c r="N38" s="46"/>
      <c r="O38" s="75" t="s">
        <v>71</v>
      </c>
      <c r="P38" s="47" t="s">
        <v>79</v>
      </c>
      <c r="Q38" s="81">
        <v>43782.9939467593</v>
      </c>
    </row>
    <row r="39" ht="25" customHeight="1" spans="1:17">
      <c r="A39" s="48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82"/>
    </row>
  </sheetData>
  <mergeCells count="56">
    <mergeCell ref="M2:N2"/>
    <mergeCell ref="A4:B4"/>
    <mergeCell ref="D8:E8"/>
    <mergeCell ref="H8:I8"/>
    <mergeCell ref="D9:E9"/>
    <mergeCell ref="H9:I9"/>
    <mergeCell ref="A10:B10"/>
    <mergeCell ref="B11:D11"/>
    <mergeCell ref="B12:D12"/>
    <mergeCell ref="B13:D13"/>
    <mergeCell ref="B14:D14"/>
    <mergeCell ref="B15:D15"/>
    <mergeCell ref="B16:D16"/>
    <mergeCell ref="B17:D17"/>
    <mergeCell ref="B18:D18"/>
    <mergeCell ref="A19:B19"/>
    <mergeCell ref="C19:D19"/>
    <mergeCell ref="E19:F19"/>
    <mergeCell ref="D20:E20"/>
    <mergeCell ref="H20:I20"/>
    <mergeCell ref="D21:E21"/>
    <mergeCell ref="H21:I21"/>
    <mergeCell ref="D22:E22"/>
    <mergeCell ref="H22:I22"/>
    <mergeCell ref="D23:E23"/>
    <mergeCell ref="H23:I23"/>
    <mergeCell ref="D24:E24"/>
    <mergeCell ref="H24:I24"/>
    <mergeCell ref="D25:E25"/>
    <mergeCell ref="H25:I25"/>
    <mergeCell ref="D26:E26"/>
    <mergeCell ref="H26:I26"/>
    <mergeCell ref="D27:E27"/>
    <mergeCell ref="H27:I27"/>
    <mergeCell ref="D28:E28"/>
    <mergeCell ref="H28:I28"/>
    <mergeCell ref="D29:E29"/>
    <mergeCell ref="H29:I29"/>
    <mergeCell ref="D30:E30"/>
    <mergeCell ref="H30:I30"/>
    <mergeCell ref="D31:E31"/>
    <mergeCell ref="H31:I31"/>
    <mergeCell ref="D32:E32"/>
    <mergeCell ref="H32:I32"/>
    <mergeCell ref="D33:E33"/>
    <mergeCell ref="H33:I33"/>
    <mergeCell ref="D34:E34"/>
    <mergeCell ref="H34:I34"/>
    <mergeCell ref="D35:E35"/>
    <mergeCell ref="H35:I35"/>
    <mergeCell ref="D36:E36"/>
    <mergeCell ref="H36:I36"/>
    <mergeCell ref="D37:E37"/>
    <mergeCell ref="H37:I37"/>
    <mergeCell ref="D38:E38"/>
    <mergeCell ref="H38:I38"/>
  </mergeCells>
  <pageMargins left="0.75" right="0.75" top="1" bottom="1" header="0.5" footer="0.5"/>
  <pageSetup paperSize="9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正常</vt:lpstr>
      <vt:lpstr>展开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2019-10-27T05:29:00Z</dcterms:created>
  <dcterms:modified xsi:type="dcterms:W3CDTF">2021-03-03T11:24:06Z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