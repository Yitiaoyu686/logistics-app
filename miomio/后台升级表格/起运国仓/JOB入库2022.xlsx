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JOB详情" sheetId="5" r:id="rId2"/>
    <sheet name="集装号详情" sheetId="4" r:id="rId3"/>
    <sheet name="详情 考虑" sheetId="2" r:id="rId4"/>
    <sheet name="入库" sheetId="3" r:id="rId5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F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勾选开启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M1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不在此界面显示</t>
        </r>
      </text>
    </comment>
    <comment ref="M1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不在此界面显示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<sst xmlns="http://schemas.openxmlformats.org/spreadsheetml/2006/main" count="580" uniqueCount="211">
  <si>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</si>
  <si>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</si>
  <si>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</si>
  <si>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</si>
  <si>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</si>
  <si>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</si>
  <si>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</si>
  <si>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</si>
  <si>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</si>
  <si>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选择站点</t>
  </si>
  <si>
    <t>选择年</t>
  </si>
  <si>
    <t>选择月份</t>
  </si>
  <si>
    <t>选择日</t>
  </si>
  <si>
    <t>选择状态</t>
  </si>
  <si>
    <t>输入JOB 订单号 快递单号 电话字段 收发货人名字可查询</t>
  </si>
  <si>
    <t>序号</t>
  </si>
  <si>
    <t>站点/JOB</t>
  </si>
  <si>
    <t>集装号</t>
  </si>
  <si>
    <t>离库日期</t>
  </si>
  <si>
    <t>线路</t>
  </si>
  <si>
    <t>服务类型</t>
  </si>
  <si>
    <t>说明</t>
  </si>
  <si>
    <t>重量Kg</t>
  </si>
  <si>
    <t>件数</t>
  </si>
  <si>
    <r>
      <rPr>
        <b/>
        <sz val="10"/>
        <color theme="0"/>
        <rFont val="宋体"/>
        <charset val="134"/>
      </rPr>
      <t>物流状态</t>
    </r>
  </si>
  <si>
    <t>操作</t>
  </si>
  <si>
    <t>更新日期</t>
  </si>
  <si>
    <r>
      <t>海珠区站点</t>
    </r>
    <r>
      <rPr>
        <sz val="9"/>
        <color rgb="FF393939"/>
        <rFont val="Arial"/>
        <charset val="134"/>
      </rPr>
      <t xml:space="preserve">           JOB123456</t>
    </r>
  </si>
  <si>
    <t>AK1 AK2 AK3 AK4 AK5 AK6 AK7 AK8 AK9 AK10 AK11 AK12</t>
  </si>
  <si>
    <t>2019 10 25 23:50</t>
  </si>
  <si>
    <t>CAN.CHN→LOS.NGN</t>
  </si>
  <si>
    <t>特快</t>
  </si>
  <si>
    <t>普货</t>
  </si>
  <si>
    <r>
      <t>已入库</t>
    </r>
    <r>
      <rPr>
        <sz val="8"/>
        <color theme="1"/>
        <rFont val="Arial"/>
        <charset val="134"/>
      </rPr>
      <t xml:space="preserve"> IKEJ STA                2019 10 25 23:50</t>
    </r>
  </si>
  <si>
    <t>入库</t>
  </si>
  <si>
    <r>
      <t>海珠区站点</t>
    </r>
    <r>
      <rPr>
        <sz val="9"/>
        <color rgb="FF393939"/>
        <rFont val="Arial"/>
        <charset val="134"/>
      </rPr>
      <t xml:space="preserve">            JOB123456</t>
    </r>
  </si>
  <si>
    <t>B01</t>
  </si>
  <si>
    <r>
      <t>待入库</t>
    </r>
    <r>
      <rPr>
        <sz val="8"/>
        <color theme="1"/>
        <rFont val="Arial"/>
        <charset val="134"/>
      </rPr>
      <t xml:space="preserve"> HAIZ STA               2019 10 25 23:50</t>
    </r>
  </si>
  <si>
    <r>
      <t>海珠区站点</t>
    </r>
    <r>
      <rPr>
        <sz val="9"/>
        <color theme="0"/>
        <rFont val="Arial"/>
        <charset val="134"/>
      </rPr>
      <t xml:space="preserve">           JOB123457</t>
    </r>
  </si>
  <si>
    <t>C01</t>
  </si>
  <si>
    <r>
      <t>待入库</t>
    </r>
    <r>
      <rPr>
        <sz val="8"/>
        <color theme="0"/>
        <rFont val="Arial"/>
        <charset val="134"/>
      </rPr>
      <t xml:space="preserve"> HAIZ STA                        2019 10 25 23:50</t>
    </r>
  </si>
  <si>
    <r>
      <t>海珠区站点</t>
    </r>
    <r>
      <rPr>
        <sz val="9"/>
        <color rgb="FF393939"/>
        <rFont val="Arial"/>
        <charset val="134"/>
      </rPr>
      <t xml:space="preserve">            JOB123457</t>
    </r>
  </si>
  <si>
    <t>D01</t>
  </si>
  <si>
    <r>
      <t>已入库</t>
    </r>
    <r>
      <rPr>
        <sz val="8"/>
        <color theme="1"/>
        <rFont val="Arial"/>
        <charset val="134"/>
      </rPr>
      <t xml:space="preserve"> IKEJ STA               2019 10 25 23:50</t>
    </r>
  </si>
  <si>
    <t>详情</t>
  </si>
  <si>
    <r>
      <t>海珠区站点</t>
    </r>
    <r>
      <rPr>
        <sz val="9"/>
        <color rgb="FF393939"/>
        <rFont val="Arial"/>
        <charset val="134"/>
      </rPr>
      <t xml:space="preserve">           JOB123458</t>
    </r>
  </si>
  <si>
    <t>BA01</t>
  </si>
  <si>
    <r>
      <t>待入库</t>
    </r>
    <r>
      <rPr>
        <sz val="8"/>
        <color rgb="FFFF0000"/>
        <rFont val="Arial"/>
        <charset val="134"/>
      </rPr>
      <t xml:space="preserve"> HAIZ STA               2019 10 25 23:50</t>
    </r>
  </si>
  <si>
    <r>
      <t>海珠区站点</t>
    </r>
    <r>
      <rPr>
        <sz val="9"/>
        <color rgb="FF393939"/>
        <rFont val="Arial"/>
        <charset val="134"/>
      </rPr>
      <t xml:space="preserve">            JOB123458</t>
    </r>
  </si>
  <si>
    <t>BA02</t>
  </si>
  <si>
    <r>
      <t>海珠区站点</t>
    </r>
    <r>
      <rPr>
        <sz val="9"/>
        <color rgb="FF393939"/>
        <rFont val="Arial"/>
        <charset val="134"/>
      </rPr>
      <t xml:space="preserve">           JOB123459</t>
    </r>
  </si>
  <si>
    <t>KA01</t>
  </si>
  <si>
    <t>普快</t>
  </si>
  <si>
    <r>
      <t>海珠区站点</t>
    </r>
    <r>
      <rPr>
        <sz val="9"/>
        <color rgb="FF393939"/>
        <rFont val="Arial"/>
        <charset val="134"/>
      </rPr>
      <t xml:space="preserve">            JOB123459</t>
    </r>
  </si>
  <si>
    <t>DA01</t>
  </si>
  <si>
    <r>
      <t>海珠区站点</t>
    </r>
    <r>
      <rPr>
        <sz val="9"/>
        <color rgb="FF393939"/>
        <rFont val="Arial"/>
        <charset val="134"/>
      </rPr>
      <t xml:space="preserve">           JOB123460</t>
    </r>
  </si>
  <si>
    <t>DL01</t>
  </si>
  <si>
    <r>
      <t>海珠区站点</t>
    </r>
    <r>
      <rPr>
        <sz val="9"/>
        <color rgb="FF393939"/>
        <rFont val="Arial"/>
        <charset val="134"/>
      </rPr>
      <t xml:space="preserve">            JOB123460</t>
    </r>
  </si>
  <si>
    <t>LA01</t>
  </si>
  <si>
    <r>
      <t>海珠区站点</t>
    </r>
    <r>
      <rPr>
        <sz val="9"/>
        <color rgb="FF393939"/>
        <rFont val="Arial"/>
        <charset val="134"/>
      </rPr>
      <t xml:space="preserve">           JOB123461</t>
    </r>
  </si>
  <si>
    <t>LA02</t>
  </si>
  <si>
    <t>2019 10 26 23:50</t>
  </si>
  <si>
    <r>
      <t>海珠区站点</t>
    </r>
    <r>
      <rPr>
        <sz val="9"/>
        <color rgb="FF393939"/>
        <rFont val="Arial"/>
        <charset val="134"/>
      </rPr>
      <t xml:space="preserve">            JOB123461</t>
    </r>
  </si>
  <si>
    <t>LA03</t>
  </si>
  <si>
    <t>2019 10 27 23:50</t>
  </si>
  <si>
    <r>
      <t>海珠区站点</t>
    </r>
    <r>
      <rPr>
        <sz val="9"/>
        <color rgb="FF393939"/>
        <rFont val="Arial"/>
        <charset val="134"/>
      </rPr>
      <t xml:space="preserve">           JOB123462</t>
    </r>
  </si>
  <si>
    <t>LA04</t>
  </si>
  <si>
    <t>2019 10 28 23:50</t>
  </si>
  <si>
    <r>
      <t>海珠区站点</t>
    </r>
    <r>
      <rPr>
        <sz val="9"/>
        <color rgb="FF393939"/>
        <rFont val="Arial"/>
        <charset val="134"/>
      </rPr>
      <t xml:space="preserve">            JOB123462</t>
    </r>
  </si>
  <si>
    <t>LA05</t>
  </si>
  <si>
    <t>2019 10 29 23:50</t>
  </si>
  <si>
    <r>
      <t>海珠区站点</t>
    </r>
    <r>
      <rPr>
        <sz val="9"/>
        <color rgb="FF393939"/>
        <rFont val="Arial"/>
        <charset val="134"/>
      </rPr>
      <t xml:space="preserve">           JOB123463</t>
    </r>
  </si>
  <si>
    <t>LA06</t>
  </si>
  <si>
    <t>2019 10 30 23:50</t>
  </si>
  <si>
    <r>
      <t>海珠区站点</t>
    </r>
    <r>
      <rPr>
        <sz val="9"/>
        <color rgb="FF393939"/>
        <rFont val="Arial"/>
        <charset val="134"/>
      </rPr>
      <t xml:space="preserve">            JOB123463</t>
    </r>
  </si>
  <si>
    <t>LA07</t>
  </si>
  <si>
    <t>2019 10 31 23:50</t>
  </si>
  <si>
    <r>
      <t>海珠区站点</t>
    </r>
    <r>
      <rPr>
        <sz val="9"/>
        <color rgb="FF393939"/>
        <rFont val="Arial"/>
        <charset val="134"/>
      </rPr>
      <t xml:space="preserve">           JOB123464</t>
    </r>
  </si>
  <si>
    <t>LA08</t>
  </si>
  <si>
    <t>2019 11 1 23:50</t>
  </si>
  <si>
    <r>
      <t>海珠区站点</t>
    </r>
    <r>
      <rPr>
        <sz val="9"/>
        <color rgb="FF393939"/>
        <rFont val="Arial"/>
        <charset val="134"/>
      </rPr>
      <t xml:space="preserve">            JOB123464</t>
    </r>
  </si>
  <si>
    <t>LA09</t>
  </si>
  <si>
    <t>2019 11 2 23:50</t>
  </si>
  <si>
    <r>
      <t>海珠区站点</t>
    </r>
    <r>
      <rPr>
        <sz val="9"/>
        <color rgb="FF393939"/>
        <rFont val="Arial"/>
        <charset val="134"/>
      </rPr>
      <t xml:space="preserve">           JOB123465</t>
    </r>
  </si>
  <si>
    <t>LA10</t>
  </si>
  <si>
    <t>2019 11 3 23:50</t>
  </si>
  <si>
    <r>
      <t>海珠区站点</t>
    </r>
    <r>
      <rPr>
        <sz val="9"/>
        <color rgb="FF393939"/>
        <rFont val="Arial"/>
        <charset val="134"/>
      </rPr>
      <t xml:space="preserve">            JOB123465</t>
    </r>
  </si>
  <si>
    <t>LA11</t>
  </si>
  <si>
    <t>2019 11 4 23:50</t>
  </si>
  <si>
    <t>JOB098678</t>
  </si>
  <si>
    <t>服务</t>
  </si>
  <si>
    <t>内件数量</t>
  </si>
  <si>
    <t>尺寸CM</t>
  </si>
  <si>
    <t>体积CBM</t>
  </si>
  <si>
    <t>体积重KGS</t>
  </si>
  <si>
    <t>毛量KGS</t>
  </si>
  <si>
    <t>AK01</t>
  </si>
  <si>
    <t>50*50*50</t>
  </si>
  <si>
    <t>AK02</t>
  </si>
  <si>
    <t>AK03</t>
  </si>
  <si>
    <t>AK04</t>
  </si>
  <si>
    <t>AK05</t>
  </si>
  <si>
    <t>AK06</t>
  </si>
  <si>
    <t>AK07</t>
  </si>
  <si>
    <t>AK08</t>
  </si>
  <si>
    <t>AK09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</si>
  <si>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</si>
  <si>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</si>
  <si>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</si>
  <si>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</si>
  <si>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</si>
  <si>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</si>
  <si>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</si>
  <si>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</si>
  <si>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</si>
  <si>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</si>
  <si>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返回</t>
  </si>
  <si>
    <t>AK1</t>
  </si>
  <si>
    <t>单号</t>
  </si>
  <si>
    <t>第三方运单</t>
  </si>
  <si>
    <t>城市</t>
  </si>
  <si>
    <t>业务员</t>
  </si>
  <si>
    <t>用户</t>
  </si>
  <si>
    <t>品名</t>
  </si>
  <si>
    <t>191018000005 01</t>
  </si>
  <si>
    <t>顺丰速运  SF1012605193752</t>
  </si>
  <si>
    <t>KAN</t>
  </si>
  <si>
    <t>AkinGbolahan</t>
  </si>
  <si>
    <t>huoguolu</t>
  </si>
  <si>
    <t>191018000005 02</t>
  </si>
  <si>
    <t>韵达快递  4301568788544</t>
  </si>
  <si>
    <t>LOS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</si>
  <si>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</si>
  <si>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</si>
  <si>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</si>
  <si>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</si>
  <si>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</si>
  <si>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</si>
  <si>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</si>
  <si>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191018000005 16</t>
  </si>
  <si>
    <t>191019000025 06</t>
  </si>
  <si>
    <t>Andi MailMail</t>
  </si>
  <si>
    <t>191021000001 01</t>
  </si>
  <si>
    <t>191021000003 02</t>
  </si>
  <si>
    <t>Smile</t>
  </si>
  <si>
    <t>191021000013 03</t>
  </si>
  <si>
    <t>ying</t>
  </si>
  <si>
    <t>191021000033 08</t>
  </si>
  <si>
    <t>ABV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</si>
  <si>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</si>
  <si>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</si>
  <si>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</si>
  <si>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</si>
  <si>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</si>
  <si>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</si>
  <si>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</si>
  <si>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</si>
  <si>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</si>
  <si>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</si>
  <si>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</si>
  <si>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</si>
  <si>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</si>
  <si>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</si>
  <si>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</si>
  <si>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</si>
  <si>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JOB详情</t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</si>
  <si>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</si>
  <si>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集装号</t>
    </r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</si>
  <si>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</si>
  <si>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业务员</t>
    </r>
  </si>
  <si>
    <r>
      <rPr>
        <b/>
        <sz val="9"/>
        <color theme="1"/>
        <rFont val="Microsoft JhengHei"/>
        <charset val="134"/>
      </rPr>
      <t>用户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</si>
  <si>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</si>
  <si>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宋体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</si>
  <si>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</si>
  <si>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</si>
  <si>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</si>
  <si>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入库日期</t>
  </si>
  <si>
    <r>
      <rPr>
        <sz val="10"/>
        <color theme="1"/>
        <rFont val="宋体"/>
        <charset val="134"/>
      </rPr>
      <t xml:space="preserve">白云区站点                </t>
    </r>
    <r>
      <rPr>
        <sz val="10"/>
        <color theme="1"/>
        <rFont val="Arial"/>
        <charset val="134"/>
      </rPr>
      <t>JOB123456</t>
    </r>
  </si>
  <si>
    <t>Karena</t>
  </si>
  <si>
    <t>SAMPAO</t>
  </si>
  <si>
    <t>24.5*20*17.5</t>
  </si>
  <si>
    <t>AK2</t>
  </si>
  <si>
    <r>
      <rPr>
        <sz val="9"/>
        <color theme="1"/>
        <rFont val="Microsoft JhengHei"/>
        <charset val="134"/>
      </rPr>
      <t>箴媄子</t>
    </r>
  </si>
  <si>
    <t>AKIN</t>
  </si>
  <si>
    <t>AK3</t>
  </si>
  <si>
    <t>Tom</t>
  </si>
  <si>
    <t>ANDI</t>
  </si>
  <si>
    <t>AK4</t>
  </si>
  <si>
    <t>BELLA</t>
  </si>
  <si>
    <t>AK5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</si>
  <si>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</si>
  <si>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AK6</t>
  </si>
  <si>
    <t>订单号</t>
  </si>
  <si>
    <r>
      <rPr>
        <b/>
        <sz val="9"/>
        <color theme="1"/>
        <rFont val="Microsoft JhengHei"/>
        <charset val="134"/>
      </rPr>
      <t>重重</t>
    </r>
    <r>
      <rPr>
        <b/>
        <sz val="9"/>
        <color theme="1"/>
        <rFont val="Arial"/>
        <charset val="134"/>
      </rPr>
      <t>Kg</t>
    </r>
  </si>
  <si>
    <t>状态</t>
  </si>
  <si>
    <r>
      <rPr>
        <sz val="9"/>
        <color theme="1"/>
        <rFont val="Microsoft JhengHei"/>
        <charset val="134"/>
      </rPr>
      <t>入库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口</t>
    </r>
  </si>
  <si>
    <t>遗失</t>
  </si>
  <si>
    <t>损坏</t>
  </si>
  <si>
    <r>
      <t xml:space="preserve">白云区站点                </t>
    </r>
    <r>
      <rPr>
        <b/>
        <sz val="10"/>
        <color theme="1"/>
        <rFont val="Arial"/>
        <charset val="134"/>
      </rPr>
      <t>JOB123456</t>
    </r>
  </si>
  <si>
    <r>
      <t>AK1</t>
    </r>
    <r>
      <rPr>
        <b/>
        <sz val="8"/>
        <color theme="1"/>
        <rFont val="Arial"/>
        <charset val="134"/>
      </rPr>
      <t xml:space="preserve">                                 6PCS</t>
    </r>
  </si>
  <si>
    <r>
      <rPr>
        <sz val="10"/>
        <color theme="1"/>
        <rFont val="Wingdings"/>
        <charset val="134"/>
      </rPr>
      <t xml:space="preserve">þ                  </t>
    </r>
    <r>
      <rPr>
        <sz val="10"/>
        <color theme="1"/>
        <rFont val="Microsoft JhengHei"/>
        <charset val="134"/>
      </rPr>
      <t xml:space="preserve"> </t>
    </r>
    <r>
      <rPr>
        <sz val="8"/>
        <color theme="1"/>
        <rFont val="Microsoft JhengHei"/>
        <charset val="134"/>
      </rPr>
      <t>2019/8/28 15:01:22</t>
    </r>
  </si>
  <si>
    <t>口</t>
  </si>
  <si>
    <r>
      <rPr>
        <sz val="10"/>
        <color theme="1"/>
        <rFont val="Wingdings"/>
        <charset val="134"/>
      </rPr>
      <t xml:space="preserve">þ                  </t>
    </r>
    <r>
      <rPr>
        <sz val="10"/>
        <color theme="1"/>
        <rFont val="Microsoft JhengHei"/>
        <charset val="134"/>
      </rPr>
      <t xml:space="preserve"> </t>
    </r>
    <r>
      <rPr>
        <sz val="8"/>
        <color theme="1"/>
        <rFont val="Microsoft JhengHei"/>
        <charset val="134"/>
      </rPr>
      <t>2019/8/28 15:01:23</t>
    </r>
  </si>
  <si>
    <r>
      <rPr>
        <sz val="10"/>
        <color theme="1"/>
        <rFont val="Wingdings"/>
        <charset val="134"/>
      </rPr>
      <t xml:space="preserve">þ                  </t>
    </r>
    <r>
      <rPr>
        <sz val="10"/>
        <color theme="1"/>
        <rFont val="Microsoft JhengHei"/>
        <charset val="134"/>
      </rPr>
      <t xml:space="preserve"> </t>
    </r>
    <r>
      <rPr>
        <sz val="8"/>
        <color theme="1"/>
        <rFont val="Microsoft JhengHei"/>
        <charset val="134"/>
      </rPr>
      <t>2019/8/28 15:01:24</t>
    </r>
  </si>
  <si>
    <r>
      <rPr>
        <sz val="10"/>
        <color theme="1"/>
        <rFont val="Wingdings"/>
        <charset val="134"/>
      </rPr>
      <t xml:space="preserve">þ                  </t>
    </r>
    <r>
      <rPr>
        <sz val="10"/>
        <color theme="1"/>
        <rFont val="Microsoft JhengHei"/>
        <charset val="134"/>
      </rPr>
      <t xml:space="preserve"> </t>
    </r>
    <r>
      <rPr>
        <sz val="8"/>
        <color theme="1"/>
        <rFont val="Microsoft JhengHei"/>
        <charset val="134"/>
      </rPr>
      <t>2019/8/28 15:01:25</t>
    </r>
  </si>
  <si>
    <r>
      <t xml:space="preserve">AK2   </t>
    </r>
    <r>
      <rPr>
        <b/>
        <sz val="8"/>
        <color theme="1"/>
        <rFont val="Arial"/>
        <charset val="134"/>
      </rPr>
      <t xml:space="preserve">                              1PCS</t>
    </r>
  </si>
  <si>
    <r>
      <t xml:space="preserve">AK3                                 </t>
    </r>
    <r>
      <rPr>
        <b/>
        <sz val="8"/>
        <color theme="1"/>
        <rFont val="Arial"/>
        <charset val="134"/>
      </rPr>
      <t>1PCS</t>
    </r>
  </si>
  <si>
    <r>
      <t xml:space="preserve">AK4                                 </t>
    </r>
    <r>
      <rPr>
        <b/>
        <sz val="8"/>
        <color theme="1"/>
        <rFont val="Arial"/>
        <charset val="134"/>
      </rPr>
      <t>1PCS</t>
    </r>
  </si>
  <si>
    <r>
      <t xml:space="preserve">AK5                                 </t>
    </r>
    <r>
      <rPr>
        <b/>
        <sz val="8"/>
        <color theme="1"/>
        <rFont val="Arial"/>
        <charset val="134"/>
      </rPr>
      <t>1PCS</t>
    </r>
  </si>
  <si>
    <r>
      <t xml:space="preserve">AK6 </t>
    </r>
    <r>
      <rPr>
        <b/>
        <sz val="8"/>
        <color theme="1"/>
        <rFont val="Arial"/>
        <charset val="134"/>
      </rPr>
      <t xml:space="preserve">                                1PCS</t>
    </r>
  </si>
  <si>
    <t>返回  提交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</si>
</sst>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  <numFmt numFmtId="177" formatCode="0_ "/>
    <numFmt numFmtId="43" formatCode="_ * #,##0.00_ ;_ * \-#,##0.00_ ;_ * &quot;-&quot;??_ ;_ @_ "/>
    <numFmt numFmtId="41" formatCode="_ * #,##0_ ;_ * \-#,##0_ ;_ * &quot;-&quot;_ ;_ @_ "/>
  </numFmts>
  <fonts count="6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9"/>
      <color theme="1"/>
      <name val="Microsoft JhengHei"/>
      <charset val="134"/>
    </font>
    <font>
      <sz val="10"/>
      <color theme="1"/>
      <name val="Wingdings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12"/>
      <color theme="0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sz val="9"/>
      <color theme="0"/>
      <name val="Microsoft JhengHei"/>
      <charset val="134"/>
    </font>
    <font>
      <b/>
      <sz val="11"/>
      <color theme="1"/>
      <name val="Microsoft JhengHei"/>
      <charset val="134"/>
    </font>
    <font>
      <b/>
      <sz val="9"/>
      <color theme="0"/>
      <name val="宋体"/>
      <charset val="134"/>
    </font>
    <font>
      <b/>
      <sz val="11"/>
      <color theme="1"/>
      <name val="宋体"/>
      <charset val="134"/>
    </font>
    <font>
      <b/>
      <sz val="9"/>
      <name val="Microsoft JhengHei"/>
      <charset val="134"/>
    </font>
    <font>
      <b/>
      <sz val="9"/>
      <color theme="1"/>
      <name val="宋体"/>
      <charset val="134"/>
      <scheme val="minor"/>
    </font>
    <font>
      <sz val="9"/>
      <color rgb="FF393939"/>
      <name val="Arial"/>
      <charset val="134"/>
    </font>
    <font>
      <sz val="9"/>
      <color rgb="FF393939"/>
      <name val="Microsoft JhengHei"/>
      <charset val="134"/>
    </font>
    <font>
      <sz val="9"/>
      <color theme="0"/>
      <name val="Arial"/>
      <charset val="134"/>
    </font>
    <font>
      <b/>
      <sz val="10"/>
      <color theme="0"/>
      <name val="Arial"/>
      <charset val="134"/>
    </font>
    <font>
      <sz val="8"/>
      <color theme="1"/>
      <name val="宋体"/>
      <charset val="134"/>
    </font>
    <font>
      <sz val="8"/>
      <color theme="0"/>
      <name val="宋体"/>
      <charset val="134"/>
    </font>
    <font>
      <sz val="8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Arial"/>
      <charset val="134"/>
    </font>
    <font>
      <b/>
      <sz val="10"/>
      <color theme="0"/>
      <name val="宋体"/>
      <charset val="134"/>
    </font>
    <font>
      <sz val="8"/>
      <color theme="1"/>
      <name val="Arial"/>
      <charset val="134"/>
    </font>
    <font>
      <sz val="8"/>
      <color theme="0"/>
      <name val="Arial"/>
      <charset val="134"/>
    </font>
    <font>
      <sz val="8"/>
      <color rgb="FFFF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8" fillId="25" borderId="15" applyNumberFormat="0" applyAlignment="0" applyProtection="0">
      <alignment vertical="center"/>
    </xf>
    <xf numFmtId="0" fontId="47" fillId="25" borderId="9" applyNumberFormat="0" applyAlignment="0" applyProtection="0">
      <alignment vertical="center"/>
    </xf>
    <xf numFmtId="0" fontId="37" fillId="16" borderId="10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>
      <alignment vertical="center"/>
    </xf>
    <xf numFmtId="176" fontId="3" fillId="2" borderId="2" xfId="0" applyNumberFormat="1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176" fontId="6" fillId="3" borderId="0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177" fontId="2" fillId="4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7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/>
    </xf>
    <xf numFmtId="176" fontId="2" fillId="3" borderId="0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76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vertical="center" wrapText="1"/>
    </xf>
    <xf numFmtId="176" fontId="2" fillId="3" borderId="7" xfId="0" applyNumberFormat="1" applyFont="1" applyFill="1" applyBorder="1" applyAlignment="1">
      <alignment vertical="center" wrapText="1"/>
    </xf>
    <xf numFmtId="176" fontId="10" fillId="3" borderId="0" xfId="0" applyNumberFormat="1" applyFont="1" applyFill="1" applyBorder="1" applyAlignment="1">
      <alignment horizontal="center" vertical="center" wrapText="1"/>
    </xf>
    <xf numFmtId="176" fontId="10" fillId="3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3" fillId="2" borderId="6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22" fontId="2" fillId="5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22" fontId="2" fillId="4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77" fontId="11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15" fillId="2" borderId="2" xfId="0" applyNumberFormat="1" applyFont="1" applyFill="1" applyBorder="1" applyAlignment="1">
      <alignment horizontal="left" vertical="center"/>
    </xf>
    <xf numFmtId="176" fontId="15" fillId="2" borderId="6" xfId="0" applyNumberFormat="1" applyFont="1" applyFill="1" applyBorder="1" applyAlignment="1">
      <alignment horizontal="left" vertical="center"/>
    </xf>
    <xf numFmtId="176" fontId="5" fillId="3" borderId="7" xfId="0" applyNumberFormat="1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center" vertical="center" wrapText="1"/>
    </xf>
    <xf numFmtId="176" fontId="4" fillId="4" borderId="7" xfId="0" applyNumberFormat="1" applyFont="1" applyFill="1" applyBorder="1" applyAlignment="1">
      <alignment horizontal="center" vertical="center"/>
    </xf>
    <xf numFmtId="176" fontId="19" fillId="6" borderId="0" xfId="0" applyNumberFormat="1" applyFont="1" applyFill="1" applyBorder="1" applyAlignment="1">
      <alignment horizontal="center" vertical="center" wrapText="1"/>
    </xf>
    <xf numFmtId="176" fontId="22" fillId="6" borderId="7" xfId="0" applyNumberFormat="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 wrapText="1"/>
    </xf>
    <xf numFmtId="176" fontId="23" fillId="3" borderId="7" xfId="0" applyNumberFormat="1" applyFont="1" applyFill="1" applyBorder="1" applyAlignment="1">
      <alignment horizontal="center" vertical="center"/>
    </xf>
    <xf numFmtId="176" fontId="15" fillId="2" borderId="0" xfId="0" applyNumberFormat="1" applyFont="1" applyFill="1" applyBorder="1" applyAlignment="1">
      <alignment horizontal="center" vertical="center" wrapText="1"/>
    </xf>
    <xf numFmtId="176" fontId="15" fillId="2" borderId="7" xfId="0" applyNumberFormat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7" fillId="5" borderId="0" xfId="0" applyFont="1" applyFill="1" applyBorder="1" applyAlignment="1">
      <alignment horizontal="center" vertical="center" wrapText="1"/>
    </xf>
    <xf numFmtId="177" fontId="2" fillId="0" borderId="0" xfId="0" applyNumberFormat="1" applyFont="1" applyBorder="1" applyAlignment="1">
      <alignment horizontal="left" vertical="center" wrapText="1"/>
    </xf>
    <xf numFmtId="22" fontId="2" fillId="5" borderId="0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 wrapText="1"/>
    </xf>
    <xf numFmtId="177" fontId="2" fillId="3" borderId="0" xfId="0" applyNumberFormat="1" applyFont="1" applyFill="1" applyBorder="1" applyAlignment="1">
      <alignment horizontal="center" vertical="center"/>
    </xf>
    <xf numFmtId="22" fontId="2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 wrapText="1"/>
    </xf>
    <xf numFmtId="177" fontId="28" fillId="6" borderId="0" xfId="0" applyNumberFormat="1" applyFont="1" applyFill="1" applyBorder="1" applyAlignment="1">
      <alignment horizontal="center" vertical="center"/>
    </xf>
    <xf numFmtId="22" fontId="28" fillId="6" borderId="0" xfId="0" applyNumberFormat="1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18" fillId="2" borderId="4" xfId="0" applyFont="1" applyFill="1" applyBorder="1">
      <alignment vertical="center"/>
    </xf>
    <xf numFmtId="0" fontId="18" fillId="2" borderId="5" xfId="0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horizontal="center" vertical="center" wrapText="1"/>
    </xf>
    <xf numFmtId="0" fontId="27" fillId="5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/>
    </xf>
    <xf numFmtId="22" fontId="2" fillId="3" borderId="7" xfId="0" applyNumberFormat="1" applyFont="1" applyFill="1" applyBorder="1" applyAlignment="1">
      <alignment horizontal="center" vertical="center"/>
    </xf>
    <xf numFmtId="0" fontId="31" fillId="6" borderId="0" xfId="0" applyFont="1" applyFill="1" applyBorder="1" applyAlignment="1">
      <alignment horizontal="center" vertical="center" wrapText="1"/>
    </xf>
    <xf numFmtId="22" fontId="28" fillId="6" borderId="7" xfId="0" applyNumberFormat="1" applyFont="1" applyFill="1" applyBorder="1" applyAlignment="1">
      <alignment horizontal="center" vertical="center"/>
    </xf>
    <xf numFmtId="0" fontId="32" fillId="5" borderId="0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18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F9" sqref="F9"/>
    </sheetView>
  </sheetViews>
  <sheetFormatPr defaultColWidth="9" defaultRowHeight="12"/>
  <cols>
    <col min="1" max="1" width="5.625" style="121" customWidth="1"/>
    <col min="2" max="2" width="15.375" style="121" customWidth="1"/>
    <col min="3" max="5" width="15.625" style="121" customWidth="1"/>
    <col min="6" max="7" width="20.625" style="121" customWidth="1"/>
    <col min="8" max="11" width="15.625" style="121" customWidth="1"/>
    <col min="12" max="12" width="15.625" style="122" customWidth="1"/>
    <col min="13" max="13" width="15.625" style="121" customWidth="1"/>
    <col min="14" max="14" width="20.625" style="121" customWidth="1"/>
    <col min="15" max="16384" width="9" style="121"/>
  </cols>
  <sheetData>
    <row r="1" ht="30" customHeight="1"/>
    <row r="2" s="121" customFormat="1" ht="30" customHeight="1" spans="1:12">
      <c r="A2" s="123" t="s">
        <v>0</v>
      </c>
      <c r="B2" s="124" t="s">
        <v>1</v>
      </c>
      <c r="C2" s="125" t="s">
        <v>2</v>
      </c>
      <c r="D2" s="125" t="s">
        <v>3</v>
      </c>
      <c r="E2" s="125" t="s">
        <v>4</v>
      </c>
      <c r="L2" s="122"/>
    </row>
    <row r="3" ht="30" customHeight="1" spans="1:17">
      <c r="A3" s="126" t="s">
        <v>0</v>
      </c>
      <c r="B3" s="127" t="s">
        <v>5</v>
      </c>
      <c r="C3" s="127" t="s">
        <v>6</v>
      </c>
      <c r="D3" s="127" t="s">
        <v>7</v>
      </c>
      <c r="E3" s="127" t="s">
        <v>8</v>
      </c>
      <c r="F3" s="128"/>
      <c r="J3" s="129"/>
      <c r="K3" s="129"/>
      <c r="L3" s="151"/>
      <c r="M3" s="129"/>
      <c r="N3" s="129"/>
      <c r="O3" s="128"/>
      <c r="P3" s="128"/>
      <c r="Q3" s="128"/>
    </row>
    <row r="4" ht="30" customHeight="1" spans="1:15">
      <c r="A4" s="129" t="s">
        <v>9</v>
      </c>
      <c r="B4" s="129"/>
      <c r="C4" s="129" t="s">
        <v>10</v>
      </c>
      <c r="D4" s="129" t="s">
        <v>11</v>
      </c>
      <c r="E4" s="129" t="s">
        <v>12</v>
      </c>
      <c r="F4" s="128" t="s">
        <v>13</v>
      </c>
      <c r="J4" s="128"/>
      <c r="K4" s="128"/>
      <c r="L4" s="151"/>
      <c r="M4" s="128"/>
      <c r="N4" s="128"/>
      <c r="O4" s="152"/>
    </row>
    <row r="5" ht="30" customHeight="1" spans="1:14">
      <c r="A5" s="130" t="s">
        <v>14</v>
      </c>
      <c r="B5" s="130"/>
      <c r="C5" s="130"/>
      <c r="D5" s="130"/>
      <c r="E5" s="130"/>
      <c r="F5" s="68"/>
      <c r="G5" s="68"/>
      <c r="J5" s="130"/>
      <c r="K5" s="130"/>
      <c r="M5" s="130"/>
      <c r="N5" s="130"/>
    </row>
    <row r="6" ht="30" customHeight="1" spans="1:14">
      <c r="A6" s="131" t="s">
        <v>15</v>
      </c>
      <c r="B6" s="132" t="s">
        <v>16</v>
      </c>
      <c r="C6" s="132" t="s">
        <v>17</v>
      </c>
      <c r="D6" s="132"/>
      <c r="E6" s="132"/>
      <c r="F6" s="132" t="s">
        <v>18</v>
      </c>
      <c r="G6" s="132" t="s">
        <v>19</v>
      </c>
      <c r="H6" s="132" t="s">
        <v>20</v>
      </c>
      <c r="I6" s="132" t="s">
        <v>21</v>
      </c>
      <c r="J6" s="132" t="s">
        <v>22</v>
      </c>
      <c r="K6" s="132" t="s">
        <v>23</v>
      </c>
      <c r="L6" s="153" t="s">
        <v>24</v>
      </c>
      <c r="M6" s="132" t="s">
        <v>25</v>
      </c>
      <c r="N6" s="154" t="s">
        <v>26</v>
      </c>
    </row>
    <row r="7" ht="35" customHeight="1" spans="1:14">
      <c r="A7" s="133">
        <v>1</v>
      </c>
      <c r="B7" s="134" t="s">
        <v>27</v>
      </c>
      <c r="C7" s="135" t="s">
        <v>28</v>
      </c>
      <c r="D7" s="135"/>
      <c r="E7" s="135"/>
      <c r="F7" s="136" t="s">
        <v>29</v>
      </c>
      <c r="G7" s="24" t="s">
        <v>30</v>
      </c>
      <c r="H7" s="137" t="s">
        <v>31</v>
      </c>
      <c r="I7" s="137" t="s">
        <v>32</v>
      </c>
      <c r="J7" s="155">
        <v>500</v>
      </c>
      <c r="K7" s="155">
        <v>12</v>
      </c>
      <c r="L7" s="156" t="s">
        <v>33</v>
      </c>
      <c r="M7" s="157" t="s">
        <v>34</v>
      </c>
      <c r="N7" s="63" t="s">
        <v>29</v>
      </c>
    </row>
    <row r="8" ht="35" customHeight="1" spans="1:14">
      <c r="A8" s="138">
        <v>2</v>
      </c>
      <c r="B8" s="139" t="s">
        <v>35</v>
      </c>
      <c r="C8" s="140" t="s">
        <v>36</v>
      </c>
      <c r="D8" s="140"/>
      <c r="E8" s="140"/>
      <c r="F8" s="141" t="s">
        <v>29</v>
      </c>
      <c r="G8" s="36" t="s">
        <v>30</v>
      </c>
      <c r="H8" s="142" t="s">
        <v>31</v>
      </c>
      <c r="I8" s="142" t="s">
        <v>32</v>
      </c>
      <c r="J8" s="158">
        <v>1</v>
      </c>
      <c r="K8" s="158">
        <v>1</v>
      </c>
      <c r="L8" s="159" t="s">
        <v>37</v>
      </c>
      <c r="M8" s="160" t="s">
        <v>34</v>
      </c>
      <c r="N8" s="161" t="s">
        <v>29</v>
      </c>
    </row>
    <row r="9" ht="35" customHeight="1" spans="1:14">
      <c r="A9" s="143">
        <v>3</v>
      </c>
      <c r="B9" s="144" t="s">
        <v>38</v>
      </c>
      <c r="C9" s="145" t="s">
        <v>39</v>
      </c>
      <c r="D9" s="145"/>
      <c r="E9" s="145"/>
      <c r="F9" s="146" t="s">
        <v>29</v>
      </c>
      <c r="G9" s="147" t="s">
        <v>30</v>
      </c>
      <c r="H9" s="100" t="s">
        <v>31</v>
      </c>
      <c r="I9" s="100" t="s">
        <v>32</v>
      </c>
      <c r="J9" s="147">
        <v>2</v>
      </c>
      <c r="K9" s="147">
        <v>2</v>
      </c>
      <c r="L9" s="162" t="s">
        <v>40</v>
      </c>
      <c r="M9" s="100" t="s">
        <v>34</v>
      </c>
      <c r="N9" s="163" t="s">
        <v>29</v>
      </c>
    </row>
    <row r="10" ht="35" customHeight="1" spans="1:14">
      <c r="A10" s="138">
        <v>4</v>
      </c>
      <c r="B10" s="139" t="s">
        <v>41</v>
      </c>
      <c r="C10" s="140" t="s">
        <v>42</v>
      </c>
      <c r="D10" s="140"/>
      <c r="E10" s="140"/>
      <c r="F10" s="141" t="s">
        <v>29</v>
      </c>
      <c r="G10" s="36" t="s">
        <v>30</v>
      </c>
      <c r="H10" s="142" t="s">
        <v>31</v>
      </c>
      <c r="I10" s="142" t="s">
        <v>32</v>
      </c>
      <c r="J10" s="158">
        <v>39</v>
      </c>
      <c r="K10" s="158">
        <v>1</v>
      </c>
      <c r="L10" s="159" t="s">
        <v>43</v>
      </c>
      <c r="M10" s="160" t="s">
        <v>44</v>
      </c>
      <c r="N10" s="161" t="s">
        <v>29</v>
      </c>
    </row>
    <row r="11" ht="35" customHeight="1" spans="1:14">
      <c r="A11" s="133">
        <v>5</v>
      </c>
      <c r="B11" s="134" t="s">
        <v>45</v>
      </c>
      <c r="C11" s="148" t="s">
        <v>46</v>
      </c>
      <c r="D11" s="148"/>
      <c r="E11" s="148"/>
      <c r="F11" s="136" t="s">
        <v>29</v>
      </c>
      <c r="G11" s="24" t="s">
        <v>30</v>
      </c>
      <c r="H11" s="137" t="s">
        <v>31</v>
      </c>
      <c r="I11" s="137" t="s">
        <v>32</v>
      </c>
      <c r="J11" s="155">
        <v>20</v>
      </c>
      <c r="K11" s="155">
        <v>1</v>
      </c>
      <c r="L11" s="164" t="s">
        <v>47</v>
      </c>
      <c r="M11" s="157" t="s">
        <v>34</v>
      </c>
      <c r="N11" s="63" t="s">
        <v>29</v>
      </c>
    </row>
    <row r="12" ht="35" customHeight="1" spans="1:14">
      <c r="A12" s="138">
        <v>6</v>
      </c>
      <c r="B12" s="139" t="s">
        <v>48</v>
      </c>
      <c r="C12" s="140" t="s">
        <v>49</v>
      </c>
      <c r="D12" s="140"/>
      <c r="E12" s="140"/>
      <c r="F12" s="141" t="s">
        <v>29</v>
      </c>
      <c r="G12" s="36" t="s">
        <v>30</v>
      </c>
      <c r="H12" s="142" t="s">
        <v>31</v>
      </c>
      <c r="I12" s="142" t="s">
        <v>32</v>
      </c>
      <c r="J12" s="158">
        <v>39</v>
      </c>
      <c r="K12" s="158">
        <v>1</v>
      </c>
      <c r="L12" s="159" t="s">
        <v>43</v>
      </c>
      <c r="M12" s="160" t="s">
        <v>34</v>
      </c>
      <c r="N12" s="161" t="s">
        <v>29</v>
      </c>
    </row>
    <row r="13" ht="35" customHeight="1" spans="1:14">
      <c r="A13" s="133">
        <v>7</v>
      </c>
      <c r="B13" s="134" t="s">
        <v>50</v>
      </c>
      <c r="C13" s="148" t="s">
        <v>51</v>
      </c>
      <c r="D13" s="148"/>
      <c r="E13" s="148"/>
      <c r="F13" s="136" t="s">
        <v>29</v>
      </c>
      <c r="G13" s="24" t="s">
        <v>30</v>
      </c>
      <c r="H13" s="137" t="s">
        <v>52</v>
      </c>
      <c r="I13" s="137" t="s">
        <v>32</v>
      </c>
      <c r="J13" s="155">
        <v>1</v>
      </c>
      <c r="K13" s="155">
        <v>1</v>
      </c>
      <c r="L13" s="164" t="s">
        <v>47</v>
      </c>
      <c r="M13" s="157" t="s">
        <v>34</v>
      </c>
      <c r="N13" s="63" t="s">
        <v>29</v>
      </c>
    </row>
    <row r="14" ht="35" customHeight="1" spans="1:14">
      <c r="A14" s="138">
        <v>8</v>
      </c>
      <c r="B14" s="139" t="s">
        <v>53</v>
      </c>
      <c r="C14" s="140" t="s">
        <v>54</v>
      </c>
      <c r="D14" s="140"/>
      <c r="E14" s="140"/>
      <c r="F14" s="141" t="s">
        <v>29</v>
      </c>
      <c r="G14" s="36" t="s">
        <v>30</v>
      </c>
      <c r="H14" s="142" t="s">
        <v>52</v>
      </c>
      <c r="I14" s="142" t="s">
        <v>32</v>
      </c>
      <c r="J14" s="158">
        <v>1</v>
      </c>
      <c r="K14" s="158">
        <v>1</v>
      </c>
      <c r="L14" s="159" t="s">
        <v>37</v>
      </c>
      <c r="M14" s="160" t="s">
        <v>34</v>
      </c>
      <c r="N14" s="161" t="s">
        <v>29</v>
      </c>
    </row>
    <row r="15" ht="35" customHeight="1" spans="1:14">
      <c r="A15" s="133">
        <v>9</v>
      </c>
      <c r="B15" s="134" t="s">
        <v>55</v>
      </c>
      <c r="C15" s="148" t="s">
        <v>56</v>
      </c>
      <c r="D15" s="148"/>
      <c r="E15" s="148"/>
      <c r="F15" s="136" t="s">
        <v>29</v>
      </c>
      <c r="G15" s="24" t="s">
        <v>30</v>
      </c>
      <c r="H15" s="137" t="s">
        <v>31</v>
      </c>
      <c r="I15" s="137" t="s">
        <v>32</v>
      </c>
      <c r="J15" s="155">
        <v>1</v>
      </c>
      <c r="K15" s="155">
        <v>1</v>
      </c>
      <c r="L15" s="165" t="s">
        <v>37</v>
      </c>
      <c r="M15" s="157" t="s">
        <v>34</v>
      </c>
      <c r="N15" s="63" t="s">
        <v>29</v>
      </c>
    </row>
    <row r="16" ht="35" customHeight="1" spans="1:14">
      <c r="A16" s="138">
        <v>10</v>
      </c>
      <c r="B16" s="139" t="s">
        <v>57</v>
      </c>
      <c r="C16" s="140" t="s">
        <v>58</v>
      </c>
      <c r="D16" s="140"/>
      <c r="E16" s="140"/>
      <c r="F16" s="141" t="s">
        <v>29</v>
      </c>
      <c r="G16" s="36" t="s">
        <v>30</v>
      </c>
      <c r="H16" s="142" t="s">
        <v>52</v>
      </c>
      <c r="I16" s="142" t="s">
        <v>32</v>
      </c>
      <c r="J16" s="158">
        <v>1</v>
      </c>
      <c r="K16" s="158">
        <v>1</v>
      </c>
      <c r="L16" s="159" t="s">
        <v>43</v>
      </c>
      <c r="M16" s="160" t="s">
        <v>34</v>
      </c>
      <c r="N16" s="161" t="s">
        <v>29</v>
      </c>
    </row>
    <row r="17" ht="35" customHeight="1" spans="1:14">
      <c r="A17" s="133">
        <v>11</v>
      </c>
      <c r="B17" s="134" t="s">
        <v>59</v>
      </c>
      <c r="C17" s="148" t="s">
        <v>60</v>
      </c>
      <c r="D17" s="148"/>
      <c r="E17" s="148"/>
      <c r="F17" s="136" t="s">
        <v>61</v>
      </c>
      <c r="G17" s="24" t="s">
        <v>30</v>
      </c>
      <c r="H17" s="137" t="s">
        <v>52</v>
      </c>
      <c r="I17" s="137" t="s">
        <v>32</v>
      </c>
      <c r="J17" s="155">
        <v>2</v>
      </c>
      <c r="K17" s="155">
        <v>2</v>
      </c>
      <c r="L17" s="165" t="s">
        <v>43</v>
      </c>
      <c r="M17" s="157" t="s">
        <v>34</v>
      </c>
      <c r="N17" s="63" t="s">
        <v>61</v>
      </c>
    </row>
    <row r="18" ht="35" customHeight="1" spans="1:14">
      <c r="A18" s="138">
        <v>12</v>
      </c>
      <c r="B18" s="139" t="s">
        <v>62</v>
      </c>
      <c r="C18" s="140" t="s">
        <v>63</v>
      </c>
      <c r="D18" s="140"/>
      <c r="E18" s="140"/>
      <c r="F18" s="141" t="s">
        <v>64</v>
      </c>
      <c r="G18" s="36" t="s">
        <v>30</v>
      </c>
      <c r="H18" s="142" t="s">
        <v>52</v>
      </c>
      <c r="I18" s="142" t="s">
        <v>32</v>
      </c>
      <c r="J18" s="158">
        <v>3</v>
      </c>
      <c r="K18" s="158">
        <v>3</v>
      </c>
      <c r="L18" s="159" t="s">
        <v>37</v>
      </c>
      <c r="M18" s="160" t="s">
        <v>34</v>
      </c>
      <c r="N18" s="161" t="s">
        <v>64</v>
      </c>
    </row>
    <row r="19" ht="35" customHeight="1" spans="1:14">
      <c r="A19" s="133">
        <v>13</v>
      </c>
      <c r="B19" s="134" t="s">
        <v>65</v>
      </c>
      <c r="C19" s="148" t="s">
        <v>66</v>
      </c>
      <c r="D19" s="148"/>
      <c r="E19" s="148"/>
      <c r="F19" s="136" t="s">
        <v>67</v>
      </c>
      <c r="G19" s="24" t="s">
        <v>30</v>
      </c>
      <c r="H19" s="137" t="s">
        <v>52</v>
      </c>
      <c r="I19" s="137" t="s">
        <v>32</v>
      </c>
      <c r="J19" s="155">
        <v>4</v>
      </c>
      <c r="K19" s="155">
        <v>4</v>
      </c>
      <c r="L19" s="165" t="s">
        <v>37</v>
      </c>
      <c r="M19" s="157" t="s">
        <v>34</v>
      </c>
      <c r="N19" s="63" t="s">
        <v>67</v>
      </c>
    </row>
    <row r="20" ht="35" customHeight="1" spans="1:14">
      <c r="A20" s="138">
        <v>14</v>
      </c>
      <c r="B20" s="139" t="s">
        <v>68</v>
      </c>
      <c r="C20" s="140" t="s">
        <v>69</v>
      </c>
      <c r="D20" s="140"/>
      <c r="E20" s="140"/>
      <c r="F20" s="141" t="s">
        <v>70</v>
      </c>
      <c r="G20" s="36" t="s">
        <v>30</v>
      </c>
      <c r="H20" s="142" t="s">
        <v>52</v>
      </c>
      <c r="I20" s="142" t="s">
        <v>32</v>
      </c>
      <c r="J20" s="158">
        <v>5</v>
      </c>
      <c r="K20" s="158">
        <v>5</v>
      </c>
      <c r="L20" s="159" t="s">
        <v>43</v>
      </c>
      <c r="M20" s="160" t="s">
        <v>34</v>
      </c>
      <c r="N20" s="161" t="s">
        <v>70</v>
      </c>
    </row>
    <row r="21" ht="35" customHeight="1" spans="1:14">
      <c r="A21" s="133">
        <v>15</v>
      </c>
      <c r="B21" s="134" t="s">
        <v>71</v>
      </c>
      <c r="C21" s="148" t="s">
        <v>72</v>
      </c>
      <c r="D21" s="148"/>
      <c r="E21" s="148"/>
      <c r="F21" s="136" t="s">
        <v>73</v>
      </c>
      <c r="G21" s="24" t="s">
        <v>30</v>
      </c>
      <c r="H21" s="137" t="s">
        <v>52</v>
      </c>
      <c r="I21" s="137" t="s">
        <v>32</v>
      </c>
      <c r="J21" s="155">
        <v>6</v>
      </c>
      <c r="K21" s="155">
        <v>6</v>
      </c>
      <c r="L21" s="165" t="s">
        <v>43</v>
      </c>
      <c r="M21" s="157" t="s">
        <v>34</v>
      </c>
      <c r="N21" s="63" t="s">
        <v>73</v>
      </c>
    </row>
    <row r="22" ht="35" customHeight="1" spans="1:14">
      <c r="A22" s="138">
        <v>16</v>
      </c>
      <c r="B22" s="139" t="s">
        <v>74</v>
      </c>
      <c r="C22" s="140" t="s">
        <v>75</v>
      </c>
      <c r="D22" s="140"/>
      <c r="E22" s="140"/>
      <c r="F22" s="141" t="s">
        <v>76</v>
      </c>
      <c r="G22" s="36" t="s">
        <v>30</v>
      </c>
      <c r="H22" s="142" t="s">
        <v>52</v>
      </c>
      <c r="I22" s="142" t="s">
        <v>32</v>
      </c>
      <c r="J22" s="158">
        <v>7</v>
      </c>
      <c r="K22" s="158">
        <v>7</v>
      </c>
      <c r="L22" s="159" t="s">
        <v>43</v>
      </c>
      <c r="M22" s="160" t="s">
        <v>34</v>
      </c>
      <c r="N22" s="161" t="s">
        <v>76</v>
      </c>
    </row>
    <row r="23" ht="35" customHeight="1" spans="1:14">
      <c r="A23" s="133">
        <v>17</v>
      </c>
      <c r="B23" s="134" t="s">
        <v>77</v>
      </c>
      <c r="C23" s="148" t="s">
        <v>78</v>
      </c>
      <c r="D23" s="148"/>
      <c r="E23" s="148"/>
      <c r="F23" s="136" t="s">
        <v>79</v>
      </c>
      <c r="G23" s="24" t="s">
        <v>30</v>
      </c>
      <c r="H23" s="137" t="s">
        <v>52</v>
      </c>
      <c r="I23" s="137" t="s">
        <v>32</v>
      </c>
      <c r="J23" s="155">
        <v>8</v>
      </c>
      <c r="K23" s="155">
        <v>8</v>
      </c>
      <c r="L23" s="165" t="s">
        <v>43</v>
      </c>
      <c r="M23" s="157" t="s">
        <v>34</v>
      </c>
      <c r="N23" s="63" t="s">
        <v>79</v>
      </c>
    </row>
    <row r="24" ht="35" customHeight="1" spans="1:14">
      <c r="A24" s="138">
        <v>18</v>
      </c>
      <c r="B24" s="139" t="s">
        <v>80</v>
      </c>
      <c r="C24" s="140" t="s">
        <v>81</v>
      </c>
      <c r="D24" s="140"/>
      <c r="E24" s="140"/>
      <c r="F24" s="141" t="s">
        <v>82</v>
      </c>
      <c r="G24" s="36" t="s">
        <v>30</v>
      </c>
      <c r="H24" s="142" t="s">
        <v>52</v>
      </c>
      <c r="I24" s="142" t="s">
        <v>32</v>
      </c>
      <c r="J24" s="158">
        <v>9</v>
      </c>
      <c r="K24" s="158">
        <v>9</v>
      </c>
      <c r="L24" s="159" t="s">
        <v>37</v>
      </c>
      <c r="M24" s="160" t="s">
        <v>34</v>
      </c>
      <c r="N24" s="161" t="s">
        <v>82</v>
      </c>
    </row>
    <row r="25" ht="35" customHeight="1" spans="1:14">
      <c r="A25" s="133">
        <v>19</v>
      </c>
      <c r="B25" s="134" t="s">
        <v>83</v>
      </c>
      <c r="C25" s="148" t="s">
        <v>84</v>
      </c>
      <c r="D25" s="148"/>
      <c r="E25" s="148"/>
      <c r="F25" s="136" t="s">
        <v>85</v>
      </c>
      <c r="G25" s="24" t="s">
        <v>30</v>
      </c>
      <c r="H25" s="137" t="s">
        <v>52</v>
      </c>
      <c r="I25" s="137" t="s">
        <v>32</v>
      </c>
      <c r="J25" s="155">
        <v>10</v>
      </c>
      <c r="K25" s="155">
        <v>10</v>
      </c>
      <c r="L25" s="165" t="s">
        <v>37</v>
      </c>
      <c r="M25" s="157" t="s">
        <v>34</v>
      </c>
      <c r="N25" s="63" t="s">
        <v>85</v>
      </c>
    </row>
    <row r="26" ht="35" customHeight="1" spans="1:14">
      <c r="A26" s="138">
        <v>20</v>
      </c>
      <c r="B26" s="139" t="s">
        <v>86</v>
      </c>
      <c r="C26" s="140" t="s">
        <v>87</v>
      </c>
      <c r="D26" s="140"/>
      <c r="E26" s="140"/>
      <c r="F26" s="141" t="s">
        <v>88</v>
      </c>
      <c r="G26" s="36" t="s">
        <v>30</v>
      </c>
      <c r="H26" s="142" t="s">
        <v>52</v>
      </c>
      <c r="I26" s="142" t="s">
        <v>32</v>
      </c>
      <c r="J26" s="158">
        <v>11</v>
      </c>
      <c r="K26" s="158">
        <v>11</v>
      </c>
      <c r="L26" s="159" t="s">
        <v>43</v>
      </c>
      <c r="M26" s="160" t="s">
        <v>34</v>
      </c>
      <c r="N26" s="161" t="s">
        <v>88</v>
      </c>
    </row>
    <row r="27" ht="30" customHeight="1" spans="1:14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66"/>
      <c r="M27" s="150"/>
      <c r="N27" s="167"/>
    </row>
  </sheetData>
  <mergeCells count="22">
    <mergeCell ref="A4:B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7"/>
  <sheetViews>
    <sheetView topLeftCell="A4" workbookViewId="0">
      <selection activeCell="D20" sqref="D20"/>
    </sheetView>
  </sheetViews>
  <sheetFormatPr defaultColWidth="9" defaultRowHeight="11.25"/>
  <cols>
    <col min="1" max="1" width="9" style="89"/>
    <col min="2" max="2" width="5.625" style="89" customWidth="1"/>
    <col min="3" max="8" width="20.625" style="89" customWidth="1"/>
    <col min="9" max="11" width="20.625" style="91" customWidth="1"/>
    <col min="12" max="16384" width="9" style="89"/>
  </cols>
  <sheetData>
    <row r="1" ht="15" customHeight="1" spans="2:11">
      <c r="B1" s="92"/>
      <c r="C1" s="92"/>
      <c r="D1" s="92"/>
      <c r="E1" s="92"/>
      <c r="F1" s="92"/>
      <c r="G1" s="93"/>
      <c r="H1" s="93"/>
      <c r="I1" s="105"/>
      <c r="J1" s="106"/>
      <c r="K1" s="107"/>
    </row>
    <row r="2" ht="15" customHeight="1" spans="2:11">
      <c r="B2" s="92"/>
      <c r="C2" s="92"/>
      <c r="D2" s="92"/>
      <c r="E2" s="92"/>
      <c r="F2" s="92"/>
      <c r="G2" s="93"/>
      <c r="H2" s="93"/>
      <c r="I2" s="105"/>
      <c r="J2" s="106"/>
      <c r="K2" s="107"/>
    </row>
    <row r="3" ht="15" customHeight="1" spans="2:11">
      <c r="B3" s="94"/>
      <c r="C3" s="94"/>
      <c r="D3" s="94"/>
      <c r="E3" s="94"/>
      <c r="F3" s="94"/>
      <c r="G3" s="94"/>
      <c r="H3" s="94"/>
      <c r="I3" s="108"/>
      <c r="J3" s="108"/>
      <c r="K3" s="109"/>
    </row>
    <row r="4" ht="15" customHeight="1" spans="2:11">
      <c r="B4" s="94"/>
      <c r="C4" s="94"/>
      <c r="D4" s="94"/>
      <c r="E4" s="94"/>
      <c r="F4" s="94"/>
      <c r="G4" s="94"/>
      <c r="H4" s="94"/>
      <c r="I4" s="108"/>
      <c r="J4" s="108"/>
      <c r="K4" s="109"/>
    </row>
    <row r="5" ht="30" customHeight="1" spans="2:11">
      <c r="B5" s="95" t="s">
        <v>89</v>
      </c>
      <c r="C5" s="96"/>
      <c r="D5" s="96"/>
      <c r="E5" s="96"/>
      <c r="F5" s="96"/>
      <c r="G5" s="96"/>
      <c r="H5" s="96"/>
      <c r="I5" s="110"/>
      <c r="J5" s="110"/>
      <c r="K5" s="111"/>
    </row>
    <row r="6" customFormat="1" ht="30" customHeight="1" spans="2:11">
      <c r="B6" s="72" t="s">
        <v>15</v>
      </c>
      <c r="C6" s="14" t="s">
        <v>17</v>
      </c>
      <c r="D6" s="14" t="s">
        <v>19</v>
      </c>
      <c r="E6" s="14" t="s">
        <v>90</v>
      </c>
      <c r="F6" s="14" t="s">
        <v>21</v>
      </c>
      <c r="G6" s="14" t="s">
        <v>91</v>
      </c>
      <c r="H6" s="14" t="s">
        <v>92</v>
      </c>
      <c r="I6" s="15" t="s">
        <v>93</v>
      </c>
      <c r="J6" s="15" t="s">
        <v>94</v>
      </c>
      <c r="K6" s="112" t="s">
        <v>95</v>
      </c>
    </row>
    <row r="7" s="68" customFormat="1" ht="30" customHeight="1" spans="2:11">
      <c r="B7" s="73">
        <v>1</v>
      </c>
      <c r="C7" s="97" t="s">
        <v>96</v>
      </c>
      <c r="D7" s="75" t="s">
        <v>30</v>
      </c>
      <c r="E7" s="97" t="s">
        <v>31</v>
      </c>
      <c r="F7" s="97" t="s">
        <v>52</v>
      </c>
      <c r="G7" s="97">
        <v>50</v>
      </c>
      <c r="H7" s="97" t="s">
        <v>97</v>
      </c>
      <c r="I7" s="113">
        <v>1</v>
      </c>
      <c r="J7" s="113">
        <v>167</v>
      </c>
      <c r="K7" s="114">
        <v>200</v>
      </c>
    </row>
    <row r="8" s="89" customFormat="1" ht="30" customHeight="1" spans="2:11">
      <c r="B8" s="98">
        <v>2</v>
      </c>
      <c r="C8" s="99" t="s">
        <v>98</v>
      </c>
      <c r="D8" s="100" t="s">
        <v>30</v>
      </c>
      <c r="E8" s="99" t="s">
        <v>31</v>
      </c>
      <c r="F8" s="99" t="s">
        <v>52</v>
      </c>
      <c r="G8" s="99">
        <v>50</v>
      </c>
      <c r="H8" s="99" t="s">
        <v>97</v>
      </c>
      <c r="I8" s="115">
        <v>1</v>
      </c>
      <c r="J8" s="115">
        <v>167</v>
      </c>
      <c r="K8" s="116">
        <v>200</v>
      </c>
    </row>
    <row r="9" s="89" customFormat="1" ht="30" customHeight="1" spans="2:11">
      <c r="B9" s="73">
        <v>3</v>
      </c>
      <c r="C9" s="97" t="s">
        <v>99</v>
      </c>
      <c r="D9" s="75" t="s">
        <v>30</v>
      </c>
      <c r="E9" s="97" t="s">
        <v>31</v>
      </c>
      <c r="F9" s="97" t="s">
        <v>52</v>
      </c>
      <c r="G9" s="97">
        <v>50</v>
      </c>
      <c r="H9" s="97" t="s">
        <v>97</v>
      </c>
      <c r="I9" s="113">
        <v>1</v>
      </c>
      <c r="J9" s="113">
        <v>167</v>
      </c>
      <c r="K9" s="114">
        <v>200</v>
      </c>
    </row>
    <row r="10" s="89" customFormat="1" ht="30" customHeight="1" spans="2:11">
      <c r="B10" s="73">
        <v>4</v>
      </c>
      <c r="C10" s="97" t="s">
        <v>100</v>
      </c>
      <c r="D10" s="75" t="s">
        <v>30</v>
      </c>
      <c r="E10" s="97" t="s">
        <v>31</v>
      </c>
      <c r="F10" s="97" t="s">
        <v>52</v>
      </c>
      <c r="G10" s="97">
        <v>50</v>
      </c>
      <c r="H10" s="97" t="s">
        <v>97</v>
      </c>
      <c r="I10" s="113">
        <v>1</v>
      </c>
      <c r="J10" s="113">
        <v>167</v>
      </c>
      <c r="K10" s="114">
        <v>200</v>
      </c>
    </row>
    <row r="11" s="89" customFormat="1" ht="30" customHeight="1" spans="2:11">
      <c r="B11" s="73">
        <v>5</v>
      </c>
      <c r="C11" s="97" t="s">
        <v>101</v>
      </c>
      <c r="D11" s="75" t="s">
        <v>30</v>
      </c>
      <c r="E11" s="97" t="s">
        <v>31</v>
      </c>
      <c r="F11" s="97" t="s">
        <v>52</v>
      </c>
      <c r="G11" s="97">
        <v>50</v>
      </c>
      <c r="H11" s="97" t="s">
        <v>97</v>
      </c>
      <c r="I11" s="113">
        <v>1</v>
      </c>
      <c r="J11" s="113">
        <v>167</v>
      </c>
      <c r="K11" s="114">
        <v>200</v>
      </c>
    </row>
    <row r="12" s="89" customFormat="1" ht="30" customHeight="1" spans="2:11">
      <c r="B12" s="73">
        <v>6</v>
      </c>
      <c r="C12" s="97" t="s">
        <v>102</v>
      </c>
      <c r="D12" s="75" t="s">
        <v>30</v>
      </c>
      <c r="E12" s="97" t="s">
        <v>31</v>
      </c>
      <c r="F12" s="97" t="s">
        <v>52</v>
      </c>
      <c r="G12" s="97">
        <v>50</v>
      </c>
      <c r="H12" s="97" t="s">
        <v>97</v>
      </c>
      <c r="I12" s="113">
        <v>1</v>
      </c>
      <c r="J12" s="113">
        <v>167</v>
      </c>
      <c r="K12" s="114">
        <v>200</v>
      </c>
    </row>
    <row r="13" s="89" customFormat="1" ht="30" customHeight="1" spans="2:11">
      <c r="B13" s="73">
        <v>7</v>
      </c>
      <c r="C13" s="97" t="s">
        <v>103</v>
      </c>
      <c r="D13" s="75" t="s">
        <v>30</v>
      </c>
      <c r="E13" s="97" t="s">
        <v>31</v>
      </c>
      <c r="F13" s="97" t="s">
        <v>52</v>
      </c>
      <c r="G13" s="97">
        <v>50</v>
      </c>
      <c r="H13" s="97" t="s">
        <v>97</v>
      </c>
      <c r="I13" s="113">
        <v>1</v>
      </c>
      <c r="J13" s="113">
        <v>167</v>
      </c>
      <c r="K13" s="114">
        <v>200</v>
      </c>
    </row>
    <row r="14" s="89" customFormat="1" ht="30" customHeight="1" spans="2:11">
      <c r="B14" s="73">
        <v>8</v>
      </c>
      <c r="C14" s="97" t="s">
        <v>104</v>
      </c>
      <c r="D14" s="75" t="s">
        <v>30</v>
      </c>
      <c r="E14" s="97" t="s">
        <v>31</v>
      </c>
      <c r="F14" s="97" t="s">
        <v>52</v>
      </c>
      <c r="G14" s="97">
        <v>50</v>
      </c>
      <c r="H14" s="97" t="s">
        <v>97</v>
      </c>
      <c r="I14" s="113">
        <v>1</v>
      </c>
      <c r="J14" s="113">
        <v>167</v>
      </c>
      <c r="K14" s="114">
        <v>200</v>
      </c>
    </row>
    <row r="15" s="89" customFormat="1" ht="30" customHeight="1" spans="2:11">
      <c r="B15" s="73">
        <v>9</v>
      </c>
      <c r="C15" s="97" t="s">
        <v>105</v>
      </c>
      <c r="D15" s="75" t="s">
        <v>30</v>
      </c>
      <c r="E15" s="97" t="s">
        <v>31</v>
      </c>
      <c r="F15" s="97" t="s">
        <v>52</v>
      </c>
      <c r="G15" s="97">
        <v>50</v>
      </c>
      <c r="H15" s="97" t="s">
        <v>97</v>
      </c>
      <c r="I15" s="113">
        <v>1</v>
      </c>
      <c r="J15" s="113">
        <v>167</v>
      </c>
      <c r="K15" s="114">
        <v>200</v>
      </c>
    </row>
    <row r="16" s="89" customFormat="1" ht="30" customHeight="1" spans="2:11">
      <c r="B16" s="73">
        <v>10</v>
      </c>
      <c r="C16" s="97" t="s">
        <v>106</v>
      </c>
      <c r="D16" s="75" t="s">
        <v>30</v>
      </c>
      <c r="E16" s="97" t="s">
        <v>31</v>
      </c>
      <c r="F16" s="97" t="s">
        <v>52</v>
      </c>
      <c r="G16" s="97">
        <v>50</v>
      </c>
      <c r="H16" s="97" t="s">
        <v>97</v>
      </c>
      <c r="I16" s="113">
        <v>1</v>
      </c>
      <c r="J16" s="113">
        <v>167</v>
      </c>
      <c r="K16" s="114">
        <v>200</v>
      </c>
    </row>
    <row r="17" s="89" customFormat="1" ht="30" customHeight="1" spans="2:11">
      <c r="B17" s="73">
        <v>11</v>
      </c>
      <c r="C17" s="97" t="s">
        <v>107</v>
      </c>
      <c r="D17" s="75" t="s">
        <v>30</v>
      </c>
      <c r="E17" s="97" t="s">
        <v>31</v>
      </c>
      <c r="F17" s="97" t="s">
        <v>52</v>
      </c>
      <c r="G17" s="97">
        <v>50</v>
      </c>
      <c r="H17" s="97" t="s">
        <v>97</v>
      </c>
      <c r="I17" s="113">
        <v>1</v>
      </c>
      <c r="J17" s="113">
        <v>167</v>
      </c>
      <c r="K17" s="114">
        <v>200</v>
      </c>
    </row>
    <row r="18" s="89" customFormat="1" ht="30" customHeight="1" spans="2:11">
      <c r="B18" s="73">
        <v>12</v>
      </c>
      <c r="C18" s="97" t="s">
        <v>108</v>
      </c>
      <c r="D18" s="75" t="s">
        <v>30</v>
      </c>
      <c r="E18" s="97" t="s">
        <v>31</v>
      </c>
      <c r="F18" s="97" t="s">
        <v>52</v>
      </c>
      <c r="G18" s="97">
        <v>50</v>
      </c>
      <c r="H18" s="97" t="s">
        <v>97</v>
      </c>
      <c r="I18" s="113">
        <v>1</v>
      </c>
      <c r="J18" s="113">
        <v>167</v>
      </c>
      <c r="K18" s="114">
        <v>200</v>
      </c>
    </row>
    <row r="19" s="89" customFormat="1" ht="30" customHeight="1" spans="2:11">
      <c r="B19" s="73">
        <v>13</v>
      </c>
      <c r="C19" s="97" t="s">
        <v>109</v>
      </c>
      <c r="D19" s="75" t="s">
        <v>30</v>
      </c>
      <c r="E19" s="97" t="s">
        <v>31</v>
      </c>
      <c r="F19" s="97" t="s">
        <v>52</v>
      </c>
      <c r="G19" s="97">
        <v>50</v>
      </c>
      <c r="H19" s="97" t="s">
        <v>97</v>
      </c>
      <c r="I19" s="113">
        <v>1</v>
      </c>
      <c r="J19" s="113">
        <v>167</v>
      </c>
      <c r="K19" s="114">
        <v>200</v>
      </c>
    </row>
    <row r="20" s="89" customFormat="1" ht="30" customHeight="1" spans="2:11">
      <c r="B20" s="73">
        <v>14</v>
      </c>
      <c r="C20" s="97" t="s">
        <v>110</v>
      </c>
      <c r="D20" s="75" t="s">
        <v>30</v>
      </c>
      <c r="E20" s="97" t="s">
        <v>31</v>
      </c>
      <c r="F20" s="97" t="s">
        <v>52</v>
      </c>
      <c r="G20" s="97">
        <v>50</v>
      </c>
      <c r="H20" s="97" t="s">
        <v>97</v>
      </c>
      <c r="I20" s="113">
        <v>1</v>
      </c>
      <c r="J20" s="113">
        <v>167</v>
      </c>
      <c r="K20" s="114">
        <v>200</v>
      </c>
    </row>
    <row r="21" s="89" customFormat="1" ht="30" customHeight="1" spans="2:11">
      <c r="B21" s="73">
        <v>15</v>
      </c>
      <c r="C21" s="97" t="s">
        <v>111</v>
      </c>
      <c r="D21" s="75" t="s">
        <v>30</v>
      </c>
      <c r="E21" s="97" t="s">
        <v>31</v>
      </c>
      <c r="F21" s="97" t="s">
        <v>52</v>
      </c>
      <c r="G21" s="97">
        <v>50</v>
      </c>
      <c r="H21" s="97" t="s">
        <v>97</v>
      </c>
      <c r="I21" s="113">
        <v>1</v>
      </c>
      <c r="J21" s="113">
        <v>167</v>
      </c>
      <c r="K21" s="114">
        <v>200</v>
      </c>
    </row>
    <row r="22" s="89" customFormat="1" ht="30" customHeight="1" spans="2:11">
      <c r="B22" s="73">
        <v>16</v>
      </c>
      <c r="C22" s="97" t="s">
        <v>112</v>
      </c>
      <c r="D22" s="75" t="s">
        <v>30</v>
      </c>
      <c r="E22" s="97" t="s">
        <v>31</v>
      </c>
      <c r="F22" s="97" t="s">
        <v>52</v>
      </c>
      <c r="G22" s="97">
        <v>50</v>
      </c>
      <c r="H22" s="97" t="s">
        <v>97</v>
      </c>
      <c r="I22" s="113">
        <v>1</v>
      </c>
      <c r="J22" s="113">
        <v>167</v>
      </c>
      <c r="K22" s="114">
        <v>200</v>
      </c>
    </row>
    <row r="23" s="89" customFormat="1" ht="30" customHeight="1" spans="2:11">
      <c r="B23" s="73">
        <v>17</v>
      </c>
      <c r="C23" s="97" t="s">
        <v>113</v>
      </c>
      <c r="D23" s="75" t="s">
        <v>30</v>
      </c>
      <c r="E23" s="97" t="s">
        <v>31</v>
      </c>
      <c r="F23" s="97" t="s">
        <v>52</v>
      </c>
      <c r="G23" s="97">
        <v>50</v>
      </c>
      <c r="H23" s="97" t="s">
        <v>97</v>
      </c>
      <c r="I23" s="113">
        <v>1</v>
      </c>
      <c r="J23" s="113">
        <v>167</v>
      </c>
      <c r="K23" s="114">
        <v>200</v>
      </c>
    </row>
    <row r="24" s="89" customFormat="1" ht="30" customHeight="1" spans="2:11">
      <c r="B24" s="73">
        <v>18</v>
      </c>
      <c r="C24" s="97" t="s">
        <v>114</v>
      </c>
      <c r="D24" s="75" t="s">
        <v>30</v>
      </c>
      <c r="E24" s="97" t="s">
        <v>31</v>
      </c>
      <c r="F24" s="97" t="s">
        <v>52</v>
      </c>
      <c r="G24" s="97">
        <v>50</v>
      </c>
      <c r="H24" s="97" t="s">
        <v>97</v>
      </c>
      <c r="I24" s="113">
        <v>1</v>
      </c>
      <c r="J24" s="113">
        <v>167</v>
      </c>
      <c r="K24" s="114">
        <v>200</v>
      </c>
    </row>
    <row r="25" s="89" customFormat="1" ht="30" customHeight="1" spans="2:11">
      <c r="B25" s="73">
        <v>19</v>
      </c>
      <c r="C25" s="97" t="s">
        <v>115</v>
      </c>
      <c r="D25" s="75" t="s">
        <v>30</v>
      </c>
      <c r="E25" s="97" t="s">
        <v>31</v>
      </c>
      <c r="F25" s="97" t="s">
        <v>52</v>
      </c>
      <c r="G25" s="97">
        <v>50</v>
      </c>
      <c r="H25" s="97" t="s">
        <v>97</v>
      </c>
      <c r="I25" s="113">
        <v>1</v>
      </c>
      <c r="J25" s="113">
        <v>167</v>
      </c>
      <c r="K25" s="114">
        <v>200</v>
      </c>
    </row>
    <row r="26" s="89" customFormat="1" ht="30" customHeight="1" spans="2:11">
      <c r="B26" s="101"/>
      <c r="C26" s="46"/>
      <c r="D26" s="46"/>
      <c r="E26" s="46"/>
      <c r="F26" s="46"/>
      <c r="G26" s="102">
        <f t="shared" ref="G26:K26" si="0">SUM(G7:G25)</f>
        <v>950</v>
      </c>
      <c r="H26" s="46"/>
      <c r="I26" s="117">
        <f t="shared" si="0"/>
        <v>19</v>
      </c>
      <c r="J26" s="117">
        <f t="shared" si="0"/>
        <v>3173</v>
      </c>
      <c r="K26" s="118">
        <f t="shared" si="0"/>
        <v>3800</v>
      </c>
    </row>
    <row r="27" s="90" customFormat="1" ht="30" customHeight="1" spans="2:11">
      <c r="B27" s="103" t="s">
        <v>116</v>
      </c>
      <c r="C27" s="104"/>
      <c r="D27" s="104"/>
      <c r="E27" s="104"/>
      <c r="F27" s="104"/>
      <c r="G27" s="104"/>
      <c r="H27" s="104"/>
      <c r="I27" s="119"/>
      <c r="J27" s="119"/>
      <c r="K27" s="120"/>
    </row>
  </sheetData>
  <mergeCells count="2">
    <mergeCell ref="B5:K5"/>
    <mergeCell ref="B27:K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5"/>
  <sheetViews>
    <sheetView topLeftCell="B1" workbookViewId="0">
      <selection activeCell="H8" sqref="H8"/>
    </sheetView>
  </sheetViews>
  <sheetFormatPr defaultColWidth="9" defaultRowHeight="13.5"/>
  <cols>
    <col min="1" max="1" width="9" style="5"/>
    <col min="2" max="2" width="10.625" style="5" customWidth="1"/>
    <col min="3" max="3" width="20.625" style="5" customWidth="1"/>
    <col min="4" max="4" width="25.625" style="5" customWidth="1"/>
    <col min="5" max="13" width="15.625" style="5" customWidth="1"/>
    <col min="14" max="16384" width="9" style="5"/>
  </cols>
  <sheetData>
    <row r="3" ht="30" customHeight="1" spans="2:13">
      <c r="B3" s="70" t="s">
        <v>117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82"/>
    </row>
    <row r="4" s="68" customFormat="1" ht="30" customHeight="1" spans="2:13">
      <c r="B4" s="72" t="s">
        <v>15</v>
      </c>
      <c r="C4" s="46" t="s">
        <v>118</v>
      </c>
      <c r="D4" s="46" t="s">
        <v>119</v>
      </c>
      <c r="E4" s="46" t="s">
        <v>120</v>
      </c>
      <c r="F4" s="46" t="s">
        <v>121</v>
      </c>
      <c r="G4" s="46" t="s">
        <v>122</v>
      </c>
      <c r="H4" s="46" t="s">
        <v>123</v>
      </c>
      <c r="I4" s="16" t="s">
        <v>21</v>
      </c>
      <c r="J4" s="46" t="s">
        <v>23</v>
      </c>
      <c r="K4" s="46" t="s">
        <v>93</v>
      </c>
      <c r="L4" s="46" t="s">
        <v>94</v>
      </c>
      <c r="M4" s="83" t="s">
        <v>95</v>
      </c>
    </row>
    <row r="5" ht="40" customHeight="1" spans="2:13">
      <c r="B5" s="73">
        <v>1</v>
      </c>
      <c r="C5" s="74" t="s">
        <v>124</v>
      </c>
      <c r="D5" s="75" t="s">
        <v>125</v>
      </c>
      <c r="E5" s="75" t="s">
        <v>126</v>
      </c>
      <c r="F5" s="76" t="s">
        <v>127</v>
      </c>
      <c r="G5" s="76" t="s">
        <v>127</v>
      </c>
      <c r="H5" s="75" t="s">
        <v>128</v>
      </c>
      <c r="I5" s="84" t="s">
        <v>32</v>
      </c>
      <c r="J5" s="76">
        <v>1</v>
      </c>
      <c r="K5" s="76">
        <v>0.52</v>
      </c>
      <c r="L5" s="76">
        <v>0.52</v>
      </c>
      <c r="M5" s="85">
        <v>0.52</v>
      </c>
    </row>
    <row r="6" ht="40" customHeight="1" spans="2:13">
      <c r="B6" s="73">
        <v>2</v>
      </c>
      <c r="C6" s="74" t="s">
        <v>129</v>
      </c>
      <c r="D6" s="76" t="s">
        <v>130</v>
      </c>
      <c r="E6" s="75" t="s">
        <v>131</v>
      </c>
      <c r="F6" s="76" t="s">
        <v>127</v>
      </c>
      <c r="G6" s="76" t="s">
        <v>127</v>
      </c>
      <c r="H6" s="75" t="s">
        <v>132</v>
      </c>
      <c r="I6" s="84" t="s">
        <v>32</v>
      </c>
      <c r="J6" s="76">
        <v>1</v>
      </c>
      <c r="K6" s="76">
        <v>1.14</v>
      </c>
      <c r="L6" s="76">
        <v>1.14</v>
      </c>
      <c r="M6" s="85">
        <v>1.14</v>
      </c>
    </row>
    <row r="7" ht="40" customHeight="1" spans="2:13">
      <c r="B7" s="73">
        <v>3</v>
      </c>
      <c r="C7" s="74" t="s">
        <v>133</v>
      </c>
      <c r="D7" s="76" t="s">
        <v>134</v>
      </c>
      <c r="E7" s="75" t="s">
        <v>131</v>
      </c>
      <c r="F7" s="76" t="s">
        <v>127</v>
      </c>
      <c r="G7" s="76" t="s">
        <v>127</v>
      </c>
      <c r="H7" s="75" t="s">
        <v>135</v>
      </c>
      <c r="I7" s="84" t="s">
        <v>32</v>
      </c>
      <c r="J7" s="76">
        <v>1</v>
      </c>
      <c r="K7" s="76">
        <v>0.92</v>
      </c>
      <c r="L7" s="76">
        <v>0.92</v>
      </c>
      <c r="M7" s="85">
        <v>0.92</v>
      </c>
    </row>
    <row r="8" ht="40" customHeight="1" spans="2:13">
      <c r="B8" s="73">
        <v>4</v>
      </c>
      <c r="C8" s="74" t="s">
        <v>136</v>
      </c>
      <c r="D8" s="76" t="s">
        <v>137</v>
      </c>
      <c r="E8" s="75" t="s">
        <v>131</v>
      </c>
      <c r="F8" s="76" t="s">
        <v>127</v>
      </c>
      <c r="G8" s="76" t="s">
        <v>127</v>
      </c>
      <c r="H8" s="75" t="s">
        <v>138</v>
      </c>
      <c r="I8" s="84" t="s">
        <v>32</v>
      </c>
      <c r="J8" s="76">
        <v>1</v>
      </c>
      <c r="K8" s="76">
        <v>0.12</v>
      </c>
      <c r="L8" s="76">
        <v>0.12</v>
      </c>
      <c r="M8" s="85">
        <v>0.12</v>
      </c>
    </row>
    <row r="9" ht="40" customHeight="1" spans="2:13">
      <c r="B9" s="73">
        <v>5</v>
      </c>
      <c r="C9" s="74" t="s">
        <v>139</v>
      </c>
      <c r="D9" s="75" t="s">
        <v>125</v>
      </c>
      <c r="E9" s="75" t="s">
        <v>131</v>
      </c>
      <c r="F9" s="76" t="s">
        <v>127</v>
      </c>
      <c r="G9" s="76" t="s">
        <v>127</v>
      </c>
      <c r="H9" s="75" t="s">
        <v>128</v>
      </c>
      <c r="I9" s="84" t="s">
        <v>32</v>
      </c>
      <c r="J9" s="76">
        <v>1</v>
      </c>
      <c r="K9" s="76">
        <v>2.2</v>
      </c>
      <c r="L9" s="76">
        <v>2.2</v>
      </c>
      <c r="M9" s="85">
        <v>2.2</v>
      </c>
    </row>
    <row r="10" ht="40" customHeight="1" spans="2:13">
      <c r="B10" s="73">
        <v>6</v>
      </c>
      <c r="C10" s="74" t="s">
        <v>140</v>
      </c>
      <c r="D10" s="76" t="s">
        <v>130</v>
      </c>
      <c r="E10" s="75" t="s">
        <v>131</v>
      </c>
      <c r="F10" s="76" t="s">
        <v>141</v>
      </c>
      <c r="G10" s="76" t="s">
        <v>141</v>
      </c>
      <c r="H10" s="75" t="s">
        <v>132</v>
      </c>
      <c r="I10" s="84" t="s">
        <v>32</v>
      </c>
      <c r="J10" s="76">
        <v>1</v>
      </c>
      <c r="K10" s="76">
        <v>7.1</v>
      </c>
      <c r="L10" s="76">
        <v>7.1</v>
      </c>
      <c r="M10" s="85">
        <v>7.1</v>
      </c>
    </row>
    <row r="11" ht="40" customHeight="1" spans="2:13">
      <c r="B11" s="73">
        <v>7</v>
      </c>
      <c r="C11" s="74" t="s">
        <v>142</v>
      </c>
      <c r="D11" s="76" t="s">
        <v>134</v>
      </c>
      <c r="E11" s="75" t="s">
        <v>131</v>
      </c>
      <c r="F11" s="76" t="s">
        <v>127</v>
      </c>
      <c r="G11" s="76" t="s">
        <v>127</v>
      </c>
      <c r="H11" s="75" t="s">
        <v>135</v>
      </c>
      <c r="I11" s="84" t="s">
        <v>32</v>
      </c>
      <c r="J11" s="76">
        <v>1</v>
      </c>
      <c r="K11" s="76">
        <v>1.1</v>
      </c>
      <c r="L11" s="76">
        <v>1.1</v>
      </c>
      <c r="M11" s="85">
        <v>1.1</v>
      </c>
    </row>
    <row r="12" ht="40" customHeight="1" spans="2:13">
      <c r="B12" s="73">
        <v>8</v>
      </c>
      <c r="C12" s="74" t="s">
        <v>143</v>
      </c>
      <c r="D12" s="76" t="s">
        <v>137</v>
      </c>
      <c r="E12" s="75" t="s">
        <v>131</v>
      </c>
      <c r="F12" s="76" t="s">
        <v>144</v>
      </c>
      <c r="G12" s="76" t="s">
        <v>144</v>
      </c>
      <c r="H12" s="75" t="s">
        <v>138</v>
      </c>
      <c r="I12" s="84" t="s">
        <v>32</v>
      </c>
      <c r="J12" s="76">
        <v>1</v>
      </c>
      <c r="K12" s="76">
        <v>0.94</v>
      </c>
      <c r="L12" s="76">
        <v>0.94</v>
      </c>
      <c r="M12" s="85">
        <v>0.94</v>
      </c>
    </row>
    <row r="13" ht="40" customHeight="1" spans="2:13">
      <c r="B13" s="73">
        <v>9</v>
      </c>
      <c r="C13" s="74" t="s">
        <v>145</v>
      </c>
      <c r="D13" s="75" t="s">
        <v>125</v>
      </c>
      <c r="E13" s="75" t="s">
        <v>131</v>
      </c>
      <c r="F13" s="76" t="s">
        <v>144</v>
      </c>
      <c r="G13" s="76" t="s">
        <v>146</v>
      </c>
      <c r="H13" s="75" t="s">
        <v>128</v>
      </c>
      <c r="I13" s="84" t="s">
        <v>32</v>
      </c>
      <c r="J13" s="76">
        <v>1</v>
      </c>
      <c r="K13" s="76">
        <v>93.5</v>
      </c>
      <c r="L13" s="76">
        <v>93.5</v>
      </c>
      <c r="M13" s="85">
        <v>93.5</v>
      </c>
    </row>
    <row r="14" ht="40" customHeight="1" spans="2:13">
      <c r="B14" s="73">
        <v>10</v>
      </c>
      <c r="C14" s="74" t="s">
        <v>147</v>
      </c>
      <c r="D14" s="76" t="s">
        <v>130</v>
      </c>
      <c r="E14" s="75" t="s">
        <v>148</v>
      </c>
      <c r="F14" s="76" t="s">
        <v>144</v>
      </c>
      <c r="G14" s="76" t="s">
        <v>149</v>
      </c>
      <c r="H14" s="75" t="s">
        <v>150</v>
      </c>
      <c r="I14" s="84" t="s">
        <v>32</v>
      </c>
      <c r="J14" s="76">
        <v>1</v>
      </c>
      <c r="K14" s="76">
        <v>18.58</v>
      </c>
      <c r="L14" s="76">
        <v>18.58</v>
      </c>
      <c r="M14" s="85">
        <v>18.58</v>
      </c>
    </row>
    <row r="15" ht="40" customHeight="1" spans="2:13">
      <c r="B15" s="73">
        <v>11</v>
      </c>
      <c r="C15" s="74" t="s">
        <v>151</v>
      </c>
      <c r="D15" s="76" t="s">
        <v>134</v>
      </c>
      <c r="E15" s="75" t="s">
        <v>148</v>
      </c>
      <c r="F15" s="76" t="s">
        <v>144</v>
      </c>
      <c r="G15" s="76" t="s">
        <v>152</v>
      </c>
      <c r="H15" s="75" t="s">
        <v>153</v>
      </c>
      <c r="I15" s="84" t="s">
        <v>32</v>
      </c>
      <c r="J15" s="76">
        <v>1</v>
      </c>
      <c r="K15" s="76">
        <v>31.84</v>
      </c>
      <c r="L15" s="76">
        <v>31.84</v>
      </c>
      <c r="M15" s="85">
        <v>31.84</v>
      </c>
    </row>
    <row r="16" ht="40" customHeight="1" spans="2:13">
      <c r="B16" s="73">
        <v>12</v>
      </c>
      <c r="C16" s="74" t="s">
        <v>154</v>
      </c>
      <c r="D16" s="76" t="s">
        <v>137</v>
      </c>
      <c r="E16" s="75" t="s">
        <v>148</v>
      </c>
      <c r="F16" s="76" t="s">
        <v>144</v>
      </c>
      <c r="G16" s="76" t="s">
        <v>155</v>
      </c>
      <c r="H16" s="75" t="s">
        <v>138</v>
      </c>
      <c r="I16" s="84" t="s">
        <v>32</v>
      </c>
      <c r="J16" s="76">
        <v>1</v>
      </c>
      <c r="K16" s="76">
        <v>2.96</v>
      </c>
      <c r="L16" s="76">
        <v>2.96</v>
      </c>
      <c r="M16" s="85">
        <v>2.96</v>
      </c>
    </row>
    <row r="17" ht="40" customHeight="1" spans="2:13">
      <c r="B17" s="73">
        <v>13</v>
      </c>
      <c r="C17" s="74" t="s">
        <v>156</v>
      </c>
      <c r="D17" s="75" t="s">
        <v>125</v>
      </c>
      <c r="E17" s="75" t="s">
        <v>148</v>
      </c>
      <c r="F17" s="76" t="s">
        <v>144</v>
      </c>
      <c r="G17" s="76" t="s">
        <v>146</v>
      </c>
      <c r="H17" s="75" t="s">
        <v>153</v>
      </c>
      <c r="I17" s="84" t="s">
        <v>32</v>
      </c>
      <c r="J17" s="76">
        <v>1</v>
      </c>
      <c r="K17" s="76">
        <v>5.18</v>
      </c>
      <c r="L17" s="76">
        <v>5.18</v>
      </c>
      <c r="M17" s="85">
        <v>5.18</v>
      </c>
    </row>
    <row r="18" ht="40" customHeight="1" spans="2:13">
      <c r="B18" s="73">
        <v>14</v>
      </c>
      <c r="C18" s="74" t="s">
        <v>157</v>
      </c>
      <c r="D18" s="76" t="s">
        <v>130</v>
      </c>
      <c r="E18" s="75" t="s">
        <v>148</v>
      </c>
      <c r="F18" s="76" t="s">
        <v>144</v>
      </c>
      <c r="G18" s="76" t="s">
        <v>146</v>
      </c>
      <c r="H18" s="75" t="s">
        <v>158</v>
      </c>
      <c r="I18" s="84" t="s">
        <v>32</v>
      </c>
      <c r="J18" s="76">
        <v>1</v>
      </c>
      <c r="K18" s="76">
        <v>433.8</v>
      </c>
      <c r="L18" s="76">
        <v>433.8</v>
      </c>
      <c r="M18" s="85">
        <v>433.8</v>
      </c>
    </row>
    <row r="19" ht="40" customHeight="1" spans="2:13">
      <c r="B19" s="73">
        <v>15</v>
      </c>
      <c r="C19" s="74" t="s">
        <v>159</v>
      </c>
      <c r="D19" s="76" t="s">
        <v>134</v>
      </c>
      <c r="E19" s="75" t="s">
        <v>131</v>
      </c>
      <c r="F19" s="76" t="s">
        <v>144</v>
      </c>
      <c r="G19" s="76" t="s">
        <v>160</v>
      </c>
      <c r="H19" s="75" t="s">
        <v>161</v>
      </c>
      <c r="I19" s="84" t="s">
        <v>32</v>
      </c>
      <c r="J19" s="76">
        <v>1</v>
      </c>
      <c r="K19" s="76">
        <v>92</v>
      </c>
      <c r="L19" s="76">
        <v>92</v>
      </c>
      <c r="M19" s="85">
        <v>92</v>
      </c>
    </row>
    <row r="20" ht="40" customHeight="1" spans="2:13">
      <c r="B20" s="73">
        <v>16</v>
      </c>
      <c r="C20" s="74" t="s">
        <v>162</v>
      </c>
      <c r="D20" s="76" t="s">
        <v>137</v>
      </c>
      <c r="E20" s="75" t="s">
        <v>148</v>
      </c>
      <c r="F20" s="76" t="s">
        <v>144</v>
      </c>
      <c r="G20" s="76" t="s">
        <v>146</v>
      </c>
      <c r="H20" s="75" t="s">
        <v>138</v>
      </c>
      <c r="I20" s="84" t="s">
        <v>32</v>
      </c>
      <c r="J20" s="76">
        <v>1</v>
      </c>
      <c r="K20" s="76">
        <v>23.58</v>
      </c>
      <c r="L20" s="76">
        <v>23.58</v>
      </c>
      <c r="M20" s="85">
        <v>23.58</v>
      </c>
    </row>
    <row r="21" ht="40" customHeight="1" spans="2:13">
      <c r="B21" s="73">
        <v>17</v>
      </c>
      <c r="C21" s="74" t="s">
        <v>163</v>
      </c>
      <c r="D21" s="76" t="s">
        <v>134</v>
      </c>
      <c r="E21" s="75" t="s">
        <v>131</v>
      </c>
      <c r="F21" s="76" t="s">
        <v>144</v>
      </c>
      <c r="G21" s="76" t="s">
        <v>146</v>
      </c>
      <c r="H21" s="75" t="s">
        <v>138</v>
      </c>
      <c r="I21" s="84" t="s">
        <v>32</v>
      </c>
      <c r="J21" s="76">
        <v>1</v>
      </c>
      <c r="K21" s="76">
        <v>25.12</v>
      </c>
      <c r="L21" s="76">
        <v>25.12</v>
      </c>
      <c r="M21" s="85">
        <v>25.12</v>
      </c>
    </row>
    <row r="22" ht="40" customHeight="1" spans="2:13">
      <c r="B22" s="73">
        <v>18</v>
      </c>
      <c r="C22" s="74" t="s">
        <v>164</v>
      </c>
      <c r="D22" s="76" t="s">
        <v>137</v>
      </c>
      <c r="E22" s="75" t="s">
        <v>148</v>
      </c>
      <c r="F22" s="76" t="s">
        <v>144</v>
      </c>
      <c r="G22" s="76" t="s">
        <v>144</v>
      </c>
      <c r="H22" s="75" t="s">
        <v>153</v>
      </c>
      <c r="I22" s="84" t="s">
        <v>32</v>
      </c>
      <c r="J22" s="76">
        <v>1</v>
      </c>
      <c r="K22" s="76">
        <v>7.76</v>
      </c>
      <c r="L22" s="76">
        <v>7.76</v>
      </c>
      <c r="M22" s="85">
        <v>7.76</v>
      </c>
    </row>
    <row r="23" ht="40" customHeight="1" spans="2:13">
      <c r="B23" s="77"/>
      <c r="C23" s="78"/>
      <c r="D23" s="78"/>
      <c r="E23" s="78"/>
      <c r="F23" s="78"/>
      <c r="G23" s="78"/>
      <c r="H23" s="78"/>
      <c r="I23" s="78"/>
      <c r="J23" s="86">
        <f t="shared" ref="J23:M23" si="0">SUM(J5:J22)</f>
        <v>18</v>
      </c>
      <c r="K23" s="86">
        <f t="shared" si="0"/>
        <v>748.36</v>
      </c>
      <c r="L23" s="86">
        <f t="shared" si="0"/>
        <v>748.36</v>
      </c>
      <c r="M23" s="87">
        <f t="shared" si="0"/>
        <v>748.36</v>
      </c>
    </row>
    <row r="24" s="69" customFormat="1" ht="30" customHeight="1" spans="2:13">
      <c r="B24" s="79" t="s">
        <v>116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8"/>
    </row>
    <row r="25" spans="2:1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</row>
  </sheetData>
  <mergeCells count="3">
    <mergeCell ref="B3:M3"/>
    <mergeCell ref="B24:M24"/>
    <mergeCell ref="B25:M25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24"/>
  <sheetViews>
    <sheetView workbookViewId="0">
      <selection activeCell="D11" sqref="D11"/>
    </sheetView>
  </sheetViews>
  <sheetFormatPr defaultColWidth="9" defaultRowHeight="13.5"/>
  <cols>
    <col min="2" max="3" width="15.625" customWidth="1"/>
    <col min="4" max="4" width="20.625" customWidth="1"/>
    <col min="5" max="7" width="15.625" customWidth="1"/>
    <col min="8" max="11" width="15.625" style="5" customWidth="1"/>
    <col min="12" max="12" width="20.625" customWidth="1"/>
  </cols>
  <sheetData>
    <row r="5" s="1" customFormat="1" ht="30" customHeight="1" spans="2:12">
      <c r="B5" s="7" t="s">
        <v>165</v>
      </c>
      <c r="C5" s="9"/>
      <c r="D5" s="9"/>
      <c r="E5" s="9"/>
      <c r="F5" s="9"/>
      <c r="G5" s="9"/>
      <c r="H5" s="11"/>
      <c r="I5" s="11"/>
      <c r="J5" s="11"/>
      <c r="K5" s="11"/>
      <c r="L5" s="61"/>
    </row>
    <row r="6" s="59" customFormat="1" ht="30" customHeight="1" spans="2:12">
      <c r="B6" s="12" t="s">
        <v>166</v>
      </c>
      <c r="C6" s="19" t="s">
        <v>167</v>
      </c>
      <c r="D6" s="19" t="s">
        <v>168</v>
      </c>
      <c r="E6" s="19" t="s">
        <v>169</v>
      </c>
      <c r="F6" s="19" t="s">
        <v>170</v>
      </c>
      <c r="G6" s="19" t="s">
        <v>171</v>
      </c>
      <c r="H6" s="19" t="s">
        <v>172</v>
      </c>
      <c r="I6" s="18" t="s">
        <v>173</v>
      </c>
      <c r="J6" s="18" t="s">
        <v>174</v>
      </c>
      <c r="K6" s="18" t="s">
        <v>175</v>
      </c>
      <c r="L6" s="62" t="s">
        <v>176</v>
      </c>
    </row>
    <row r="7" ht="35" customHeight="1" spans="2:12">
      <c r="B7" s="60" t="s">
        <v>177</v>
      </c>
      <c r="C7" s="30" t="s">
        <v>117</v>
      </c>
      <c r="D7" s="23">
        <v>191021000022</v>
      </c>
      <c r="E7" s="24" t="s">
        <v>178</v>
      </c>
      <c r="F7" s="24" t="s">
        <v>179</v>
      </c>
      <c r="G7" s="25">
        <v>13.5</v>
      </c>
      <c r="H7" s="24" t="s">
        <v>180</v>
      </c>
      <c r="I7" s="25">
        <v>0.2</v>
      </c>
      <c r="J7" s="25">
        <v>2</v>
      </c>
      <c r="K7" s="25">
        <v>77.5</v>
      </c>
      <c r="L7" s="63">
        <v>43705.6259490741</v>
      </c>
    </row>
    <row r="8" ht="35" customHeight="1" spans="2:12">
      <c r="B8" s="60"/>
      <c r="C8" s="30"/>
      <c r="D8" s="23">
        <v>191021000023</v>
      </c>
      <c r="E8" s="24" t="s">
        <v>178</v>
      </c>
      <c r="F8" s="24" t="s">
        <v>179</v>
      </c>
      <c r="G8" s="25">
        <v>14.5</v>
      </c>
      <c r="H8" s="24"/>
      <c r="I8" s="25"/>
      <c r="J8" s="25"/>
      <c r="K8" s="25"/>
      <c r="L8" s="63">
        <v>43706.6259490741</v>
      </c>
    </row>
    <row r="9" ht="35" customHeight="1" spans="2:12">
      <c r="B9" s="60"/>
      <c r="C9" s="30"/>
      <c r="D9" s="23">
        <v>191021000024</v>
      </c>
      <c r="E9" s="24" t="s">
        <v>178</v>
      </c>
      <c r="F9" s="24" t="s">
        <v>179</v>
      </c>
      <c r="G9" s="25">
        <v>15.5</v>
      </c>
      <c r="H9" s="24"/>
      <c r="I9" s="25"/>
      <c r="J9" s="25"/>
      <c r="K9" s="25"/>
      <c r="L9" s="63">
        <v>43707.6259490741</v>
      </c>
    </row>
    <row r="10" ht="35" customHeight="1" spans="2:12">
      <c r="B10" s="60"/>
      <c r="C10" s="30"/>
      <c r="D10" s="23">
        <v>191021000025</v>
      </c>
      <c r="E10" s="24" t="s">
        <v>178</v>
      </c>
      <c r="F10" s="24" t="s">
        <v>179</v>
      </c>
      <c r="G10" s="25">
        <v>16.5</v>
      </c>
      <c r="H10" s="24"/>
      <c r="I10" s="25"/>
      <c r="J10" s="25"/>
      <c r="K10" s="25"/>
      <c r="L10" s="63">
        <v>43708.6259490741</v>
      </c>
    </row>
    <row r="11" ht="35" customHeight="1" spans="2:12">
      <c r="B11" s="60"/>
      <c r="C11" s="30"/>
      <c r="D11" s="23">
        <v>191021000026</v>
      </c>
      <c r="E11" s="24" t="s">
        <v>178</v>
      </c>
      <c r="F11" s="24" t="s">
        <v>179</v>
      </c>
      <c r="G11" s="25">
        <v>17.5</v>
      </c>
      <c r="H11" s="24"/>
      <c r="I11" s="25"/>
      <c r="J11" s="25"/>
      <c r="K11" s="25"/>
      <c r="L11" s="63">
        <v>43709.6259490741</v>
      </c>
    </row>
    <row r="12" ht="1" customHeight="1" spans="2:12">
      <c r="B12" s="60"/>
      <c r="C12" s="28"/>
      <c r="D12" s="28"/>
      <c r="E12" s="28"/>
      <c r="F12" s="28"/>
      <c r="G12" s="29"/>
      <c r="H12" s="28"/>
      <c r="I12" s="29"/>
      <c r="J12" s="29"/>
      <c r="K12" s="29"/>
      <c r="L12" s="64"/>
    </row>
    <row r="13" ht="35" customHeight="1" spans="2:12">
      <c r="B13" s="60"/>
      <c r="C13" s="30" t="s">
        <v>181</v>
      </c>
      <c r="D13" s="23">
        <v>191021000023</v>
      </c>
      <c r="E13" s="24" t="s">
        <v>182</v>
      </c>
      <c r="F13" s="24" t="s">
        <v>183</v>
      </c>
      <c r="G13" s="25">
        <v>77.5</v>
      </c>
      <c r="H13" s="24" t="s">
        <v>180</v>
      </c>
      <c r="I13" s="25">
        <v>0.2</v>
      </c>
      <c r="J13" s="25">
        <v>2</v>
      </c>
      <c r="K13" s="25">
        <v>77.5</v>
      </c>
      <c r="L13" s="63">
        <v>43763.9937037037</v>
      </c>
    </row>
    <row r="14" ht="1" customHeight="1" spans="2:12">
      <c r="B14" s="60"/>
      <c r="C14" s="28"/>
      <c r="D14" s="28"/>
      <c r="E14" s="28"/>
      <c r="F14" s="28"/>
      <c r="G14" s="29"/>
      <c r="H14" s="28"/>
      <c r="I14" s="29"/>
      <c r="J14" s="29"/>
      <c r="K14" s="29"/>
      <c r="L14" s="64"/>
    </row>
    <row r="15" ht="35" customHeight="1" spans="2:12">
      <c r="B15" s="60"/>
      <c r="C15" s="30" t="s">
        <v>184</v>
      </c>
      <c r="D15" s="23">
        <v>191021000024</v>
      </c>
      <c r="E15" s="24" t="s">
        <v>185</v>
      </c>
      <c r="F15" s="24" t="s">
        <v>186</v>
      </c>
      <c r="G15" s="25">
        <v>77.5</v>
      </c>
      <c r="H15" s="24" t="s">
        <v>180</v>
      </c>
      <c r="I15" s="25">
        <v>0.2</v>
      </c>
      <c r="J15" s="25">
        <v>2</v>
      </c>
      <c r="K15" s="25">
        <v>77.5</v>
      </c>
      <c r="L15" s="63">
        <v>43763.9787152778</v>
      </c>
    </row>
    <row r="16" ht="1" customHeight="1" spans="2:12">
      <c r="B16" s="60"/>
      <c r="C16" s="28"/>
      <c r="D16" s="28"/>
      <c r="E16" s="28"/>
      <c r="F16" s="28"/>
      <c r="G16" s="29"/>
      <c r="H16" s="28"/>
      <c r="I16" s="29"/>
      <c r="J16" s="29"/>
      <c r="K16" s="29"/>
      <c r="L16" s="64"/>
    </row>
    <row r="17" ht="35" customHeight="1" spans="2:12">
      <c r="B17" s="60"/>
      <c r="C17" s="30" t="s">
        <v>187</v>
      </c>
      <c r="D17" s="23">
        <v>191021000025</v>
      </c>
      <c r="E17" s="30" t="s">
        <v>178</v>
      </c>
      <c r="F17" s="30" t="s">
        <v>188</v>
      </c>
      <c r="G17" s="31">
        <v>77.5</v>
      </c>
      <c r="H17" s="24" t="s">
        <v>180</v>
      </c>
      <c r="I17" s="25">
        <v>0.2</v>
      </c>
      <c r="J17" s="25">
        <v>2</v>
      </c>
      <c r="K17" s="25">
        <v>77.5</v>
      </c>
      <c r="L17" s="65">
        <v>43750.4313541667</v>
      </c>
    </row>
    <row r="18" ht="1" customHeight="1" spans="2:12">
      <c r="B18" s="60"/>
      <c r="C18" s="28"/>
      <c r="D18" s="28"/>
      <c r="E18" s="28"/>
      <c r="F18" s="28"/>
      <c r="G18" s="29"/>
      <c r="H18" s="28"/>
      <c r="I18" s="29"/>
      <c r="J18" s="29"/>
      <c r="K18" s="29"/>
      <c r="L18" s="64"/>
    </row>
    <row r="19" ht="35" customHeight="1" spans="2:12">
      <c r="B19" s="60"/>
      <c r="C19" s="30" t="s">
        <v>189</v>
      </c>
      <c r="D19" s="23">
        <v>191021000026</v>
      </c>
      <c r="E19" s="24" t="s">
        <v>190</v>
      </c>
      <c r="F19" s="24" t="s">
        <v>179</v>
      </c>
      <c r="G19" s="25">
        <v>77.5</v>
      </c>
      <c r="H19" s="24" t="s">
        <v>180</v>
      </c>
      <c r="I19" s="25">
        <v>0.2</v>
      </c>
      <c r="J19" s="25">
        <v>2</v>
      </c>
      <c r="K19" s="25">
        <v>77.5</v>
      </c>
      <c r="L19" s="63">
        <v>43751.5783912037</v>
      </c>
    </row>
    <row r="20" ht="1" customHeight="1" spans="2:12">
      <c r="B20" s="60"/>
      <c r="C20" s="28"/>
      <c r="D20" s="28"/>
      <c r="E20" s="28"/>
      <c r="F20" s="28"/>
      <c r="G20" s="29"/>
      <c r="H20" s="28"/>
      <c r="I20" s="29"/>
      <c r="J20" s="29"/>
      <c r="K20" s="29"/>
      <c r="L20" s="64"/>
    </row>
    <row r="21" ht="35" customHeight="1" spans="2:12">
      <c r="B21" s="60"/>
      <c r="C21" s="30" t="s">
        <v>191</v>
      </c>
      <c r="D21" s="23">
        <v>191021000027</v>
      </c>
      <c r="E21" s="24" t="s">
        <v>144</v>
      </c>
      <c r="F21" s="24" t="s">
        <v>183</v>
      </c>
      <c r="G21" s="25">
        <v>77.5</v>
      </c>
      <c r="H21" s="24" t="s">
        <v>180</v>
      </c>
      <c r="I21" s="25">
        <v>0.2</v>
      </c>
      <c r="J21" s="25">
        <v>2</v>
      </c>
      <c r="K21" s="25">
        <v>77.5</v>
      </c>
      <c r="L21" s="63">
        <v>43752.5783912037</v>
      </c>
    </row>
    <row r="22" ht="1" customHeight="1" spans="2:12">
      <c r="B22" s="32"/>
      <c r="C22" s="28"/>
      <c r="D22" s="28"/>
      <c r="E22" s="28"/>
      <c r="F22" s="28"/>
      <c r="G22" s="28"/>
      <c r="H22" s="28"/>
      <c r="I22" s="29"/>
      <c r="J22" s="29"/>
      <c r="K22" s="29"/>
      <c r="L22" s="64"/>
    </row>
    <row r="23" ht="35" customHeight="1" spans="2:12">
      <c r="B23" s="34"/>
      <c r="C23" s="36"/>
      <c r="D23" s="36"/>
      <c r="E23" s="36"/>
      <c r="F23" s="37"/>
      <c r="G23" s="38">
        <f>SUM(G7:G22)</f>
        <v>465</v>
      </c>
      <c r="H23" s="39"/>
      <c r="I23" s="38">
        <f>SUM(I7:I22)</f>
        <v>1.2</v>
      </c>
      <c r="J23" s="38">
        <f>SUM(J7:J22)</f>
        <v>12</v>
      </c>
      <c r="K23" s="38">
        <f>SUM(K7:K22)</f>
        <v>465</v>
      </c>
      <c r="L23" s="66"/>
    </row>
    <row r="24" s="1" customFormat="1" ht="30" customHeight="1" spans="2:12">
      <c r="B24" s="40" t="s">
        <v>116</v>
      </c>
      <c r="C24" s="42"/>
      <c r="D24" s="42"/>
      <c r="E24" s="42"/>
      <c r="F24" s="42"/>
      <c r="G24" s="42"/>
      <c r="H24" s="42"/>
      <c r="I24" s="42"/>
      <c r="J24" s="42"/>
      <c r="K24" s="42"/>
      <c r="L24" s="67"/>
    </row>
  </sheetData>
  <mergeCells count="7">
    <mergeCell ref="B24:L24"/>
    <mergeCell ref="B7:B21"/>
    <mergeCell ref="C7:C11"/>
    <mergeCell ref="H7:H11"/>
    <mergeCell ref="I7:I11"/>
    <mergeCell ref="J7:J11"/>
    <mergeCell ref="K7:K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25"/>
  <sheetViews>
    <sheetView workbookViewId="0">
      <selection activeCell="L8" sqref="L8:L12"/>
    </sheetView>
  </sheetViews>
  <sheetFormatPr defaultColWidth="9" defaultRowHeight="13.5"/>
  <cols>
    <col min="2" max="2" width="15.625" customWidth="1"/>
    <col min="3" max="3" width="15.625" style="3" customWidth="1"/>
    <col min="4" max="4" width="20.625" customWidth="1"/>
    <col min="5" max="6" width="15.625" customWidth="1"/>
    <col min="7" max="7" width="15.625" style="4" customWidth="1"/>
    <col min="8" max="11" width="15.625" style="5" customWidth="1"/>
    <col min="12" max="14" width="15.625" style="6" customWidth="1"/>
  </cols>
  <sheetData>
    <row r="5" s="1" customFormat="1" ht="30" customHeight="1" spans="2:14">
      <c r="B5" s="7" t="s">
        <v>34</v>
      </c>
      <c r="C5" s="8"/>
      <c r="D5" s="9"/>
      <c r="E5" s="9"/>
      <c r="F5" s="9"/>
      <c r="G5" s="10"/>
      <c r="H5" s="11"/>
      <c r="I5" s="11"/>
      <c r="J5" s="11"/>
      <c r="K5" s="11"/>
      <c r="L5" s="44"/>
      <c r="M5" s="44"/>
      <c r="N5" s="45"/>
    </row>
    <row r="6" s="2" customFormat="1" ht="15" customHeight="1" spans="2:14">
      <c r="B6" s="12" t="s">
        <v>166</v>
      </c>
      <c r="C6" s="13" t="s">
        <v>17</v>
      </c>
      <c r="D6" s="14" t="s">
        <v>192</v>
      </c>
      <c r="E6" s="14" t="s">
        <v>121</v>
      </c>
      <c r="F6" s="14" t="s">
        <v>122</v>
      </c>
      <c r="G6" s="15" t="s">
        <v>171</v>
      </c>
      <c r="H6" s="16" t="s">
        <v>172</v>
      </c>
      <c r="I6" s="46" t="s">
        <v>173</v>
      </c>
      <c r="J6" s="46" t="s">
        <v>174</v>
      </c>
      <c r="K6" s="46" t="s">
        <v>193</v>
      </c>
      <c r="L6" s="46" t="s">
        <v>194</v>
      </c>
      <c r="M6" s="18"/>
      <c r="N6" s="47"/>
    </row>
    <row r="7" s="2" customFormat="1" ht="15" customHeight="1" spans="2:14">
      <c r="B7" s="17"/>
      <c r="C7" s="18"/>
      <c r="D7" s="19"/>
      <c r="E7" s="19"/>
      <c r="F7" s="19"/>
      <c r="G7" s="20"/>
      <c r="H7" s="19"/>
      <c r="I7" s="18"/>
      <c r="J7" s="18"/>
      <c r="K7" s="18"/>
      <c r="L7" s="48" t="s">
        <v>195</v>
      </c>
      <c r="M7" s="48" t="s">
        <v>196</v>
      </c>
      <c r="N7" s="49" t="s">
        <v>197</v>
      </c>
    </row>
    <row r="8" ht="35" customHeight="1" spans="2:14">
      <c r="B8" s="21" t="s">
        <v>198</v>
      </c>
      <c r="C8" s="22" t="s">
        <v>199</v>
      </c>
      <c r="D8" s="23">
        <v>191021000022</v>
      </c>
      <c r="E8" s="24" t="s">
        <v>178</v>
      </c>
      <c r="F8" s="24" t="s">
        <v>179</v>
      </c>
      <c r="G8" s="25">
        <v>13.5</v>
      </c>
      <c r="H8" s="26" t="s">
        <v>180</v>
      </c>
      <c r="I8" s="25">
        <v>0.2</v>
      </c>
      <c r="J8" s="25">
        <v>2</v>
      </c>
      <c r="K8" s="25">
        <v>77.5</v>
      </c>
      <c r="L8" s="50" t="s">
        <v>200</v>
      </c>
      <c r="M8" s="51" t="s">
        <v>201</v>
      </c>
      <c r="N8" s="52" t="s">
        <v>201</v>
      </c>
    </row>
    <row r="9" ht="35" customHeight="1" spans="2:14">
      <c r="B9" s="21"/>
      <c r="C9" s="22"/>
      <c r="D9" s="23">
        <v>191021000023</v>
      </c>
      <c r="E9" s="24" t="s">
        <v>178</v>
      </c>
      <c r="F9" s="24" t="s">
        <v>179</v>
      </c>
      <c r="G9" s="25">
        <v>14.5</v>
      </c>
      <c r="H9" s="26"/>
      <c r="I9" s="25"/>
      <c r="J9" s="25"/>
      <c r="K9" s="25"/>
      <c r="L9" s="50" t="s">
        <v>202</v>
      </c>
      <c r="M9" s="51" t="s">
        <v>201</v>
      </c>
      <c r="N9" s="52" t="s">
        <v>201</v>
      </c>
    </row>
    <row r="10" ht="35" customHeight="1" spans="2:14">
      <c r="B10" s="21"/>
      <c r="C10" s="22"/>
      <c r="D10" s="23">
        <v>191021000024</v>
      </c>
      <c r="E10" s="24" t="s">
        <v>178</v>
      </c>
      <c r="F10" s="24" t="s">
        <v>179</v>
      </c>
      <c r="G10" s="25">
        <v>15.5</v>
      </c>
      <c r="H10" s="26"/>
      <c r="I10" s="25"/>
      <c r="J10" s="25"/>
      <c r="K10" s="25"/>
      <c r="L10" s="50" t="s">
        <v>203</v>
      </c>
      <c r="M10" s="50" t="s">
        <v>203</v>
      </c>
      <c r="N10" s="53" t="s">
        <v>203</v>
      </c>
    </row>
    <row r="11" ht="35" customHeight="1" spans="2:14">
      <c r="B11" s="21"/>
      <c r="C11" s="22"/>
      <c r="D11" s="23">
        <v>191021000025</v>
      </c>
      <c r="E11" s="24" t="s">
        <v>178</v>
      </c>
      <c r="F11" s="24" t="s">
        <v>179</v>
      </c>
      <c r="G11" s="25">
        <v>16.5</v>
      </c>
      <c r="H11" s="26"/>
      <c r="I11" s="25"/>
      <c r="J11" s="25"/>
      <c r="K11" s="25"/>
      <c r="L11" s="50" t="s">
        <v>204</v>
      </c>
      <c r="M11" s="51" t="s">
        <v>201</v>
      </c>
      <c r="N11" s="52" t="s">
        <v>201</v>
      </c>
    </row>
    <row r="12" ht="35" customHeight="1" spans="2:14">
      <c r="B12" s="21"/>
      <c r="C12" s="22"/>
      <c r="D12" s="23">
        <v>191021000026</v>
      </c>
      <c r="E12" s="24" t="s">
        <v>178</v>
      </c>
      <c r="F12" s="24" t="s">
        <v>179</v>
      </c>
      <c r="G12" s="25">
        <v>17.5</v>
      </c>
      <c r="H12" s="26"/>
      <c r="I12" s="25"/>
      <c r="J12" s="25"/>
      <c r="K12" s="25"/>
      <c r="L12" s="51" t="s">
        <v>201</v>
      </c>
      <c r="M12" s="51" t="s">
        <v>201</v>
      </c>
      <c r="N12" s="52" t="s">
        <v>201</v>
      </c>
    </row>
    <row r="13" ht="1" customHeight="1" spans="2:14">
      <c r="B13" s="21"/>
      <c r="C13" s="27"/>
      <c r="D13" s="28"/>
      <c r="E13" s="28"/>
      <c r="F13" s="28"/>
      <c r="G13" s="29"/>
      <c r="H13" s="28"/>
      <c r="I13" s="29"/>
      <c r="J13" s="29"/>
      <c r="K13" s="29"/>
      <c r="L13" s="54"/>
      <c r="M13" s="54"/>
      <c r="N13" s="55"/>
    </row>
    <row r="14" ht="35" customHeight="1" spans="2:14">
      <c r="B14" s="21"/>
      <c r="C14" s="22" t="s">
        <v>205</v>
      </c>
      <c r="D14" s="23">
        <v>191021000023</v>
      </c>
      <c r="E14" s="24" t="s">
        <v>182</v>
      </c>
      <c r="F14" s="24" t="s">
        <v>183</v>
      </c>
      <c r="G14" s="25">
        <v>77.5</v>
      </c>
      <c r="H14" s="24" t="s">
        <v>180</v>
      </c>
      <c r="I14" s="25">
        <v>0.2</v>
      </c>
      <c r="J14" s="25">
        <v>2</v>
      </c>
      <c r="K14" s="25">
        <v>77.5</v>
      </c>
      <c r="L14" s="51" t="s">
        <v>201</v>
      </c>
      <c r="M14" s="51" t="s">
        <v>201</v>
      </c>
      <c r="N14" s="52" t="s">
        <v>201</v>
      </c>
    </row>
    <row r="15" ht="1" customHeight="1" spans="2:14">
      <c r="B15" s="21"/>
      <c r="C15" s="27"/>
      <c r="D15" s="28"/>
      <c r="E15" s="28"/>
      <c r="F15" s="28"/>
      <c r="G15" s="29"/>
      <c r="H15" s="28"/>
      <c r="I15" s="29"/>
      <c r="J15" s="29"/>
      <c r="K15" s="29"/>
      <c r="L15" s="54"/>
      <c r="M15" s="54"/>
      <c r="N15" s="55"/>
    </row>
    <row r="16" ht="35" customHeight="1" spans="2:14">
      <c r="B16" s="21"/>
      <c r="C16" s="22" t="s">
        <v>206</v>
      </c>
      <c r="D16" s="23">
        <v>191021000024</v>
      </c>
      <c r="E16" s="24" t="s">
        <v>185</v>
      </c>
      <c r="F16" s="24" t="s">
        <v>186</v>
      </c>
      <c r="G16" s="25">
        <v>77.5</v>
      </c>
      <c r="H16" s="24" t="s">
        <v>180</v>
      </c>
      <c r="I16" s="25">
        <v>0.2</v>
      </c>
      <c r="J16" s="25">
        <v>2</v>
      </c>
      <c r="K16" s="25">
        <v>77.5</v>
      </c>
      <c r="L16" s="51" t="s">
        <v>201</v>
      </c>
      <c r="M16" s="51" t="s">
        <v>201</v>
      </c>
      <c r="N16" s="52" t="s">
        <v>201</v>
      </c>
    </row>
    <row r="17" ht="1" customHeight="1" spans="2:14">
      <c r="B17" s="21"/>
      <c r="C17" s="27"/>
      <c r="D17" s="28"/>
      <c r="E17" s="28"/>
      <c r="F17" s="28"/>
      <c r="G17" s="29"/>
      <c r="H17" s="28"/>
      <c r="I17" s="29"/>
      <c r="J17" s="29"/>
      <c r="K17" s="29"/>
      <c r="L17" s="54"/>
      <c r="M17" s="54"/>
      <c r="N17" s="55"/>
    </row>
    <row r="18" ht="35" customHeight="1" spans="2:14">
      <c r="B18" s="21"/>
      <c r="C18" s="22" t="s">
        <v>207</v>
      </c>
      <c r="D18" s="23">
        <v>191021000025</v>
      </c>
      <c r="E18" s="30" t="s">
        <v>178</v>
      </c>
      <c r="F18" s="30" t="s">
        <v>188</v>
      </c>
      <c r="G18" s="31">
        <v>77.5</v>
      </c>
      <c r="H18" s="24" t="s">
        <v>180</v>
      </c>
      <c r="I18" s="25">
        <v>0.2</v>
      </c>
      <c r="J18" s="25">
        <v>2</v>
      </c>
      <c r="K18" s="25">
        <v>77.5</v>
      </c>
      <c r="L18" s="51" t="s">
        <v>201</v>
      </c>
      <c r="M18" s="51" t="s">
        <v>201</v>
      </c>
      <c r="N18" s="52" t="s">
        <v>201</v>
      </c>
    </row>
    <row r="19" ht="1" customHeight="1" spans="2:14">
      <c r="B19" s="21"/>
      <c r="C19" s="27"/>
      <c r="D19" s="28"/>
      <c r="E19" s="28"/>
      <c r="F19" s="28"/>
      <c r="G19" s="29"/>
      <c r="H19" s="28"/>
      <c r="I19" s="29"/>
      <c r="J19" s="29"/>
      <c r="K19" s="29"/>
      <c r="L19" s="54"/>
      <c r="M19" s="54"/>
      <c r="N19" s="55"/>
    </row>
    <row r="20" ht="35" customHeight="1" spans="2:14">
      <c r="B20" s="21"/>
      <c r="C20" s="22" t="s">
        <v>208</v>
      </c>
      <c r="D20" s="23">
        <v>191021000026</v>
      </c>
      <c r="E20" s="24" t="s">
        <v>190</v>
      </c>
      <c r="F20" s="24" t="s">
        <v>179</v>
      </c>
      <c r="G20" s="25">
        <v>77.5</v>
      </c>
      <c r="H20" s="24" t="s">
        <v>180</v>
      </c>
      <c r="I20" s="25">
        <v>0.2</v>
      </c>
      <c r="J20" s="25">
        <v>2</v>
      </c>
      <c r="K20" s="25">
        <v>77.5</v>
      </c>
      <c r="L20" s="51" t="s">
        <v>201</v>
      </c>
      <c r="M20" s="51" t="s">
        <v>201</v>
      </c>
      <c r="N20" s="52" t="s">
        <v>201</v>
      </c>
    </row>
    <row r="21" ht="1" customHeight="1" spans="2:14">
      <c r="B21" s="21"/>
      <c r="C21" s="27"/>
      <c r="D21" s="28"/>
      <c r="E21" s="28"/>
      <c r="F21" s="28"/>
      <c r="G21" s="29"/>
      <c r="H21" s="28"/>
      <c r="I21" s="29"/>
      <c r="J21" s="29"/>
      <c r="K21" s="29"/>
      <c r="L21" s="54"/>
      <c r="M21" s="54"/>
      <c r="N21" s="55"/>
    </row>
    <row r="22" ht="35" customHeight="1" spans="2:14">
      <c r="B22" s="21"/>
      <c r="C22" s="22" t="s">
        <v>209</v>
      </c>
      <c r="D22" s="23">
        <v>191021000027</v>
      </c>
      <c r="E22" s="24" t="s">
        <v>144</v>
      </c>
      <c r="F22" s="24" t="s">
        <v>183</v>
      </c>
      <c r="G22" s="25">
        <v>77.5</v>
      </c>
      <c r="H22" s="24" t="s">
        <v>180</v>
      </c>
      <c r="I22" s="25">
        <v>0.2</v>
      </c>
      <c r="J22" s="25">
        <v>2</v>
      </c>
      <c r="K22" s="25">
        <v>77.5</v>
      </c>
      <c r="L22" s="51" t="s">
        <v>201</v>
      </c>
      <c r="M22" s="51" t="s">
        <v>201</v>
      </c>
      <c r="N22" s="52" t="s">
        <v>201</v>
      </c>
    </row>
    <row r="23" ht="1" customHeight="1" spans="2:14">
      <c r="B23" s="32"/>
      <c r="C23" s="33"/>
      <c r="D23" s="28"/>
      <c r="E23" s="28"/>
      <c r="F23" s="28"/>
      <c r="G23" s="29"/>
      <c r="H23" s="28"/>
      <c r="I23" s="29"/>
      <c r="J23" s="29"/>
      <c r="K23" s="29"/>
      <c r="L23" s="54"/>
      <c r="M23" s="54"/>
      <c r="N23" s="55"/>
    </row>
    <row r="24" ht="35" customHeight="1" spans="2:14">
      <c r="B24" s="34"/>
      <c r="C24" s="35"/>
      <c r="D24" s="36"/>
      <c r="E24" s="36"/>
      <c r="F24" s="37"/>
      <c r="G24" s="38">
        <f t="shared" ref="G24:K24" si="0">SUM(G8:G23)</f>
        <v>465</v>
      </c>
      <c r="H24" s="39"/>
      <c r="I24" s="38">
        <f t="shared" si="0"/>
        <v>1.2</v>
      </c>
      <c r="J24" s="38">
        <f t="shared" si="0"/>
        <v>12</v>
      </c>
      <c r="K24" s="38">
        <f t="shared" si="0"/>
        <v>465</v>
      </c>
      <c r="L24" s="56"/>
      <c r="M24" s="56"/>
      <c r="N24" s="57"/>
    </row>
    <row r="25" s="1" customFormat="1" ht="30" customHeight="1" spans="2:14">
      <c r="B25" s="40" t="s">
        <v>210</v>
      </c>
      <c r="C25" s="41"/>
      <c r="D25" s="42"/>
      <c r="E25" s="42"/>
      <c r="F25" s="42"/>
      <c r="G25" s="43"/>
      <c r="H25" s="42"/>
      <c r="I25" s="42"/>
      <c r="J25" s="42"/>
      <c r="K25" s="42"/>
      <c r="L25" s="41"/>
      <c r="M25" s="41"/>
      <c r="N25" s="58"/>
    </row>
  </sheetData>
  <mergeCells count="18">
    <mergeCell ref="L6:N6"/>
    <mergeCell ref="B25:N25"/>
    <mergeCell ref="B6:B7"/>
    <mergeCell ref="B8:B22"/>
    <mergeCell ref="C6:C7"/>
    <mergeCell ref="C8:C12"/>
    <mergeCell ref="D6:D7"/>
    <mergeCell ref="E6:E7"/>
    <mergeCell ref="F6:F7"/>
    <mergeCell ref="G6:G7"/>
    <mergeCell ref="H6:H7"/>
    <mergeCell ref="H8:H12"/>
    <mergeCell ref="I6:I7"/>
    <mergeCell ref="I8:I12"/>
    <mergeCell ref="J6:J7"/>
    <mergeCell ref="J8:J12"/>
    <mergeCell ref="K6:K7"/>
    <mergeCell ref="K8:K1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F5" rgbClr="E7C728"/>
    <comment s:ref="L7" rgbClr="39CA84"/>
    <comment s:ref="M14" rgbClr="E7C728"/>
    <comment s:ref="M15" rgbClr="E7C728"/>
  </commentList>
  <commentList sheetStid="4">
    <comment s:ref="H5" rgbClr="BD98AC"/>
    <comment s:ref="I5" rgbClr="BD98A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JOB详情</vt:lpstr>
      <vt:lpstr>集装号详情</vt:lpstr>
      <vt:lpstr>详情 考虑</vt:lpstr>
      <vt:lpstr>入库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2019-10-27T06:15:00Z</dcterms:created>
  <dcterms:modified xsi:type="dcterms:W3CDTF">2022-05-24T17:38:54Z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7C542E66CF8E4D9EBCA89966F24C073C</vt:lpwstr>
  </property>
</Properties>
</file>