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入库对话框" sheetId="6" r:id="rId2"/>
    <sheet name="录入费用" sheetId="7" r:id="rId3"/>
    <sheet name="录入费用-价格表" sheetId="8" r:id="rId4"/>
    <sheet name="取消" sheetId="9" r:id="rId5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C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A1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前端备注内容全显示在这里</t>
        </r>
      </text>
    </comment>
    <comment ref="A1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全部入库后，如果货物按体积重计费，提交后，通知对应的业务员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C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C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<sst xmlns="http://schemas.openxmlformats.org/spreadsheetml/2006/main" count="436" uniqueCount="193">
  <si>
    <r>
      <rPr>
        <b/>
        <sz val="10"/>
        <rFont val="Microsoft JhengHei"/>
        <charset val="134"/>
      </rPr>
      <t>全部</t>
    </r>
  </si>
  <si>
    <r>
      <rPr>
        <b/>
        <sz val="10"/>
        <rFont val="Microsoft JhengHei"/>
        <charset val="134"/>
      </rPr>
      <t>尼日利亚</t>
    </r>
  </si>
  <si>
    <r>
      <rPr>
        <b/>
        <sz val="10"/>
        <rFont val="Microsoft JhengHei"/>
        <charset val="134"/>
      </rPr>
      <t>加纳</t>
    </r>
  </si>
  <si>
    <r>
      <rPr>
        <b/>
        <sz val="10"/>
        <rFont val="Microsoft JhengHei"/>
        <charset val="134"/>
      </rPr>
      <t>几内亚</t>
    </r>
  </si>
  <si>
    <r>
      <rPr>
        <b/>
        <sz val="10"/>
        <rFont val="Microsoft JhengHei"/>
        <charset val="134"/>
      </rPr>
      <t>中国</t>
    </r>
  </si>
  <si>
    <r>
      <rPr>
        <b/>
        <sz val="10"/>
        <rFont val="Microsoft JhengHei"/>
        <charset val="134"/>
      </rPr>
      <t>拉各斯</t>
    </r>
  </si>
  <si>
    <r>
      <rPr>
        <b/>
        <sz val="10"/>
        <rFont val="Microsoft JhengHei"/>
        <charset val="134"/>
      </rPr>
      <t>卡诺</t>
    </r>
  </si>
  <si>
    <r>
      <rPr>
        <b/>
        <sz val="10"/>
        <rFont val="Microsoft JhengHei"/>
        <charset val="134"/>
      </rPr>
      <t>阿布贾</t>
    </r>
  </si>
  <si>
    <r>
      <rPr>
        <b/>
        <sz val="10"/>
        <rFont val="Microsoft JhengHei"/>
        <charset val="134"/>
      </rPr>
      <t>奥尼查</t>
    </r>
  </si>
  <si>
    <r>
      <rPr>
        <b/>
        <sz val="10"/>
        <rFont val="Microsoft JhengHei"/>
        <charset val="134"/>
      </rPr>
      <t>伊科贾站点</t>
    </r>
  </si>
  <si>
    <r>
      <rPr>
        <b/>
        <sz val="10"/>
        <rFont val="Microsoft JhengHei"/>
        <charset val="134"/>
      </rPr>
      <t>电脑村站点</t>
    </r>
  </si>
  <si>
    <r>
      <rPr>
        <b/>
        <sz val="10"/>
        <rFont val="Microsoft JhengHei"/>
        <charset val="134"/>
      </rPr>
      <t>维岛站点</t>
    </r>
  </si>
  <si>
    <r>
      <rPr>
        <b/>
        <sz val="10"/>
        <rFont val="Microsoft JhengHei"/>
        <charset val="134"/>
      </rPr>
      <t>贸易展会站点</t>
    </r>
  </si>
  <si>
    <t>选择起始日期</t>
  </si>
  <si>
    <t>选择结束日期</t>
  </si>
  <si>
    <t>选择物流状态</t>
  </si>
  <si>
    <t>选择支付方式</t>
  </si>
  <si>
    <t>选择支付状态</t>
  </si>
  <si>
    <t>选择业务员</t>
  </si>
  <si>
    <r>
      <rPr>
        <b/>
        <sz val="10"/>
        <color theme="1"/>
        <rFont val="Microsoft JhengHei"/>
        <charset val="134"/>
      </rPr>
      <t>输入订单号</t>
    </r>
    <r>
      <rPr>
        <b/>
        <sz val="10"/>
        <color theme="1"/>
        <rFont val="Arial"/>
        <charset val="134"/>
      </rPr>
      <t>/JOB/</t>
    </r>
    <r>
      <rPr>
        <b/>
        <sz val="10"/>
        <color theme="1"/>
        <rFont val="Microsoft JhengHei"/>
        <charset val="134"/>
      </rPr>
      <t>集装号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Microsoft JhengHei"/>
        <charset val="134"/>
      </rPr>
      <t>快递单号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Microsoft JhengHei"/>
        <charset val="134"/>
      </rPr>
      <t>电话字段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Microsoft JhengHei"/>
        <charset val="134"/>
      </rPr>
      <t>收发货人名字可查询</t>
    </r>
  </si>
  <si>
    <r>
      <rPr>
        <b/>
        <sz val="10"/>
        <color theme="0"/>
        <rFont val="Microsoft JhengHei"/>
        <charset val="134"/>
      </rPr>
      <t>序号</t>
    </r>
  </si>
  <si>
    <r>
      <rPr>
        <b/>
        <sz val="10"/>
        <color theme="0"/>
        <rFont val="Microsoft JhengHei"/>
        <charset val="134"/>
      </rPr>
      <t>运单号</t>
    </r>
  </si>
  <si>
    <t>业务员</t>
  </si>
  <si>
    <r>
      <rPr>
        <b/>
        <sz val="10"/>
        <color theme="0"/>
        <rFont val="Microsoft JhengHei"/>
        <charset val="134"/>
      </rPr>
      <t>用户</t>
    </r>
  </si>
  <si>
    <r>
      <rPr>
        <b/>
        <sz val="10"/>
        <color theme="0"/>
        <rFont val="Microsoft JhengHei"/>
        <charset val="134"/>
      </rPr>
      <t>线路</t>
    </r>
  </si>
  <si>
    <r>
      <rPr>
        <b/>
        <sz val="10"/>
        <color theme="0"/>
        <rFont val="Microsoft JhengHei"/>
        <charset val="134"/>
      </rPr>
      <t>服务类型</t>
    </r>
  </si>
  <si>
    <r>
      <rPr>
        <b/>
        <sz val="10"/>
        <color theme="0"/>
        <rFont val="Microsoft JhengHei"/>
        <charset val="134"/>
      </rPr>
      <t>说明</t>
    </r>
  </si>
  <si>
    <r>
      <rPr>
        <b/>
        <sz val="10"/>
        <color theme="0"/>
        <rFont val="Microsoft JhengHei"/>
        <charset val="134"/>
      </rPr>
      <t>重量</t>
    </r>
    <r>
      <rPr>
        <b/>
        <sz val="10"/>
        <color theme="0"/>
        <rFont val="Arial"/>
        <charset val="134"/>
      </rPr>
      <t>Kg</t>
    </r>
  </si>
  <si>
    <t>件数</t>
  </si>
  <si>
    <t>支付方式/状态</t>
  </si>
  <si>
    <t>物流状态</t>
  </si>
  <si>
    <r>
      <rPr>
        <b/>
        <sz val="10"/>
        <color theme="0"/>
        <rFont val="Microsoft JhengHei"/>
        <charset val="134"/>
      </rPr>
      <t>操作</t>
    </r>
  </si>
  <si>
    <r>
      <rPr>
        <b/>
        <sz val="10"/>
        <color theme="0"/>
        <rFont val="Microsoft JhengHei"/>
        <charset val="134"/>
      </rPr>
      <t>更新日期</t>
    </r>
  </si>
  <si>
    <r>
      <rPr>
        <sz val="10"/>
        <color theme="1"/>
        <rFont val="Arial"/>
        <charset val="134"/>
      </rPr>
      <t xml:space="preserve">190828000021 </t>
    </r>
    <r>
      <rPr>
        <sz val="10"/>
        <color theme="9"/>
        <rFont val="宋体"/>
        <charset val="134"/>
      </rPr>
      <t>♻</t>
    </r>
  </si>
  <si>
    <t>Smile</t>
  </si>
  <si>
    <t>Karena</t>
  </si>
  <si>
    <t>CAN.CHN-LOS.NGN</t>
  </si>
  <si>
    <t>特快</t>
  </si>
  <si>
    <r>
      <rPr>
        <sz val="10"/>
        <color theme="1"/>
        <rFont val="Microsoft JhengHei"/>
        <charset val="134"/>
      </rPr>
      <t>普货</t>
    </r>
  </si>
  <si>
    <t>到付  未付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</si>
  <si>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23:50:57</t>
    </r>
  </si>
  <si>
    <t>编辑 打印 @ 取消</t>
  </si>
  <si>
    <r>
      <rPr>
        <sz val="10"/>
        <color theme="1"/>
        <rFont val="Arial"/>
        <charset val="134"/>
      </rPr>
      <t xml:space="preserve">191025000041 </t>
    </r>
    <r>
      <rPr>
        <b/>
        <sz val="10"/>
        <color rgb="FFFF0000"/>
        <rFont val="Arial"/>
        <charset val="134"/>
      </rPr>
      <t>X</t>
    </r>
  </si>
  <si>
    <r>
      <rPr>
        <sz val="10"/>
        <color theme="1"/>
        <rFont val="Microsoft JhengHei"/>
        <charset val="134"/>
      </rPr>
      <t>箴媄子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</si>
  <si>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23:50:56</t>
    </r>
  </si>
  <si>
    <t>Tom</t>
  </si>
  <si>
    <t>其它</t>
  </si>
  <si>
    <t>已入库 IKEJ STA</t>
  </si>
  <si>
    <r>
      <rPr>
        <sz val="10"/>
        <color theme="0"/>
        <rFont val="宋体"/>
        <charset val="134"/>
      </rPr>
      <t>编辑</t>
    </r>
    <r>
      <rPr>
        <sz val="10"/>
        <color theme="0"/>
        <rFont val="Arial"/>
        <charset val="134"/>
      </rPr>
      <t xml:space="preserve"> </t>
    </r>
    <r>
      <rPr>
        <sz val="10"/>
        <color theme="0"/>
        <rFont val="宋体"/>
        <charset val="134"/>
      </rPr>
      <t>打印</t>
    </r>
    <r>
      <rPr>
        <sz val="10"/>
        <color theme="0"/>
        <rFont val="Arial"/>
        <charset val="134"/>
      </rPr>
      <t xml:space="preserve"> @ </t>
    </r>
    <r>
      <rPr>
        <sz val="10"/>
        <color theme="0"/>
        <rFont val="宋体"/>
        <charset val="134"/>
      </rPr>
      <t>取消</t>
    </r>
  </si>
  <si>
    <r>
      <rPr>
        <sz val="10"/>
        <color theme="1"/>
        <rFont val="Microsoft JhengHei"/>
        <charset val="134"/>
      </rPr>
      <t>敏敏</t>
    </r>
    <r>
      <rPr>
        <sz val="10"/>
        <color theme="1"/>
        <rFont val="Arial"/>
        <charset val="134"/>
      </rPr>
      <t>lena</t>
    </r>
  </si>
  <si>
    <r>
      <rPr>
        <sz val="10"/>
        <color theme="1"/>
        <rFont val="Microsoft JhengHei"/>
        <charset val="134"/>
      </rPr>
      <t>良大大</t>
    </r>
  </si>
  <si>
    <t>预付  未付</t>
  </si>
  <si>
    <r>
      <rPr>
        <sz val="10"/>
        <color theme="1"/>
        <rFont val="Microsoft JhengHei"/>
        <charset val="134"/>
      </rPr>
      <t>光明</t>
    </r>
  </si>
  <si>
    <r>
      <rPr>
        <sz val="10"/>
        <color theme="1"/>
        <rFont val="Microsoft JhengHei"/>
        <charset val="134"/>
      </rPr>
      <t>其它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</si>
  <si>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23:50:58</t>
    </r>
  </si>
  <si>
    <r>
      <rPr>
        <sz val="10"/>
        <color theme="1"/>
        <rFont val="Microsoft JhengHei"/>
        <charset val="134"/>
      </rPr>
      <t>小莫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</si>
  <si>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23:50:59</t>
    </r>
  </si>
  <si>
    <r>
      <rPr>
        <sz val="10"/>
        <color theme="1"/>
        <rFont val="Microsoft JhengHei"/>
        <charset val="134"/>
      </rPr>
      <t>普快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</si>
  <si>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23:50:60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</si>
  <si>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23:50:61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</si>
  <si>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23:50:62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</si>
  <si>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23:50:63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</si>
  <si>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23:50:64</t>
    </r>
  </si>
  <si>
    <t>Andi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</si>
  <si>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23:50:65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</si>
  <si>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23:50:66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</si>
  <si>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23:50:67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</si>
  <si>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23:50:68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</si>
  <si>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23:50:69</t>
    </r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</si>
  <si>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2019/10/25 23:50:70</t>
    </r>
  </si>
  <si>
    <t>编辑</t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</si>
  <si>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</si>
  <si>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</si>
  <si>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类别</t>
    </r>
  </si>
  <si>
    <t>说明/品名</t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</si>
  <si>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</si>
  <si>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</si>
  <si>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宋体"/>
        <charset val="134"/>
      </rPr>
      <t>备注</t>
    </r>
  </si>
  <si>
    <r>
      <rPr>
        <b/>
        <sz val="9"/>
        <color theme="1"/>
        <rFont val="Microsoft JhengHei"/>
        <charset val="134"/>
      </rPr>
      <t>入库日期</t>
    </r>
  </si>
  <si>
    <r>
      <rPr>
        <sz val="10"/>
        <color theme="1"/>
        <rFont val="Microsoft JhengHei"/>
        <charset val="134"/>
      </rPr>
      <t>其它公司</t>
    </r>
    <r>
      <rPr>
        <sz val="10"/>
        <color theme="1"/>
        <rFont val="Arial"/>
        <charset val="134"/>
      </rPr>
      <t xml:space="preserve">3000882257    </t>
    </r>
    <r>
      <rPr>
        <sz val="9"/>
        <color theme="1"/>
        <rFont val="Arial"/>
        <charset val="134"/>
      </rPr>
      <t xml:space="preserve">                                         </t>
    </r>
    <r>
      <rPr>
        <sz val="8"/>
        <color theme="1"/>
        <rFont val="Microsoft JhengHei"/>
        <charset val="134"/>
      </rPr>
      <t>已签收</t>
    </r>
    <r>
      <rPr>
        <sz val="8"/>
        <color theme="1"/>
        <rFont val="Arial"/>
        <charset val="134"/>
      </rPr>
      <t>2019/10/25 23:50:56</t>
    </r>
  </si>
  <si>
    <t>日用百货</t>
  </si>
  <si>
    <t>普货                 
   MOBILE PHONE</t>
  </si>
  <si>
    <t>货物易碎，请打木架保护</t>
  </si>
  <si>
    <r>
      <rPr>
        <sz val="9"/>
        <color rgb="FF000000"/>
        <rFont val="Arial"/>
        <charset val="134"/>
      </rPr>
      <t>CABSAMPAO</t>
    </r>
    <r>
      <rPr>
        <sz val="8"/>
        <color rgb="FF000000"/>
        <rFont val="Arial"/>
        <charset val="134"/>
      </rPr>
      <t xml:space="preserve">                2019/10/27 13:14:04</t>
    </r>
  </si>
  <si>
    <r>
      <rPr>
        <sz val="10"/>
        <color theme="0"/>
        <rFont val="Microsoft JhengHei"/>
        <charset val="134"/>
      </rPr>
      <t>顺丰速运SF8</t>
    </r>
    <r>
      <rPr>
        <sz val="10"/>
        <color theme="0"/>
        <rFont val="Arial"/>
        <charset val="134"/>
      </rPr>
      <t>004776958927</t>
    </r>
    <r>
      <rPr>
        <sz val="9"/>
        <color theme="0"/>
        <rFont val="Arial"/>
        <charset val="134"/>
      </rPr>
      <t xml:space="preserve">                                             </t>
    </r>
    <r>
      <rPr>
        <sz val="8"/>
        <color theme="0"/>
        <rFont val="宋体"/>
        <charset val="134"/>
      </rPr>
      <t>已签收</t>
    </r>
    <r>
      <rPr>
        <sz val="8"/>
        <color theme="0"/>
        <rFont val="Arial"/>
        <charset val="134"/>
      </rPr>
      <t>2019/10/25 23:50:56</t>
    </r>
  </si>
  <si>
    <r>
      <rPr>
        <sz val="9"/>
        <color theme="0"/>
        <rFont val="Microsoft JhengHei"/>
        <charset val="134"/>
      </rPr>
      <t>机械</t>
    </r>
    <r>
      <rPr>
        <sz val="9"/>
        <color theme="0"/>
        <rFont val="Arial"/>
        <charset val="134"/>
      </rPr>
      <t>/</t>
    </r>
    <r>
      <rPr>
        <sz val="9"/>
        <color theme="0"/>
        <rFont val="Microsoft JhengHei"/>
        <charset val="134"/>
      </rPr>
      <t>五金</t>
    </r>
    <r>
      <rPr>
        <sz val="9"/>
        <color theme="0"/>
        <rFont val="Arial"/>
        <charset val="134"/>
      </rPr>
      <t>/</t>
    </r>
    <r>
      <rPr>
        <sz val="9"/>
        <color theme="0"/>
        <rFont val="Microsoft JhengHei"/>
        <charset val="134"/>
      </rPr>
      <t>仪表</t>
    </r>
  </si>
  <si>
    <t>非普货            MACHINE PART</t>
  </si>
  <si>
    <r>
      <rPr>
        <sz val="9"/>
        <color theme="0"/>
        <rFont val="Arial"/>
        <charset val="134"/>
      </rPr>
      <t xml:space="preserve">CABSAMPAO </t>
    </r>
    <r>
      <rPr>
        <sz val="8"/>
        <color theme="0"/>
        <rFont val="Arial"/>
        <charset val="134"/>
      </rPr>
      <t xml:space="preserve">               2019/10/27 13:14:04</t>
    </r>
  </si>
  <si>
    <r>
      <rPr>
        <b/>
        <sz val="10"/>
        <color theme="1"/>
        <rFont val="宋体"/>
        <charset val="134"/>
      </rPr>
      <t>重量</t>
    </r>
    <r>
      <rPr>
        <b/>
        <sz val="10"/>
        <color theme="1"/>
        <rFont val="Arial"/>
        <charset val="134"/>
      </rPr>
      <t xml:space="preserve">KG                          </t>
    </r>
    <r>
      <rPr>
        <b/>
        <sz val="10"/>
        <color theme="1"/>
        <rFont val="宋体"/>
        <charset val="134"/>
      </rPr>
      <t>长</t>
    </r>
    <r>
      <rPr>
        <b/>
        <sz val="10"/>
        <color theme="1"/>
        <rFont val="Arial"/>
        <charset val="134"/>
      </rPr>
      <t xml:space="preserve">CM                          </t>
    </r>
    <r>
      <rPr>
        <b/>
        <sz val="10"/>
        <color theme="1"/>
        <rFont val="宋体"/>
        <charset val="134"/>
      </rPr>
      <t>宽</t>
    </r>
    <r>
      <rPr>
        <b/>
        <sz val="10"/>
        <color theme="1"/>
        <rFont val="Arial"/>
        <charset val="134"/>
      </rPr>
      <t xml:space="preserve">CM                          </t>
    </r>
    <r>
      <rPr>
        <b/>
        <sz val="10"/>
        <color theme="1"/>
        <rFont val="宋体"/>
        <charset val="134"/>
      </rPr>
      <t>高</t>
    </r>
    <r>
      <rPr>
        <b/>
        <sz val="10"/>
        <color theme="1"/>
        <rFont val="Arial"/>
        <charset val="134"/>
      </rPr>
      <t xml:space="preserve">CM                          </t>
    </r>
    <r>
      <rPr>
        <b/>
        <sz val="10"/>
        <color theme="1"/>
        <rFont val="宋体"/>
        <charset val="134"/>
      </rPr>
      <t>件数            +添加</t>
    </r>
  </si>
  <si>
    <r>
      <rPr>
        <sz val="10"/>
        <color theme="1"/>
        <rFont val="宋体"/>
        <charset val="134"/>
      </rPr>
      <t xml:space="preserve">                                                                                             </t>
    </r>
    <r>
      <rPr>
        <b/>
        <sz val="11"/>
        <color rgb="FFFF0000"/>
        <rFont val="Arial"/>
        <charset val="134"/>
      </rPr>
      <t xml:space="preserve">       X</t>
    </r>
  </si>
  <si>
    <t>返回  录入费用 提交</t>
  </si>
  <si>
    <t>录入费用</t>
  </si>
  <si>
    <r>
      <rPr>
        <b/>
        <sz val="14"/>
        <color theme="1"/>
        <rFont val="Microsoft JhengHei"/>
        <charset val="134"/>
      </rPr>
      <t>1</t>
    </r>
    <r>
      <rPr>
        <b/>
        <sz val="14"/>
        <color theme="1"/>
        <rFont val="Arial"/>
        <charset val="134"/>
      </rPr>
      <t>91024000040</t>
    </r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</si>
  <si>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 xml:space="preserve"> Smile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</si>
  <si>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</si>
  <si>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</si>
  <si>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</si>
  <si>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</si>
  <si>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</si>
  <si>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</si>
  <si>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</si>
  <si>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</si>
  <si>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</si>
  <si>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</si>
  <si>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</si>
  <si>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</si>
  <si>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</si>
  <si>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</si>
  <si>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</si>
  <si>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</si>
  <si>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</si>
  <si>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</si>
  <si>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</si>
  <si>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</si>
  <si>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</si>
  <si>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</si>
  <si>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</si>
  <si>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r>
      <rPr>
        <b/>
        <sz val="11"/>
        <color theme="1"/>
        <rFont val="Microsoft JhengHei"/>
        <charset val="134"/>
      </rPr>
      <t>录入费用</t>
    </r>
  </si>
  <si>
    <r>
      <rPr>
        <b/>
        <sz val="10"/>
        <color theme="1"/>
        <rFont val="Microsoft JhengHei"/>
        <charset val="134"/>
      </rPr>
      <t>序号</t>
    </r>
  </si>
  <si>
    <r>
      <rPr>
        <b/>
        <sz val="10"/>
        <color theme="1"/>
        <rFont val="Microsoft JhengHei"/>
        <charset val="134"/>
      </rPr>
      <t>单价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</si>
  <si>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数量</t>
    </r>
  </si>
  <si>
    <r>
      <rPr>
        <b/>
        <sz val="10"/>
        <color theme="1"/>
        <rFont val="Microsoft JhengHei"/>
        <charset val="134"/>
      </rPr>
      <t>小计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</si>
  <si>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十添加</t>
    </r>
  </si>
  <si>
    <t>X</t>
  </si>
  <si>
    <r>
      <rPr>
        <b/>
        <sz val="11"/>
        <color rgb="FFFF0000"/>
        <rFont val="Microsoft JhengHei"/>
        <charset val="134"/>
      </rPr>
      <t>总计</t>
    </r>
    <r>
      <rPr>
        <b/>
        <sz val="11"/>
        <color rgb="FFFF0000"/>
        <rFont val="Arial"/>
        <charset val="134"/>
      </rPr>
      <t>USD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</si>
  <si>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</si>
  <si>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t>191024000040</t>
  </si>
  <si>
    <t>CAN.CHN-LOS.NGA</t>
  </si>
  <si>
    <t>普快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</si>
  <si>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</si>
  <si>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</si>
  <si>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</si>
  <si>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</si>
  <si>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</si>
  <si>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</si>
  <si>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</si>
  <si>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</si>
  <si>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</si>
  <si>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</si>
  <si>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</si>
  <si>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</si>
  <si>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</si>
  <si>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</si>
  <si>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</si>
  <si>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</si>
  <si>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</si>
  <si>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</si>
  <si>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</si>
  <si>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</si>
  <si>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</si>
  <si>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</si>
  <si>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</si>
  <si>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</si>
  <si>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</si>
  <si>
    <t>序号</t>
  </si>
  <si>
    <t>单价USD</t>
  </si>
  <si>
    <t>数量</t>
  </si>
  <si>
    <t>小计USD</t>
  </si>
  <si>
    <t>合计USD</t>
  </si>
  <si>
    <t>返回 提交</t>
  </si>
  <si>
    <r>
      <rPr>
        <b/>
        <sz val="14"/>
        <color theme="0"/>
        <rFont val="Microsoft JhengHei"/>
        <charset val="134"/>
      </rPr>
      <t>取消</t>
    </r>
  </si>
  <si>
    <t>191027000006</t>
  </si>
  <si>
    <t>第三方运单</t>
  </si>
  <si>
    <t>订单号</t>
  </si>
  <si>
    <t>状态</t>
  </si>
  <si>
    <t>取消原因</t>
  </si>
  <si>
    <r>
      <rPr>
        <b/>
        <sz val="10"/>
        <color theme="1"/>
        <rFont val="Microsoft JhengHei"/>
        <charset val="134"/>
      </rPr>
      <t>选择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Microsoft JhengHei"/>
        <charset val="134"/>
      </rPr>
      <t>口</t>
    </r>
  </si>
  <si>
    <t>更新日期</t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</si>
  <si>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 xml:space="preserve">3000882257     </t>
    </r>
    <r>
      <rPr>
        <sz val="8"/>
        <color rgb="FF393939"/>
        <rFont val="Arial"/>
        <charset val="134"/>
      </rPr>
      <t xml:space="preserve">                                        </t>
    </r>
    <r>
      <rPr>
        <sz val="8"/>
        <color rgb="FF393939"/>
        <rFont val="Microsoft JhengHei"/>
        <charset val="134"/>
      </rPr>
      <t>已签收</t>
    </r>
    <r>
      <rPr>
        <sz val="8"/>
        <color rgb="FF393939"/>
        <rFont val="Arial"/>
        <charset val="134"/>
      </rPr>
      <t xml:space="preserve"> 2019/10/25 23:50:56</t>
    </r>
  </si>
  <si>
    <t>191027000006 01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</si>
  <si>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2019/10/25 23:50:56</t>
    </r>
  </si>
  <si>
    <t>选择</t>
  </si>
  <si>
    <r>
      <rPr>
        <sz val="11"/>
        <color theme="1"/>
        <rFont val="Microsoft JhengHei"/>
        <charset val="134"/>
      </rPr>
      <t>口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</si>
  <si>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 xml:space="preserve">3000882257     </t>
    </r>
    <r>
      <rPr>
        <sz val="8"/>
        <color rgb="FF393939"/>
        <rFont val="Arial"/>
        <charset val="134"/>
      </rPr>
      <t xml:space="preserve">                                        </t>
    </r>
    <r>
      <rPr>
        <sz val="8"/>
        <color rgb="FF393939"/>
        <rFont val="Microsoft JhengHei"/>
        <charset val="134"/>
      </rPr>
      <t>已签收</t>
    </r>
    <r>
      <rPr>
        <sz val="8"/>
        <color rgb="FF393939"/>
        <rFont val="Arial"/>
        <charset val="134"/>
      </rPr>
      <t xml:space="preserve"> 2019/10/25 23:50:57</t>
    </r>
  </si>
  <si>
    <t>191027000006 02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</si>
  <si>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2019/10/25 23:50:57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</si>
  <si>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 xml:space="preserve">3000882257     </t>
    </r>
    <r>
      <rPr>
        <sz val="8"/>
        <color rgb="FF393939"/>
        <rFont val="Arial"/>
        <charset val="134"/>
      </rPr>
      <t xml:space="preserve">                                        </t>
    </r>
    <r>
      <rPr>
        <sz val="8"/>
        <color rgb="FF393939"/>
        <rFont val="Microsoft JhengHei"/>
        <charset val="134"/>
      </rPr>
      <t>已签收</t>
    </r>
    <r>
      <rPr>
        <sz val="8"/>
        <color rgb="FF393939"/>
        <rFont val="Arial"/>
        <charset val="134"/>
      </rPr>
      <t xml:space="preserve"> 2019/10/25 23:50:58</t>
    </r>
  </si>
  <si>
    <t>191027000006 03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</si>
  <si>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2019/10/25 23:50:58</t>
    </r>
  </si>
  <si>
    <r>
      <rPr>
        <sz val="10"/>
        <color theme="0"/>
        <rFont val="Microsoft JhengHei"/>
        <charset val="134"/>
      </rPr>
      <t>其它公司</t>
    </r>
    <r>
      <rPr>
        <sz val="10"/>
        <color theme="0"/>
        <rFont val="Arial"/>
        <charset val="134"/>
      </rPr>
      <t xml:space="preserve">3000882257     </t>
    </r>
    <r>
      <rPr>
        <sz val="8"/>
        <color theme="0"/>
        <rFont val="Arial"/>
        <charset val="134"/>
      </rPr>
      <t xml:space="preserve">                                        </t>
    </r>
    <r>
      <rPr>
        <sz val="8"/>
        <color theme="0"/>
        <rFont val="Microsoft JhengHei"/>
        <charset val="134"/>
      </rPr>
      <t>已签收</t>
    </r>
    <r>
      <rPr>
        <sz val="8"/>
        <color theme="0"/>
        <rFont val="Arial"/>
        <charset val="134"/>
      </rPr>
      <t>2019/10/25 23:50:58</t>
    </r>
  </si>
  <si>
    <r>
      <rPr>
        <sz val="8"/>
        <color theme="0"/>
        <rFont val="Microsoft JhengHei"/>
        <charset val="134"/>
      </rPr>
      <t>已完成</t>
    </r>
    <r>
      <rPr>
        <sz val="8"/>
        <color theme="0"/>
        <rFont val="Arial"/>
        <charset val="134"/>
      </rPr>
      <t xml:space="preserve"> IKEJ STA</t>
    </r>
  </si>
  <si>
    <r>
      <rPr>
        <sz val="11"/>
        <color theme="0"/>
        <rFont val="Microsoft JhengHei"/>
        <charset val="134"/>
      </rPr>
      <t>口</t>
    </r>
  </si>
  <si>
    <t>191027000006 00</t>
  </si>
  <si>
    <r>
      <rPr>
        <b/>
        <sz val="10"/>
        <color theme="1"/>
        <rFont val="宋体"/>
        <charset val="134"/>
      </rPr>
      <t>用户：</t>
    </r>
    <r>
      <rPr>
        <b/>
        <sz val="10"/>
        <color theme="1"/>
        <rFont val="Arial"/>
        <charset val="134"/>
      </rPr>
      <t>SAMPAO</t>
    </r>
  </si>
  <si>
    <r>
      <rPr>
        <b/>
        <sz val="10"/>
        <color theme="1"/>
        <rFont val="Microsoft JhengHei"/>
        <charset val="134"/>
      </rPr>
      <t>业务员：</t>
    </r>
    <r>
      <rPr>
        <b/>
        <sz val="10"/>
        <color theme="1"/>
        <rFont val="Arial"/>
        <charset val="134"/>
      </rPr>
      <t>SMILE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</si>
  <si>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</si>
  <si>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sf1004776958927</t>
    </r>
  </si>
  <si>
    <r>
      <rPr>
        <sz val="10"/>
        <color rgb="FF393939"/>
        <rFont val="Microsoft JhengHei"/>
        <charset val="134"/>
      </rPr>
      <t>百世快递</t>
    </r>
    <r>
      <rPr>
        <sz val="10"/>
        <color rgb="FF393939"/>
        <rFont val="Arial"/>
        <charset val="134"/>
      </rPr>
      <t>70488504307030</t>
    </r>
  </si>
  <si>
    <r>
      <rPr>
        <sz val="10"/>
        <color theme="0"/>
        <rFont val="Microsoft JhengHei"/>
        <charset val="134"/>
      </rPr>
      <t>京东物流</t>
    </r>
    <r>
      <rPr>
        <sz val="10"/>
        <color theme="0"/>
        <rFont val="Arial"/>
        <charset val="134"/>
      </rPr>
      <t>JDVC01600163223</t>
    </r>
  </si>
  <si>
    <t>þ</t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</si>
  <si>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75306035590046</t>
    </r>
  </si>
  <si>
    <r>
      <rPr>
        <sz val="10"/>
        <color rgb="FF393939"/>
        <rFont val="Microsoft JhengHei"/>
        <charset val="134"/>
      </rPr>
      <t>中通速运</t>
    </r>
    <r>
      <rPr>
        <sz val="10"/>
        <color rgb="FF393939"/>
        <rFont val="Arial"/>
        <charset val="134"/>
      </rPr>
      <t>201675289771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</si>
  <si>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FS1004595185115</t>
    </r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</si>
</sst>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0_);\(0.00\)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 "/>
    <numFmt numFmtId="178" formatCode="#,##0.00_ "/>
    <numFmt numFmtId="179" formatCode="0_ "/>
  </numFmts>
  <fonts count="9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2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10"/>
      <color rgb="FF393939"/>
      <name val="Microsoft JhengHei"/>
      <charset val="134"/>
    </font>
    <font>
      <sz val="10"/>
      <color rgb="FF393939"/>
      <name val="Arial"/>
      <charset val="134"/>
    </font>
    <font>
      <sz val="8"/>
      <color theme="1"/>
      <name val="Arial"/>
      <charset val="134"/>
    </font>
    <font>
      <sz val="10"/>
      <color theme="1"/>
      <name val="宋体"/>
      <charset val="134"/>
    </font>
    <font>
      <sz val="10"/>
      <color theme="0"/>
      <name val="Microsoft JhengHei"/>
      <charset val="134"/>
    </font>
    <font>
      <sz val="10"/>
      <color theme="0"/>
      <name val="Arial"/>
      <charset val="134"/>
    </font>
    <font>
      <sz val="8"/>
      <color theme="0"/>
      <name val="Arial"/>
      <charset val="134"/>
    </font>
    <font>
      <sz val="10"/>
      <color theme="0"/>
      <name val="宋体"/>
      <charset val="134"/>
    </font>
    <font>
      <sz val="11"/>
      <color theme="0"/>
      <name val="Arial"/>
      <charset val="134"/>
    </font>
    <font>
      <sz val="9"/>
      <color theme="0"/>
      <name val="Arial"/>
      <charset val="134"/>
    </font>
    <font>
      <sz val="8"/>
      <color theme="1"/>
      <name val="宋体"/>
      <charset val="134"/>
    </font>
    <font>
      <sz val="11"/>
      <color theme="0"/>
      <name val="Wingdings"/>
      <charset val="134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9"/>
      <color rgb="FFFF0000"/>
      <name val="Arial"/>
      <charset val="134"/>
    </font>
    <font>
      <b/>
      <sz val="11"/>
      <color rgb="FFFF0000"/>
      <name val="Arial"/>
      <charset val="134"/>
    </font>
    <font>
      <sz val="9"/>
      <color rgb="FFFF0000"/>
      <name val="Arial"/>
      <charset val="134"/>
    </font>
    <font>
      <b/>
      <sz val="9"/>
      <color rgb="FF0070C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宋体"/>
      <charset val="134"/>
    </font>
    <font>
      <sz val="8"/>
      <color theme="1"/>
      <name val="Microsoft JhengHei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sz val="10"/>
      <color theme="1"/>
      <name val="Microsoft JhengHei"/>
      <charset val="134"/>
    </font>
    <font>
      <b/>
      <sz val="10"/>
      <color rgb="FFFF0000"/>
      <name val="Microsoft JhengHei"/>
      <charset val="134"/>
    </font>
    <font>
      <b/>
      <sz val="10"/>
      <color rgb="FFFF0000"/>
      <name val="宋体"/>
      <charset val="134"/>
    </font>
    <font>
      <sz val="10"/>
      <color theme="1"/>
      <name val="Arial"/>
      <charset val="134"/>
    </font>
    <font>
      <b/>
      <sz val="11"/>
      <color rgb="FFFF0000"/>
      <name val="Microsoft JhengHei"/>
      <charset val="134"/>
    </font>
    <font>
      <sz val="14"/>
      <color theme="1"/>
      <name val="宋体"/>
      <charset val="134"/>
      <scheme val="minor"/>
    </font>
    <font>
      <b/>
      <sz val="16"/>
      <color rgb="FFFF0000"/>
      <name val="宋体"/>
      <charset val="134"/>
    </font>
    <font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sz val="9"/>
      <color theme="1"/>
      <name val="Microsoft JhengHei"/>
      <charset val="134"/>
    </font>
    <font>
      <sz val="9"/>
      <color rgb="FFFF0000"/>
      <name val="宋体"/>
      <charset val="134"/>
    </font>
    <font>
      <sz val="9"/>
      <color rgb="FF000000"/>
      <name val="Arial"/>
      <charset val="134"/>
    </font>
    <font>
      <sz val="9"/>
      <color theme="0"/>
      <name val="Microsoft JhengHei"/>
      <charset val="134"/>
    </font>
    <font>
      <sz val="9"/>
      <color theme="0"/>
      <name val="宋体"/>
      <charset val="134"/>
    </font>
    <font>
      <b/>
      <sz val="8"/>
      <color rgb="FFFFFFFF"/>
      <name val="Arial"/>
      <charset val="134"/>
    </font>
    <font>
      <b/>
      <sz val="8"/>
      <color rgb="FF000000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b/>
      <sz val="10"/>
      <color theme="0"/>
      <name val="Arial"/>
      <charset val="134"/>
    </font>
    <font>
      <b/>
      <sz val="10"/>
      <color theme="0"/>
      <name val="Microsoft JhengHei"/>
      <charset val="134"/>
    </font>
    <font>
      <sz val="10"/>
      <color rgb="FFFF0000"/>
      <name val="Microsoft JhengHei"/>
      <charset val="134"/>
    </font>
    <font>
      <b/>
      <sz val="10"/>
      <color theme="0"/>
      <name val="宋体"/>
      <charset val="134"/>
    </font>
    <font>
      <sz val="10"/>
      <color theme="3"/>
      <name val="Microsoft JhengHei"/>
      <charset val="134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rgb="FF393939"/>
      <name val="Arial"/>
      <charset val="134"/>
    </font>
    <font>
      <sz val="8"/>
      <color rgb="FF393939"/>
      <name val="Microsoft JhengHei"/>
      <charset val="134"/>
    </font>
    <font>
      <sz val="11"/>
      <color theme="1"/>
      <name val="Microsoft JhengHei"/>
      <charset val="134"/>
    </font>
    <font>
      <sz val="8"/>
      <color theme="0"/>
      <name val="Microsoft JhengHei"/>
      <charset val="134"/>
    </font>
    <font>
      <sz val="11"/>
      <color theme="0"/>
      <name val="Microsoft JhengHei"/>
      <charset val="134"/>
    </font>
    <font>
      <b/>
      <sz val="11"/>
      <color rgb="FFFF0000"/>
      <name val="宋体"/>
      <charset val="134"/>
    </font>
    <font>
      <b/>
      <sz val="9"/>
      <color rgb="FF0070C0"/>
      <name val="宋体"/>
      <charset val="134"/>
    </font>
    <font>
      <b/>
      <sz val="8"/>
      <color rgb="FF0070C0"/>
      <name val="宋体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  <font>
      <b/>
      <sz val="9"/>
      <color theme="1"/>
      <name val="Microsoft JhengHei"/>
      <charset val="134"/>
    </font>
    <font>
      <sz val="8"/>
      <color rgb="FF000000"/>
      <name val="Arial"/>
      <charset val="134"/>
    </font>
    <font>
      <sz val="8"/>
      <color theme="0"/>
      <name val="宋体"/>
      <charset val="134"/>
    </font>
    <font>
      <b/>
      <sz val="10"/>
      <name val="Microsoft JhengHei"/>
      <charset val="134"/>
    </font>
    <font>
      <sz val="10"/>
      <color theme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6" fillId="2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0" fillId="29" borderId="11" applyNumberFormat="0" applyFont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10" applyNumberFormat="0" applyFill="0" applyAlignment="0" applyProtection="0">
      <alignment vertical="center"/>
    </xf>
    <xf numFmtId="0" fontId="67" fillId="0" borderId="10" applyNumberFormat="0" applyFill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72" fillId="0" borderId="12" applyNumberFormat="0" applyFill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76" fillId="30" borderId="14" applyNumberFormat="0" applyAlignment="0" applyProtection="0">
      <alignment vertical="center"/>
    </xf>
    <xf numFmtId="0" fontId="71" fillId="30" borderId="9" applyNumberFormat="0" applyAlignment="0" applyProtection="0">
      <alignment vertical="center"/>
    </xf>
    <xf numFmtId="0" fontId="77" fillId="33" borderId="15" applyNumberFormat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75" fillId="0" borderId="13" applyNumberFormat="0" applyFill="0" applyAlignment="0" applyProtection="0">
      <alignment vertical="center"/>
    </xf>
    <xf numFmtId="0" fontId="78" fillId="0" borderId="16" applyNumberFormat="0" applyFill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22" fontId="14" fillId="5" borderId="0" xfId="0" applyNumberFormat="1" applyFont="1" applyFill="1" applyBorder="1" applyAlignment="1">
      <alignment horizontal="center" vertical="center"/>
    </xf>
    <xf numFmtId="22" fontId="1" fillId="5" borderId="0" xfId="0" applyNumberFormat="1" applyFont="1" applyFill="1" applyBorder="1" applyAlignment="1">
      <alignment horizontal="center" vertical="center"/>
    </xf>
    <xf numFmtId="22" fontId="10" fillId="5" borderId="5" xfId="0" applyNumberFormat="1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22" fontId="18" fillId="6" borderId="0" xfId="0" applyNumberFormat="1" applyFont="1" applyFill="1" applyBorder="1" applyAlignment="1">
      <alignment horizontal="center" vertical="center"/>
    </xf>
    <xf numFmtId="22" fontId="19" fillId="6" borderId="0" xfId="0" applyNumberFormat="1" applyFont="1" applyFill="1" applyBorder="1" applyAlignment="1">
      <alignment horizontal="center" vertical="center"/>
    </xf>
    <xf numFmtId="22" fontId="20" fillId="6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/>
    </xf>
    <xf numFmtId="22" fontId="22" fillId="6" borderId="0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176" fontId="24" fillId="3" borderId="4" xfId="0" applyNumberFormat="1" applyFont="1" applyFill="1" applyBorder="1" applyAlignment="1">
      <alignment horizontal="center" vertical="center"/>
    </xf>
    <xf numFmtId="176" fontId="24" fillId="3" borderId="0" xfId="0" applyNumberFormat="1" applyFont="1" applyFill="1" applyBorder="1" applyAlignment="1">
      <alignment horizontal="center" vertical="center"/>
    </xf>
    <xf numFmtId="176" fontId="24" fillId="3" borderId="5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5" fillId="3" borderId="5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26" fillId="7" borderId="4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177" fontId="10" fillId="3" borderId="0" xfId="0" applyNumberFormat="1" applyFont="1" applyFill="1" applyBorder="1" applyAlignment="1">
      <alignment horizontal="center" vertical="center"/>
    </xf>
    <xf numFmtId="22" fontId="13" fillId="3" borderId="5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right" vertical="center"/>
    </xf>
    <xf numFmtId="177" fontId="28" fillId="3" borderId="0" xfId="0" applyNumberFormat="1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0" fontId="29" fillId="7" borderId="0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vertical="center"/>
    </xf>
    <xf numFmtId="0" fontId="28" fillId="7" borderId="0" xfId="0" applyFont="1" applyFill="1" applyBorder="1" applyAlignment="1">
      <alignment horizontal="right" vertical="center"/>
    </xf>
    <xf numFmtId="178" fontId="28" fillId="7" borderId="0" xfId="0" applyNumberFormat="1" applyFont="1" applyFill="1" applyBorder="1" applyAlignment="1">
      <alignment horizontal="center" vertical="center"/>
    </xf>
    <xf numFmtId="0" fontId="30" fillId="7" borderId="5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left" vertical="center"/>
    </xf>
    <xf numFmtId="0" fontId="31" fillId="8" borderId="3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25" fillId="3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horizontal="right" vertical="center"/>
    </xf>
    <xf numFmtId="0" fontId="33" fillId="3" borderId="5" xfId="0" applyFont="1" applyFill="1" applyBorder="1" applyAlignment="1">
      <alignment horizontal="right" vertical="center"/>
    </xf>
    <xf numFmtId="0" fontId="32" fillId="4" borderId="4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25" fillId="4" borderId="0" xfId="0" applyFont="1" applyFill="1" applyBorder="1" applyAlignment="1">
      <alignment vertical="center"/>
    </xf>
    <xf numFmtId="0" fontId="33" fillId="4" borderId="0" xfId="0" applyFont="1" applyFill="1" applyBorder="1" applyAlignment="1">
      <alignment horizontal="right" vertical="center"/>
    </xf>
    <xf numFmtId="0" fontId="33" fillId="4" borderId="5" xfId="0" applyFont="1" applyFill="1" applyBorder="1" applyAlignment="1">
      <alignment horizontal="right"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177" fontId="1" fillId="3" borderId="0" xfId="0" applyNumberFormat="1" applyFont="1" applyFill="1" applyBorder="1" applyAlignment="1">
      <alignment horizontal="center" vertical="center" wrapText="1"/>
    </xf>
    <xf numFmtId="177" fontId="1" fillId="3" borderId="5" xfId="0" applyNumberFormat="1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left" vertical="center" wrapText="1"/>
    </xf>
    <xf numFmtId="0" fontId="34" fillId="3" borderId="0" xfId="0" applyFont="1" applyFill="1" applyBorder="1" applyAlignment="1">
      <alignment horizontal="left" vertical="center" wrapText="1"/>
    </xf>
    <xf numFmtId="0" fontId="34" fillId="3" borderId="5" xfId="0" applyFont="1" applyFill="1" applyBorder="1" applyAlignment="1">
      <alignment horizontal="left" vertical="center" wrapText="1"/>
    </xf>
    <xf numFmtId="0" fontId="35" fillId="3" borderId="4" xfId="0" applyFont="1" applyFill="1" applyBorder="1" applyAlignment="1">
      <alignment horizontal="left" vertical="center" wrapText="1"/>
    </xf>
    <xf numFmtId="0" fontId="35" fillId="3" borderId="0" xfId="0" applyFont="1" applyFill="1" applyBorder="1" applyAlignment="1">
      <alignment horizontal="left" vertical="center" wrapText="1"/>
    </xf>
    <xf numFmtId="0" fontId="35" fillId="3" borderId="5" xfId="0" applyFont="1" applyFill="1" applyBorder="1" applyAlignment="1">
      <alignment horizontal="left" vertical="center" wrapText="1"/>
    </xf>
    <xf numFmtId="0" fontId="35" fillId="3" borderId="6" xfId="0" applyFont="1" applyFill="1" applyBorder="1" applyAlignment="1">
      <alignment horizontal="left" vertical="center" wrapText="1"/>
    </xf>
    <xf numFmtId="0" fontId="35" fillId="3" borderId="7" xfId="0" applyFont="1" applyFill="1" applyBorder="1" applyAlignment="1">
      <alignment horizontal="left" vertical="center" wrapText="1"/>
    </xf>
    <xf numFmtId="0" fontId="35" fillId="3" borderId="8" xfId="0" applyFont="1" applyFill="1" applyBorder="1" applyAlignment="1">
      <alignment horizontal="left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1" fillId="7" borderId="0" xfId="0" applyFont="1" applyFill="1" applyBorder="1" applyAlignment="1">
      <alignment horizontal="center" vertical="center" wrapText="1"/>
    </xf>
    <xf numFmtId="0" fontId="31" fillId="7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36" fillId="7" borderId="4" xfId="0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8" fillId="3" borderId="5" xfId="0" applyFont="1" applyFill="1" applyBorder="1" applyAlignment="1">
      <alignment vertical="center"/>
    </xf>
    <xf numFmtId="0" fontId="26" fillId="3" borderId="4" xfId="0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center" vertical="center"/>
    </xf>
    <xf numFmtId="0" fontId="39" fillId="7" borderId="4" xfId="0" applyFont="1" applyFill="1" applyBorder="1" applyAlignment="1">
      <alignment horizontal="center" vertical="center"/>
    </xf>
    <xf numFmtId="0" fontId="39" fillId="3" borderId="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39" fillId="3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179" fontId="4" fillId="3" borderId="4" xfId="0" applyNumberFormat="1" applyFont="1" applyFill="1" applyBorder="1" applyAlignment="1">
      <alignment horizontal="center" vertical="center" wrapText="1"/>
    </xf>
    <xf numFmtId="179" fontId="4" fillId="3" borderId="0" xfId="0" applyNumberFormat="1" applyFont="1" applyFill="1" applyBorder="1" applyAlignment="1">
      <alignment horizontal="center" vertical="center" wrapText="1"/>
    </xf>
    <xf numFmtId="179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2" fillId="3" borderId="0" xfId="0" applyFont="1" applyFill="1" applyBorder="1" applyAlignment="1">
      <alignment horizontal="left" vertical="center" wrapText="1"/>
    </xf>
    <xf numFmtId="0" fontId="43" fillId="3" borderId="0" xfId="0" applyFont="1" applyFill="1" applyBorder="1" applyAlignment="1">
      <alignment horizontal="left" vertical="center" wrapText="1"/>
    </xf>
    <xf numFmtId="0" fontId="31" fillId="3" borderId="0" xfId="0" applyFont="1" applyFill="1" applyBorder="1" applyAlignment="1">
      <alignment horizontal="left" vertical="center" wrapText="1"/>
    </xf>
    <xf numFmtId="0" fontId="26" fillId="3" borderId="5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44" fillId="3" borderId="0" xfId="0" applyFont="1" applyFill="1" applyBorder="1" applyAlignment="1">
      <alignment horizontal="left" vertical="center" wrapText="1"/>
    </xf>
    <xf numFmtId="0" fontId="44" fillId="3" borderId="5" xfId="0" applyFont="1" applyFill="1" applyBorder="1" applyAlignment="1">
      <alignment horizontal="left" vertical="center" wrapText="1"/>
    </xf>
    <xf numFmtId="0" fontId="44" fillId="7" borderId="4" xfId="0" applyFont="1" applyFill="1" applyBorder="1" applyAlignment="1">
      <alignment horizontal="center" vertical="center" wrapText="1"/>
    </xf>
    <xf numFmtId="0" fontId="44" fillId="7" borderId="0" xfId="0" applyFont="1" applyFill="1" applyBorder="1" applyAlignment="1">
      <alignment horizontal="center" vertical="center" wrapText="1"/>
    </xf>
    <xf numFmtId="0" fontId="45" fillId="7" borderId="0" xfId="0" applyFont="1" applyFill="1" applyBorder="1" applyAlignment="1">
      <alignment horizontal="center" vertical="center" wrapText="1"/>
    </xf>
    <xf numFmtId="0" fontId="44" fillId="7" borderId="5" xfId="0" applyFont="1" applyFill="1" applyBorder="1" applyAlignment="1">
      <alignment horizontal="center" vertical="center" wrapText="1"/>
    </xf>
    <xf numFmtId="0" fontId="36" fillId="3" borderId="4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46" fillId="3" borderId="0" xfId="0" applyFont="1" applyFill="1" applyBorder="1" applyAlignment="1">
      <alignment horizontal="center" vertical="center" wrapText="1"/>
    </xf>
    <xf numFmtId="22" fontId="47" fillId="3" borderId="0" xfId="0" applyNumberFormat="1" applyFont="1" applyFill="1" applyBorder="1" applyAlignment="1">
      <alignment horizontal="center" vertical="center" wrapText="1"/>
    </xf>
    <xf numFmtId="22" fontId="48" fillId="3" borderId="5" xfId="0" applyNumberFormat="1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center" vertical="center" wrapText="1"/>
    </xf>
    <xf numFmtId="0" fontId="49" fillId="6" borderId="0" xfId="0" applyFont="1" applyFill="1" applyBorder="1" applyAlignment="1">
      <alignment horizontal="center" vertical="center" wrapText="1"/>
    </xf>
    <xf numFmtId="22" fontId="50" fillId="6" borderId="0" xfId="0" applyNumberFormat="1" applyFont="1" applyFill="1" applyBorder="1" applyAlignment="1">
      <alignment horizontal="center" vertical="center" wrapText="1"/>
    </xf>
    <xf numFmtId="0" fontId="51" fillId="9" borderId="4" xfId="0" applyFont="1" applyFill="1" applyBorder="1" applyAlignment="1">
      <alignment horizontal="center" vertical="center" wrapText="1"/>
    </xf>
    <xf numFmtId="0" fontId="51" fillId="9" borderId="0" xfId="0" applyFont="1" applyFill="1" applyBorder="1" applyAlignment="1">
      <alignment horizontal="center" vertical="center" wrapText="1"/>
    </xf>
    <xf numFmtId="0" fontId="26" fillId="9" borderId="0" xfId="0" applyFont="1" applyFill="1" applyBorder="1" applyAlignment="1">
      <alignment horizontal="center" vertical="center" wrapText="1"/>
    </xf>
    <xf numFmtId="0" fontId="25" fillId="9" borderId="0" xfId="0" applyFont="1" applyFill="1" applyBorder="1" applyAlignment="1">
      <alignment horizontal="center" vertical="center" wrapText="1"/>
    </xf>
    <xf numFmtId="22" fontId="52" fillId="9" borderId="5" xfId="0" applyNumberFormat="1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left" vertical="center" wrapText="1"/>
    </xf>
    <xf numFmtId="0" fontId="53" fillId="10" borderId="0" xfId="0" applyFont="1" applyFill="1" applyBorder="1" applyAlignment="1">
      <alignment horizontal="left" vertical="center" wrapText="1"/>
    </xf>
    <xf numFmtId="0" fontId="53" fillId="10" borderId="5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39" fillId="3" borderId="0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54" fillId="2" borderId="8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9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5" fillId="11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55" fillId="12" borderId="0" xfId="0" applyFont="1" applyFill="1" applyBorder="1" applyAlignment="1">
      <alignment horizontal="center" vertical="center"/>
    </xf>
    <xf numFmtId="0" fontId="55" fillId="12" borderId="0" xfId="0" applyFont="1" applyFill="1" applyAlignment="1">
      <alignment horizontal="center" vertical="center"/>
    </xf>
    <xf numFmtId="0" fontId="55" fillId="13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center" vertical="center"/>
    </xf>
    <xf numFmtId="179" fontId="39" fillId="0" borderId="0" xfId="0" applyNumberFormat="1" applyFont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59" fillId="5" borderId="0" xfId="0" applyFont="1" applyFill="1" applyBorder="1" applyAlignment="1">
      <alignment horizontal="center" vertical="center"/>
    </xf>
    <xf numFmtId="179" fontId="39" fillId="7" borderId="0" xfId="0" applyNumberFormat="1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39" fillId="7" borderId="0" xfId="0" applyFont="1" applyFill="1" applyBorder="1" applyAlignment="1">
      <alignment horizontal="center" vertical="center"/>
    </xf>
    <xf numFmtId="0" fontId="59" fillId="7" borderId="0" xfId="0" applyFont="1" applyFill="1" applyBorder="1" applyAlignment="1">
      <alignment horizontal="center" vertical="center"/>
    </xf>
    <xf numFmtId="179" fontId="16" fillId="6" borderId="0" xfId="0" applyNumberFormat="1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39" fillId="0" borderId="0" xfId="0" applyFont="1" applyAlignment="1">
      <alignment vertical="center"/>
    </xf>
    <xf numFmtId="0" fontId="60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center" vertical="center"/>
    </xf>
    <xf numFmtId="22" fontId="39" fillId="5" borderId="0" xfId="0" applyNumberFormat="1" applyFont="1" applyFill="1" applyBorder="1" applyAlignment="1">
      <alignment horizontal="center" vertical="center"/>
    </xf>
    <xf numFmtId="22" fontId="39" fillId="5" borderId="5" xfId="0" applyNumberFormat="1" applyFont="1" applyFill="1" applyBorder="1" applyAlignment="1">
      <alignment horizontal="center" vertical="center"/>
    </xf>
    <xf numFmtId="0" fontId="36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  <xf numFmtId="22" fontId="39" fillId="7" borderId="0" xfId="0" applyNumberFormat="1" applyFont="1" applyFill="1" applyBorder="1" applyAlignment="1">
      <alignment horizontal="center" vertical="center"/>
    </xf>
    <xf numFmtId="22" fontId="39" fillId="7" borderId="5" xfId="0" applyNumberFormat="1" applyFont="1" applyFill="1" applyBorder="1" applyAlignment="1">
      <alignment horizontal="center" vertical="center"/>
    </xf>
    <xf numFmtId="0" fontId="61" fillId="3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22" fontId="16" fillId="6" borderId="5" xfId="0" applyNumberFormat="1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24" fillId="3" borderId="4" xfId="0" applyFont="1" applyFill="1" applyBorder="1" applyAlignment="1" quotePrefix="1">
      <alignment horizontal="center" vertical="center"/>
    </xf>
    <xf numFmtId="176" fontId="24" fillId="3" borderId="4" xfId="0" applyNumberFormat="1" applyFont="1" applyFill="1" applyBorder="1" applyAlignment="1" quotePrefix="1">
      <alignment horizontal="center" vertical="center"/>
    </xf>
    <xf numFmtId="0" fontId="4" fillId="3" borderId="4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305435</xdr:colOff>
      <xdr:row>20</xdr:row>
      <xdr:rowOff>130175</xdr:rowOff>
    </xdr:from>
    <xdr:to>
      <xdr:col>0</xdr:col>
      <xdr:colOff>413385</xdr:colOff>
      <xdr:row>20</xdr:row>
      <xdr:rowOff>206375</xdr:rowOff>
    </xdr:to>
    <xdr:sp>
      <xdr:nvSpPr>
        <xdr:cNvPr id="3" name="流程图: 合并 2"/>
        <xdr:cNvSpPr/>
      </xdr:nvSpPr>
      <xdr:spPr>
        <a:xfrm>
          <a:off x="305435" y="85756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815975</xdr:colOff>
      <xdr:row>13</xdr:row>
      <xdr:rowOff>66675</xdr:rowOff>
    </xdr:from>
    <xdr:to>
      <xdr:col>6</xdr:col>
      <xdr:colOff>530225</xdr:colOff>
      <xdr:row>13</xdr:row>
      <xdr:rowOff>543560</xdr:rowOff>
    </xdr:to>
    <xdr:sp>
      <xdr:nvSpPr>
        <xdr:cNvPr id="2" name="圆角矩形 1"/>
        <xdr:cNvSpPr/>
      </xdr:nvSpPr>
      <xdr:spPr>
        <a:xfrm>
          <a:off x="6769100" y="490537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714375</xdr:colOff>
      <xdr:row>13</xdr:row>
      <xdr:rowOff>63500</xdr:rowOff>
    </xdr:from>
    <xdr:to>
      <xdr:col>5</xdr:col>
      <xdr:colOff>428625</xdr:colOff>
      <xdr:row>13</xdr:row>
      <xdr:rowOff>540385</xdr:rowOff>
    </xdr:to>
    <xdr:sp>
      <xdr:nvSpPr>
        <xdr:cNvPr id="3" name="圆角矩形 2"/>
        <xdr:cNvSpPr/>
      </xdr:nvSpPr>
      <xdr:spPr>
        <a:xfrm>
          <a:off x="5476875" y="4902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574675</xdr:colOff>
      <xdr:row>13</xdr:row>
      <xdr:rowOff>63500</xdr:rowOff>
    </xdr:from>
    <xdr:to>
      <xdr:col>4</xdr:col>
      <xdr:colOff>288925</xdr:colOff>
      <xdr:row>13</xdr:row>
      <xdr:rowOff>540385</xdr:rowOff>
    </xdr:to>
    <xdr:sp>
      <xdr:nvSpPr>
        <xdr:cNvPr id="4" name="圆角矩形 3"/>
        <xdr:cNvSpPr/>
      </xdr:nvSpPr>
      <xdr:spPr>
        <a:xfrm>
          <a:off x="4146550" y="4902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787400</xdr:colOff>
      <xdr:row>13</xdr:row>
      <xdr:rowOff>63500</xdr:rowOff>
    </xdr:from>
    <xdr:to>
      <xdr:col>3</xdr:col>
      <xdr:colOff>120650</xdr:colOff>
      <xdr:row>13</xdr:row>
      <xdr:rowOff>540385</xdr:rowOff>
    </xdr:to>
    <xdr:sp>
      <xdr:nvSpPr>
        <xdr:cNvPr id="5" name="圆角矩形 4"/>
        <xdr:cNvSpPr/>
      </xdr:nvSpPr>
      <xdr:spPr>
        <a:xfrm>
          <a:off x="2787650" y="4902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815975</xdr:colOff>
      <xdr:row>12</xdr:row>
      <xdr:rowOff>85725</xdr:rowOff>
    </xdr:from>
    <xdr:to>
      <xdr:col>6</xdr:col>
      <xdr:colOff>530225</xdr:colOff>
      <xdr:row>12</xdr:row>
      <xdr:rowOff>562610</xdr:rowOff>
    </xdr:to>
    <xdr:sp>
      <xdr:nvSpPr>
        <xdr:cNvPr id="6" name="圆角矩形 5"/>
        <xdr:cNvSpPr/>
      </xdr:nvSpPr>
      <xdr:spPr>
        <a:xfrm>
          <a:off x="6769100" y="4289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714375</xdr:colOff>
      <xdr:row>12</xdr:row>
      <xdr:rowOff>85725</xdr:rowOff>
    </xdr:from>
    <xdr:to>
      <xdr:col>5</xdr:col>
      <xdr:colOff>428625</xdr:colOff>
      <xdr:row>12</xdr:row>
      <xdr:rowOff>562610</xdr:rowOff>
    </xdr:to>
    <xdr:sp>
      <xdr:nvSpPr>
        <xdr:cNvPr id="7" name="圆角矩形 6"/>
        <xdr:cNvSpPr/>
      </xdr:nvSpPr>
      <xdr:spPr>
        <a:xfrm>
          <a:off x="5476875" y="4289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574675</xdr:colOff>
      <xdr:row>12</xdr:row>
      <xdr:rowOff>85725</xdr:rowOff>
    </xdr:from>
    <xdr:to>
      <xdr:col>4</xdr:col>
      <xdr:colOff>288925</xdr:colOff>
      <xdr:row>12</xdr:row>
      <xdr:rowOff>562610</xdr:rowOff>
    </xdr:to>
    <xdr:sp>
      <xdr:nvSpPr>
        <xdr:cNvPr id="8" name="圆角矩形 7"/>
        <xdr:cNvSpPr/>
      </xdr:nvSpPr>
      <xdr:spPr>
        <a:xfrm>
          <a:off x="4146550" y="4289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787400</xdr:colOff>
      <xdr:row>12</xdr:row>
      <xdr:rowOff>85725</xdr:rowOff>
    </xdr:from>
    <xdr:to>
      <xdr:col>3</xdr:col>
      <xdr:colOff>120650</xdr:colOff>
      <xdr:row>12</xdr:row>
      <xdr:rowOff>562610</xdr:rowOff>
    </xdr:to>
    <xdr:sp>
      <xdr:nvSpPr>
        <xdr:cNvPr id="9" name="圆角矩形 8"/>
        <xdr:cNvSpPr/>
      </xdr:nvSpPr>
      <xdr:spPr>
        <a:xfrm>
          <a:off x="2787650" y="4289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412750</xdr:colOff>
      <xdr:row>13</xdr:row>
      <xdr:rowOff>63500</xdr:rowOff>
    </xdr:from>
    <xdr:to>
      <xdr:col>2</xdr:col>
      <xdr:colOff>317500</xdr:colOff>
      <xdr:row>13</xdr:row>
      <xdr:rowOff>540385</xdr:rowOff>
    </xdr:to>
    <xdr:sp>
      <xdr:nvSpPr>
        <xdr:cNvPr id="10" name="圆角矩形 9"/>
        <xdr:cNvSpPr/>
      </xdr:nvSpPr>
      <xdr:spPr>
        <a:xfrm>
          <a:off x="1412875" y="4902200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412750</xdr:colOff>
      <xdr:row>12</xdr:row>
      <xdr:rowOff>85725</xdr:rowOff>
    </xdr:from>
    <xdr:to>
      <xdr:col>2</xdr:col>
      <xdr:colOff>317500</xdr:colOff>
      <xdr:row>12</xdr:row>
      <xdr:rowOff>562610</xdr:rowOff>
    </xdr:to>
    <xdr:sp>
      <xdr:nvSpPr>
        <xdr:cNvPr id="11" name="圆角矩形 10"/>
        <xdr:cNvSpPr/>
      </xdr:nvSpPr>
      <xdr:spPr>
        <a:xfrm>
          <a:off x="1412875" y="4289425"/>
          <a:ext cx="904875" cy="47688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>
              <a:solidFill>
                <a:schemeClr val="tx1"/>
              </a:solidFill>
            </a:rPr>
            <a:t>录入</a:t>
          </a:r>
          <a:endParaRPr lang="zh-CN" altLang="en-US" sz="9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H16" sqref="H16"/>
    </sheetView>
  </sheetViews>
  <sheetFormatPr defaultColWidth="9" defaultRowHeight="13.5"/>
  <cols>
    <col min="1" max="1" width="10.625" customWidth="1"/>
    <col min="2" max="2" width="20.625" style="186" customWidth="1"/>
    <col min="3" max="4" width="15.625" style="186" customWidth="1"/>
    <col min="5" max="5" width="20.625" customWidth="1"/>
    <col min="6" max="10" width="15.625" customWidth="1"/>
    <col min="11" max="13" width="20.625" customWidth="1"/>
  </cols>
  <sheetData>
    <row r="1" s="184" customFormat="1" ht="30" customHeight="1" spans="2:4">
      <c r="B1" s="187"/>
      <c r="C1" s="187"/>
      <c r="D1" s="187"/>
    </row>
    <row r="2" s="184" customFormat="1" ht="30" customHeight="1" spans="1:6">
      <c r="A2" s="188" t="s">
        <v>0</v>
      </c>
      <c r="B2" s="189" t="s">
        <v>1</v>
      </c>
      <c r="C2" s="190" t="s">
        <v>2</v>
      </c>
      <c r="D2" s="190" t="s">
        <v>3</v>
      </c>
      <c r="E2" s="190" t="s">
        <v>4</v>
      </c>
      <c r="F2" s="191"/>
    </row>
    <row r="3" s="184" customFormat="1" ht="30" customHeight="1" spans="1:6">
      <c r="A3" s="192" t="s">
        <v>0</v>
      </c>
      <c r="B3" s="191" t="s">
        <v>5</v>
      </c>
      <c r="C3" s="191" t="s">
        <v>6</v>
      </c>
      <c r="D3" s="191" t="s">
        <v>7</v>
      </c>
      <c r="E3" s="191" t="s">
        <v>8</v>
      </c>
      <c r="F3" s="191"/>
    </row>
    <row r="4" s="184" customFormat="1" ht="30" customHeight="1" spans="1:6">
      <c r="A4" s="192" t="s">
        <v>0</v>
      </c>
      <c r="B4" s="191" t="s">
        <v>9</v>
      </c>
      <c r="C4" s="191" t="s">
        <v>10</v>
      </c>
      <c r="D4" s="191" t="s">
        <v>11</v>
      </c>
      <c r="E4" s="191" t="s">
        <v>12</v>
      </c>
      <c r="F4" s="191"/>
    </row>
    <row r="5" s="184" customFormat="1" ht="30" customHeight="1" spans="1:13">
      <c r="A5" s="193" t="s">
        <v>13</v>
      </c>
      <c r="B5" s="193"/>
      <c r="C5" s="193"/>
      <c r="D5" s="194" t="s">
        <v>14</v>
      </c>
      <c r="E5" s="187"/>
      <c r="F5" s="195" t="s">
        <v>15</v>
      </c>
      <c r="G5" s="195" t="s">
        <v>16</v>
      </c>
      <c r="H5" s="195" t="s">
        <v>17</v>
      </c>
      <c r="I5" s="195" t="s">
        <v>18</v>
      </c>
      <c r="J5" s="195"/>
      <c r="K5" s="195"/>
      <c r="L5" s="214"/>
      <c r="M5" s="214"/>
    </row>
    <row r="6" s="184" customFormat="1" ht="30" customHeight="1" spans="1:13">
      <c r="A6" s="196" t="s">
        <v>19</v>
      </c>
      <c r="B6" s="196"/>
      <c r="C6" s="196"/>
      <c r="D6" s="196"/>
      <c r="E6" s="196"/>
      <c r="F6" s="196"/>
      <c r="G6" s="197"/>
      <c r="H6" s="197"/>
      <c r="I6" s="197"/>
      <c r="J6" s="197"/>
      <c r="K6" s="196"/>
      <c r="L6" s="196"/>
      <c r="M6" s="196"/>
    </row>
    <row r="7" s="184" customFormat="1" ht="30" customHeight="1" spans="1:13">
      <c r="A7" s="198" t="s">
        <v>20</v>
      </c>
      <c r="B7" s="199" t="s">
        <v>21</v>
      </c>
      <c r="C7" s="200" t="s">
        <v>22</v>
      </c>
      <c r="D7" s="199" t="s">
        <v>23</v>
      </c>
      <c r="E7" s="199" t="s">
        <v>24</v>
      </c>
      <c r="F7" s="199" t="s">
        <v>25</v>
      </c>
      <c r="G7" s="199" t="s">
        <v>26</v>
      </c>
      <c r="H7" s="200" t="s">
        <v>27</v>
      </c>
      <c r="I7" s="200" t="s">
        <v>28</v>
      </c>
      <c r="J7" s="200" t="s">
        <v>29</v>
      </c>
      <c r="K7" s="215" t="s">
        <v>30</v>
      </c>
      <c r="L7" s="199" t="s">
        <v>31</v>
      </c>
      <c r="M7" s="216" t="s">
        <v>32</v>
      </c>
    </row>
    <row r="8" s="184" customFormat="1" ht="35" customHeight="1" spans="1:13">
      <c r="A8" s="201">
        <v>1</v>
      </c>
      <c r="B8" s="202" t="s">
        <v>33</v>
      </c>
      <c r="C8" s="22" t="s">
        <v>34</v>
      </c>
      <c r="D8" s="203" t="s">
        <v>35</v>
      </c>
      <c r="E8" s="203" t="s">
        <v>36</v>
      </c>
      <c r="F8" s="204" t="s">
        <v>37</v>
      </c>
      <c r="G8" s="203" t="s">
        <v>38</v>
      </c>
      <c r="H8" s="203">
        <v>13.5</v>
      </c>
      <c r="I8" s="203">
        <v>1</v>
      </c>
      <c r="J8" s="217" t="s">
        <v>39</v>
      </c>
      <c r="K8" s="160" t="s">
        <v>40</v>
      </c>
      <c r="L8" s="218" t="s">
        <v>41</v>
      </c>
      <c r="M8" s="219">
        <v>43763.9939467593</v>
      </c>
    </row>
    <row r="9" s="184" customFormat="1" ht="35" customHeight="1" spans="1:13">
      <c r="A9" s="137">
        <v>2</v>
      </c>
      <c r="B9" s="205" t="s">
        <v>42</v>
      </c>
      <c r="C9" s="206" t="s">
        <v>34</v>
      </c>
      <c r="D9" s="207" t="s">
        <v>43</v>
      </c>
      <c r="E9" s="207" t="s">
        <v>36</v>
      </c>
      <c r="F9" s="208" t="s">
        <v>37</v>
      </c>
      <c r="G9" s="207" t="s">
        <v>38</v>
      </c>
      <c r="H9" s="207">
        <v>1</v>
      </c>
      <c r="I9" s="207">
        <v>1</v>
      </c>
      <c r="J9" s="220" t="s">
        <v>39</v>
      </c>
      <c r="K9" s="221" t="s">
        <v>44</v>
      </c>
      <c r="L9" s="222" t="s">
        <v>41</v>
      </c>
      <c r="M9" s="223">
        <v>43763.9937037037</v>
      </c>
    </row>
    <row r="10" s="184" customFormat="1" ht="35" customHeight="1" spans="1:13">
      <c r="A10" s="201">
        <v>3</v>
      </c>
      <c r="B10" s="202">
        <v>191025000040</v>
      </c>
      <c r="C10" s="22" t="s">
        <v>34</v>
      </c>
      <c r="D10" s="203" t="s">
        <v>45</v>
      </c>
      <c r="E10" s="203" t="s">
        <v>36</v>
      </c>
      <c r="F10" s="204" t="s">
        <v>37</v>
      </c>
      <c r="G10" s="203" t="s">
        <v>38</v>
      </c>
      <c r="H10" s="203">
        <v>7</v>
      </c>
      <c r="I10" s="203">
        <v>1</v>
      </c>
      <c r="J10" s="224" t="s">
        <v>39</v>
      </c>
      <c r="K10" s="160" t="s">
        <v>40</v>
      </c>
      <c r="L10" s="218" t="s">
        <v>41</v>
      </c>
      <c r="M10" s="219">
        <v>43763.9787152778</v>
      </c>
    </row>
    <row r="11" s="185" customFormat="1" ht="35" customHeight="1" spans="1:13">
      <c r="A11" s="43">
        <v>4</v>
      </c>
      <c r="B11" s="209">
        <v>191012000003</v>
      </c>
      <c r="C11" s="28" t="s">
        <v>34</v>
      </c>
      <c r="D11" s="28" t="s">
        <v>35</v>
      </c>
      <c r="E11" s="28" t="s">
        <v>36</v>
      </c>
      <c r="F11" s="210" t="s">
        <v>37</v>
      </c>
      <c r="G11" s="210" t="s">
        <v>46</v>
      </c>
      <c r="H11" s="28">
        <v>22.5</v>
      </c>
      <c r="I11" s="28">
        <v>18</v>
      </c>
      <c r="J11" s="210" t="s">
        <v>39</v>
      </c>
      <c r="K11" s="225" t="s">
        <v>47</v>
      </c>
      <c r="L11" s="30" t="s">
        <v>48</v>
      </c>
      <c r="M11" s="226">
        <v>43763.9743634259</v>
      </c>
    </row>
    <row r="12" s="184" customFormat="1" ht="35" customHeight="1" spans="1:13">
      <c r="A12" s="201">
        <v>5</v>
      </c>
      <c r="B12" s="202">
        <v>191013000009</v>
      </c>
      <c r="C12" s="22" t="s">
        <v>34</v>
      </c>
      <c r="D12" s="203" t="s">
        <v>49</v>
      </c>
      <c r="E12" s="203" t="s">
        <v>36</v>
      </c>
      <c r="F12" s="204" t="s">
        <v>37</v>
      </c>
      <c r="G12" s="203" t="s">
        <v>38</v>
      </c>
      <c r="H12" s="203">
        <v>4</v>
      </c>
      <c r="I12" s="203">
        <v>1</v>
      </c>
      <c r="J12" s="217" t="s">
        <v>39</v>
      </c>
      <c r="K12" s="160" t="s">
        <v>40</v>
      </c>
      <c r="L12" s="218" t="s">
        <v>41</v>
      </c>
      <c r="M12" s="219">
        <v>43763.938287037</v>
      </c>
    </row>
    <row r="13" s="184" customFormat="1" ht="35" customHeight="1" spans="1:13">
      <c r="A13" s="137">
        <v>6</v>
      </c>
      <c r="B13" s="205">
        <v>191021000039</v>
      </c>
      <c r="C13" s="206" t="s">
        <v>34</v>
      </c>
      <c r="D13" s="207" t="s">
        <v>34</v>
      </c>
      <c r="E13" s="207" t="s">
        <v>36</v>
      </c>
      <c r="F13" s="208" t="s">
        <v>37</v>
      </c>
      <c r="G13" s="207" t="s">
        <v>38</v>
      </c>
      <c r="H13" s="207">
        <v>1</v>
      </c>
      <c r="I13" s="207">
        <v>1</v>
      </c>
      <c r="J13" s="220" t="s">
        <v>39</v>
      </c>
      <c r="K13" s="221" t="s">
        <v>44</v>
      </c>
      <c r="L13" s="222" t="s">
        <v>41</v>
      </c>
      <c r="M13" s="223">
        <v>43763.9302546296</v>
      </c>
    </row>
    <row r="14" s="184" customFormat="1" ht="35" customHeight="1" spans="1:13">
      <c r="A14" s="201">
        <v>7</v>
      </c>
      <c r="B14" s="202">
        <v>191023000002</v>
      </c>
      <c r="C14" s="22" t="s">
        <v>34</v>
      </c>
      <c r="D14" s="203" t="s">
        <v>50</v>
      </c>
      <c r="E14" s="203" t="s">
        <v>36</v>
      </c>
      <c r="F14" s="204" t="s">
        <v>37</v>
      </c>
      <c r="G14" s="203" t="s">
        <v>38</v>
      </c>
      <c r="H14" s="203">
        <v>31</v>
      </c>
      <c r="I14" s="203">
        <v>1</v>
      </c>
      <c r="J14" s="217" t="s">
        <v>51</v>
      </c>
      <c r="K14" s="160" t="s">
        <v>40</v>
      </c>
      <c r="L14" s="218" t="s">
        <v>41</v>
      </c>
      <c r="M14" s="219">
        <v>43763.9043518519</v>
      </c>
    </row>
    <row r="15" s="184" customFormat="1" ht="35" customHeight="1" spans="1:13">
      <c r="A15" s="137">
        <v>8</v>
      </c>
      <c r="B15" s="205">
        <v>191025000039</v>
      </c>
      <c r="C15" s="206" t="s">
        <v>34</v>
      </c>
      <c r="D15" s="207" t="s">
        <v>52</v>
      </c>
      <c r="E15" s="207" t="s">
        <v>36</v>
      </c>
      <c r="F15" s="208" t="s">
        <v>37</v>
      </c>
      <c r="G15" s="207" t="s">
        <v>53</v>
      </c>
      <c r="H15" s="207">
        <v>16</v>
      </c>
      <c r="I15" s="207">
        <v>1</v>
      </c>
      <c r="J15" s="220" t="s">
        <v>39</v>
      </c>
      <c r="K15" s="221" t="s">
        <v>54</v>
      </c>
      <c r="L15" s="222" t="s">
        <v>41</v>
      </c>
      <c r="M15" s="223">
        <v>43763.8812847222</v>
      </c>
    </row>
    <row r="16" s="184" customFormat="1" ht="35" customHeight="1" spans="1:13">
      <c r="A16" s="201">
        <v>9</v>
      </c>
      <c r="B16" s="202">
        <v>191025000038</v>
      </c>
      <c r="C16" s="22" t="s">
        <v>34</v>
      </c>
      <c r="D16" s="203" t="s">
        <v>55</v>
      </c>
      <c r="E16" s="203" t="s">
        <v>36</v>
      </c>
      <c r="F16" s="204" t="s">
        <v>37</v>
      </c>
      <c r="G16" s="203" t="s">
        <v>38</v>
      </c>
      <c r="H16" s="203">
        <v>1</v>
      </c>
      <c r="I16" s="203">
        <v>1</v>
      </c>
      <c r="J16" s="217" t="s">
        <v>51</v>
      </c>
      <c r="K16" s="160" t="s">
        <v>56</v>
      </c>
      <c r="L16" s="218" t="s">
        <v>41</v>
      </c>
      <c r="M16" s="219">
        <v>43763.8809953704</v>
      </c>
    </row>
    <row r="17" s="184" customFormat="1" ht="35" customHeight="1" spans="1:13">
      <c r="A17" s="137">
        <v>10</v>
      </c>
      <c r="B17" s="205">
        <v>190922000006</v>
      </c>
      <c r="C17" s="206" t="s">
        <v>34</v>
      </c>
      <c r="D17" s="207" t="s">
        <v>35</v>
      </c>
      <c r="E17" s="207" t="s">
        <v>36</v>
      </c>
      <c r="F17" s="207" t="s">
        <v>57</v>
      </c>
      <c r="G17" s="207" t="s">
        <v>38</v>
      </c>
      <c r="H17" s="207">
        <v>8</v>
      </c>
      <c r="I17" s="207">
        <v>1</v>
      </c>
      <c r="J17" s="220" t="s">
        <v>39</v>
      </c>
      <c r="K17" s="221" t="s">
        <v>58</v>
      </c>
      <c r="L17" s="222" t="s">
        <v>41</v>
      </c>
      <c r="M17" s="223">
        <v>43763.8752546296</v>
      </c>
    </row>
    <row r="18" s="184" customFormat="1" ht="35" customHeight="1" spans="1:13">
      <c r="A18" s="201">
        <v>11</v>
      </c>
      <c r="B18" s="202">
        <v>190828000021</v>
      </c>
      <c r="C18" s="22" t="s">
        <v>34</v>
      </c>
      <c r="D18" s="203" t="s">
        <v>35</v>
      </c>
      <c r="E18" s="203" t="s">
        <v>36</v>
      </c>
      <c r="F18" s="203" t="s">
        <v>57</v>
      </c>
      <c r="G18" s="203" t="s">
        <v>38</v>
      </c>
      <c r="H18" s="203">
        <v>13.5</v>
      </c>
      <c r="I18" s="203">
        <v>1</v>
      </c>
      <c r="J18" s="217" t="s">
        <v>39</v>
      </c>
      <c r="K18" s="160" t="s">
        <v>59</v>
      </c>
      <c r="L18" s="218" t="s">
        <v>41</v>
      </c>
      <c r="M18" s="219">
        <v>43763.9939467593</v>
      </c>
    </row>
    <row r="19" s="184" customFormat="1" ht="35" customHeight="1" spans="1:13">
      <c r="A19" s="137">
        <v>12</v>
      </c>
      <c r="B19" s="205">
        <v>191025000041</v>
      </c>
      <c r="C19" s="206" t="s">
        <v>34</v>
      </c>
      <c r="D19" s="207" t="s">
        <v>43</v>
      </c>
      <c r="E19" s="207" t="s">
        <v>36</v>
      </c>
      <c r="F19" s="208" t="s">
        <v>37</v>
      </c>
      <c r="G19" s="207" t="s">
        <v>38</v>
      </c>
      <c r="H19" s="207">
        <v>1</v>
      </c>
      <c r="I19" s="207">
        <v>1</v>
      </c>
      <c r="J19" s="220" t="s">
        <v>39</v>
      </c>
      <c r="K19" s="221" t="s">
        <v>60</v>
      </c>
      <c r="L19" s="222" t="s">
        <v>41</v>
      </c>
      <c r="M19" s="223">
        <v>43763.9937037037</v>
      </c>
    </row>
    <row r="20" s="184" customFormat="1" ht="35" customHeight="1" spans="1:13">
      <c r="A20" s="201">
        <v>13</v>
      </c>
      <c r="B20" s="202">
        <v>191025000040</v>
      </c>
      <c r="C20" s="22" t="s">
        <v>34</v>
      </c>
      <c r="D20" s="203" t="s">
        <v>45</v>
      </c>
      <c r="E20" s="203" t="s">
        <v>36</v>
      </c>
      <c r="F20" s="203" t="s">
        <v>57</v>
      </c>
      <c r="G20" s="203" t="s">
        <v>38</v>
      </c>
      <c r="H20" s="203">
        <v>7</v>
      </c>
      <c r="I20" s="203">
        <v>1</v>
      </c>
      <c r="J20" s="217" t="s">
        <v>39</v>
      </c>
      <c r="K20" s="160" t="s">
        <v>61</v>
      </c>
      <c r="L20" s="218" t="s">
        <v>41</v>
      </c>
      <c r="M20" s="219">
        <v>43763.9787152778</v>
      </c>
    </row>
    <row r="21" s="184" customFormat="1" ht="35" customHeight="1" spans="1:13">
      <c r="A21" s="137">
        <v>14</v>
      </c>
      <c r="B21" s="205">
        <v>191012000003</v>
      </c>
      <c r="C21" s="206" t="s">
        <v>34</v>
      </c>
      <c r="D21" s="207" t="s">
        <v>35</v>
      </c>
      <c r="E21" s="207" t="s">
        <v>36</v>
      </c>
      <c r="F21" s="207" t="s">
        <v>57</v>
      </c>
      <c r="G21" s="207" t="s">
        <v>53</v>
      </c>
      <c r="H21" s="207">
        <v>22.5</v>
      </c>
      <c r="I21" s="207">
        <v>18</v>
      </c>
      <c r="J21" s="220" t="s">
        <v>39</v>
      </c>
      <c r="K21" s="221" t="s">
        <v>62</v>
      </c>
      <c r="L21" s="222" t="s">
        <v>41</v>
      </c>
      <c r="M21" s="223">
        <v>43763.9743634259</v>
      </c>
    </row>
    <row r="22" s="184" customFormat="1" ht="35" customHeight="1" spans="1:13">
      <c r="A22" s="201">
        <v>15</v>
      </c>
      <c r="B22" s="202">
        <v>191013000009</v>
      </c>
      <c r="C22" s="22" t="s">
        <v>63</v>
      </c>
      <c r="D22" s="203" t="s">
        <v>49</v>
      </c>
      <c r="E22" s="203" t="s">
        <v>36</v>
      </c>
      <c r="F22" s="204" t="s">
        <v>37</v>
      </c>
      <c r="G22" s="203" t="s">
        <v>38</v>
      </c>
      <c r="H22" s="203">
        <v>4</v>
      </c>
      <c r="I22" s="203">
        <v>1</v>
      </c>
      <c r="J22" s="217" t="s">
        <v>39</v>
      </c>
      <c r="K22" s="160" t="s">
        <v>64</v>
      </c>
      <c r="L22" s="218" t="s">
        <v>41</v>
      </c>
      <c r="M22" s="219">
        <v>43763.938287037</v>
      </c>
    </row>
    <row r="23" s="184" customFormat="1" ht="35" customHeight="1" spans="1:13">
      <c r="A23" s="137">
        <v>16</v>
      </c>
      <c r="B23" s="205">
        <v>191021000039</v>
      </c>
      <c r="C23" s="206" t="s">
        <v>63</v>
      </c>
      <c r="D23" s="207" t="s">
        <v>34</v>
      </c>
      <c r="E23" s="207" t="s">
        <v>36</v>
      </c>
      <c r="F23" s="207" t="s">
        <v>57</v>
      </c>
      <c r="G23" s="207" t="s">
        <v>38</v>
      </c>
      <c r="H23" s="207">
        <v>1</v>
      </c>
      <c r="I23" s="207">
        <v>1</v>
      </c>
      <c r="J23" s="220" t="s">
        <v>39</v>
      </c>
      <c r="K23" s="221" t="s">
        <v>65</v>
      </c>
      <c r="L23" s="222" t="s">
        <v>41</v>
      </c>
      <c r="M23" s="223">
        <v>43763.9302546296</v>
      </c>
    </row>
    <row r="24" s="184" customFormat="1" ht="35" customHeight="1" spans="1:13">
      <c r="A24" s="201">
        <v>17</v>
      </c>
      <c r="B24" s="202">
        <v>191023000002</v>
      </c>
      <c r="C24" s="22" t="s">
        <v>63</v>
      </c>
      <c r="D24" s="203" t="s">
        <v>50</v>
      </c>
      <c r="E24" s="203" t="s">
        <v>36</v>
      </c>
      <c r="F24" s="203" t="s">
        <v>57</v>
      </c>
      <c r="G24" s="203" t="s">
        <v>38</v>
      </c>
      <c r="H24" s="203">
        <v>31</v>
      </c>
      <c r="I24" s="203">
        <v>1</v>
      </c>
      <c r="J24" s="217" t="s">
        <v>39</v>
      </c>
      <c r="K24" s="160" t="s">
        <v>66</v>
      </c>
      <c r="L24" s="218" t="s">
        <v>41</v>
      </c>
      <c r="M24" s="219">
        <v>43763.9043518519</v>
      </c>
    </row>
    <row r="25" s="184" customFormat="1" ht="35" customHeight="1" spans="1:13">
      <c r="A25" s="137">
        <v>18</v>
      </c>
      <c r="B25" s="205">
        <v>191025000039</v>
      </c>
      <c r="C25" s="206" t="s">
        <v>63</v>
      </c>
      <c r="D25" s="207" t="s">
        <v>52</v>
      </c>
      <c r="E25" s="207" t="s">
        <v>36</v>
      </c>
      <c r="F25" s="208" t="s">
        <v>37</v>
      </c>
      <c r="G25" s="207" t="s">
        <v>53</v>
      </c>
      <c r="H25" s="207">
        <v>16</v>
      </c>
      <c r="I25" s="207">
        <v>1</v>
      </c>
      <c r="J25" s="220" t="s">
        <v>39</v>
      </c>
      <c r="K25" s="221" t="s">
        <v>67</v>
      </c>
      <c r="L25" s="222" t="s">
        <v>41</v>
      </c>
      <c r="M25" s="223">
        <v>43763.8812847222</v>
      </c>
    </row>
    <row r="26" s="184" customFormat="1" ht="35" customHeight="1" spans="1:13">
      <c r="A26" s="201">
        <v>19</v>
      </c>
      <c r="B26" s="202">
        <v>191025000038</v>
      </c>
      <c r="C26" s="22" t="s">
        <v>63</v>
      </c>
      <c r="D26" s="203" t="s">
        <v>55</v>
      </c>
      <c r="E26" s="203" t="s">
        <v>36</v>
      </c>
      <c r="F26" s="203" t="s">
        <v>57</v>
      </c>
      <c r="G26" s="203" t="s">
        <v>38</v>
      </c>
      <c r="H26" s="203">
        <v>1</v>
      </c>
      <c r="I26" s="203">
        <v>1</v>
      </c>
      <c r="J26" s="217" t="s">
        <v>39</v>
      </c>
      <c r="K26" s="160" t="s">
        <v>68</v>
      </c>
      <c r="L26" s="218" t="s">
        <v>41</v>
      </c>
      <c r="M26" s="219">
        <v>43763.8809953704</v>
      </c>
    </row>
    <row r="27" s="184" customFormat="1" ht="35" customHeight="1" spans="1:13">
      <c r="A27" s="137">
        <v>20</v>
      </c>
      <c r="B27" s="205">
        <v>190922000006</v>
      </c>
      <c r="C27" s="206" t="s">
        <v>63</v>
      </c>
      <c r="D27" s="207" t="s">
        <v>35</v>
      </c>
      <c r="E27" s="207" t="s">
        <v>36</v>
      </c>
      <c r="F27" s="207" t="s">
        <v>57</v>
      </c>
      <c r="G27" s="207" t="s">
        <v>38</v>
      </c>
      <c r="H27" s="207">
        <v>8</v>
      </c>
      <c r="I27" s="207">
        <v>1</v>
      </c>
      <c r="J27" s="220" t="s">
        <v>39</v>
      </c>
      <c r="K27" s="221" t="s">
        <v>69</v>
      </c>
      <c r="L27" s="222" t="s">
        <v>41</v>
      </c>
      <c r="M27" s="223">
        <v>43763.8752546296</v>
      </c>
    </row>
    <row r="28" ht="30" customHeight="1" spans="1:13">
      <c r="A28" s="211"/>
      <c r="B28" s="212"/>
      <c r="C28" s="212"/>
      <c r="D28" s="212"/>
      <c r="E28" s="213"/>
      <c r="F28" s="213"/>
      <c r="G28" s="213"/>
      <c r="H28" s="213"/>
      <c r="I28" s="213"/>
      <c r="J28" s="213"/>
      <c r="K28" s="213"/>
      <c r="L28" s="213"/>
      <c r="M28" s="227"/>
    </row>
  </sheetData>
  <mergeCells count="2">
    <mergeCell ref="A5:C5"/>
    <mergeCell ref="D5:E5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D20" sqref="D20"/>
    </sheetView>
  </sheetViews>
  <sheetFormatPr defaultColWidth="9" defaultRowHeight="14.25"/>
  <cols>
    <col min="1" max="2" width="13.125" style="1" customWidth="1"/>
    <col min="3" max="3" width="20.625" style="1" customWidth="1"/>
    <col min="4" max="6" width="15.625" style="1" customWidth="1"/>
    <col min="7" max="8" width="20.625" style="1" customWidth="1"/>
    <col min="9" max="16384" width="9" style="1"/>
  </cols>
  <sheetData>
    <row r="1" ht="25" customHeight="1"/>
    <row r="2" ht="25" customHeight="1"/>
    <row r="3" ht="30" customHeight="1" spans="1:8">
      <c r="A3" s="45" t="s">
        <v>70</v>
      </c>
      <c r="B3" s="4"/>
      <c r="C3" s="4"/>
      <c r="D3" s="4"/>
      <c r="E3" s="4"/>
      <c r="F3" s="4"/>
      <c r="G3" s="4"/>
      <c r="H3" s="127"/>
    </row>
    <row r="4" ht="30" customHeight="1" spans="1:8">
      <c r="A4" s="144">
        <v>191027000006</v>
      </c>
      <c r="B4" s="145"/>
      <c r="C4" s="145"/>
      <c r="D4" s="145"/>
      <c r="E4" s="145"/>
      <c r="F4" s="145"/>
      <c r="G4" s="145"/>
      <c r="H4" s="146"/>
    </row>
    <row r="5" ht="30" customHeight="1" spans="1:8">
      <c r="A5" s="10" t="s">
        <v>36</v>
      </c>
      <c r="B5" s="147"/>
      <c r="C5" s="148" t="s">
        <v>37</v>
      </c>
      <c r="D5" s="148"/>
      <c r="E5" s="149"/>
      <c r="F5" s="149"/>
      <c r="G5" s="150"/>
      <c r="H5" s="151"/>
    </row>
    <row r="6" ht="30" customHeight="1" spans="1:8">
      <c r="A6" s="15" t="s">
        <v>71</v>
      </c>
      <c r="B6" s="16"/>
      <c r="C6" s="16"/>
      <c r="D6" s="16"/>
      <c r="E6" s="16"/>
      <c r="F6" s="152"/>
      <c r="G6" s="153"/>
      <c r="H6" s="154"/>
    </row>
    <row r="7" ht="30" customHeight="1" spans="1:8">
      <c r="A7" s="155" t="s">
        <v>72</v>
      </c>
      <c r="B7" s="156"/>
      <c r="C7" s="156" t="s">
        <v>73</v>
      </c>
      <c r="D7" s="157" t="s">
        <v>74</v>
      </c>
      <c r="E7" s="156" t="s">
        <v>75</v>
      </c>
      <c r="F7" s="156" t="s">
        <v>76</v>
      </c>
      <c r="G7" s="156" t="s">
        <v>77</v>
      </c>
      <c r="H7" s="158" t="s">
        <v>78</v>
      </c>
    </row>
    <row r="8" ht="35" customHeight="1" spans="1:8">
      <c r="A8" s="159" t="s">
        <v>79</v>
      </c>
      <c r="B8" s="160"/>
      <c r="C8" s="161" t="s">
        <v>80</v>
      </c>
      <c r="D8" s="161" t="s">
        <v>81</v>
      </c>
      <c r="E8" s="160">
        <v>1</v>
      </c>
      <c r="F8" s="160">
        <v>1</v>
      </c>
      <c r="G8" s="162" t="s">
        <v>82</v>
      </c>
      <c r="H8" s="163" t="s">
        <v>83</v>
      </c>
    </row>
    <row r="9" ht="35" customHeight="1" spans="1:8">
      <c r="A9" s="27" t="s">
        <v>84</v>
      </c>
      <c r="B9" s="164"/>
      <c r="C9" s="165" t="s">
        <v>85</v>
      </c>
      <c r="D9" s="165" t="s">
        <v>86</v>
      </c>
      <c r="E9" s="164">
        <v>1</v>
      </c>
      <c r="F9" s="164">
        <v>1</v>
      </c>
      <c r="G9" s="166" t="s">
        <v>82</v>
      </c>
      <c r="H9" s="32" t="s">
        <v>87</v>
      </c>
    </row>
    <row r="10" ht="30" customHeight="1" spans="1:8">
      <c r="A10" s="167"/>
      <c r="B10" s="168"/>
      <c r="C10" s="168"/>
      <c r="D10" s="168"/>
      <c r="E10" s="169">
        <v>2</v>
      </c>
      <c r="F10" s="169">
        <f>SUM(F8:F9)</f>
        <v>2</v>
      </c>
      <c r="G10" s="170"/>
      <c r="H10" s="171"/>
    </row>
    <row r="11" ht="1" customHeight="1" spans="1:8">
      <c r="A11" s="172"/>
      <c r="B11" s="173"/>
      <c r="C11" s="173"/>
      <c r="D11" s="173"/>
      <c r="E11" s="173"/>
      <c r="F11" s="173"/>
      <c r="G11" s="173"/>
      <c r="H11" s="174"/>
    </row>
    <row r="12" ht="30" customHeight="1" spans="1:8">
      <c r="A12" s="175" t="s">
        <v>88</v>
      </c>
      <c r="B12" s="176"/>
      <c r="C12" s="176"/>
      <c r="D12" s="176"/>
      <c r="E12" s="176"/>
      <c r="F12" s="176"/>
      <c r="G12" s="176"/>
      <c r="H12" s="177"/>
    </row>
    <row r="13" ht="50" customHeight="1" spans="1:8">
      <c r="A13" s="178" t="s">
        <v>89</v>
      </c>
      <c r="B13" s="179"/>
      <c r="C13" s="179"/>
      <c r="D13" s="179"/>
      <c r="E13" s="179"/>
      <c r="F13" s="179"/>
      <c r="G13" s="179"/>
      <c r="H13" s="180"/>
    </row>
    <row r="14" ht="50" customHeight="1" spans="1:8">
      <c r="A14" s="178" t="s">
        <v>89</v>
      </c>
      <c r="B14" s="179"/>
      <c r="C14" s="179"/>
      <c r="D14" s="179"/>
      <c r="E14" s="179"/>
      <c r="F14" s="179"/>
      <c r="G14" s="179"/>
      <c r="H14" s="180"/>
    </row>
    <row r="15" ht="30" customHeight="1" spans="1:8">
      <c r="A15" s="181" t="s">
        <v>90</v>
      </c>
      <c r="B15" s="182"/>
      <c r="C15" s="182"/>
      <c r="D15" s="182"/>
      <c r="E15" s="182"/>
      <c r="F15" s="182"/>
      <c r="G15" s="182"/>
      <c r="H15" s="183"/>
    </row>
    <row r="19" spans="9:9">
      <c r="I19" s="2"/>
    </row>
  </sheetData>
  <mergeCells count="12">
    <mergeCell ref="A3:H3"/>
    <mergeCell ref="A4:H4"/>
    <mergeCell ref="A5:B5"/>
    <mergeCell ref="A6:E6"/>
    <mergeCell ref="A7:B7"/>
    <mergeCell ref="A8:B8"/>
    <mergeCell ref="A9:B9"/>
    <mergeCell ref="A11:H11"/>
    <mergeCell ref="A12:H12"/>
    <mergeCell ref="A13:H13"/>
    <mergeCell ref="A14:H14"/>
    <mergeCell ref="A15:H15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J6" sqref="J6"/>
    </sheetView>
  </sheetViews>
  <sheetFormatPr defaultColWidth="9" defaultRowHeight="13.5"/>
  <cols>
    <col min="1" max="1" width="5.625" customWidth="1"/>
    <col min="2" max="6" width="20.625" customWidth="1"/>
  </cols>
  <sheetData>
    <row r="1" ht="30" customHeight="1" spans="1:6">
      <c r="A1" s="45" t="s">
        <v>91</v>
      </c>
      <c r="B1" s="4"/>
      <c r="C1" s="4"/>
      <c r="D1" s="4"/>
      <c r="E1" s="4"/>
      <c r="F1" s="127"/>
    </row>
    <row r="2" ht="30" customHeight="1" spans="1:6">
      <c r="A2" s="228" t="s">
        <v>92</v>
      </c>
      <c r="B2" s="129"/>
      <c r="C2" s="129"/>
      <c r="D2" s="129"/>
      <c r="E2" s="129"/>
      <c r="F2" s="130"/>
    </row>
    <row r="3" ht="30" customHeight="1" spans="1:6">
      <c r="A3" s="51" t="s">
        <v>36</v>
      </c>
      <c r="B3" s="52"/>
      <c r="C3" s="53" t="s">
        <v>37</v>
      </c>
      <c r="D3" s="52"/>
      <c r="E3" s="52"/>
      <c r="F3" s="54" t="s">
        <v>93</v>
      </c>
    </row>
    <row r="4" ht="30" customHeight="1" spans="1:6">
      <c r="A4" s="15" t="s">
        <v>71</v>
      </c>
      <c r="B4" s="16"/>
      <c r="C4" s="16"/>
      <c r="D4" s="16"/>
      <c r="E4" s="16"/>
      <c r="F4" s="131"/>
    </row>
    <row r="5" ht="30" customHeight="1" spans="1:6">
      <c r="A5" s="93" t="s">
        <v>94</v>
      </c>
      <c r="B5" s="94"/>
      <c r="C5" s="94"/>
      <c r="D5" s="94"/>
      <c r="E5" s="94"/>
      <c r="F5" s="95"/>
    </row>
    <row r="6" ht="30" customHeight="1" spans="1:6">
      <c r="A6" s="61" t="s">
        <v>95</v>
      </c>
      <c r="B6" s="62" t="s">
        <v>96</v>
      </c>
      <c r="C6" s="63" t="s">
        <v>97</v>
      </c>
      <c r="D6" s="63" t="s">
        <v>98</v>
      </c>
      <c r="E6" s="63" t="s">
        <v>99</v>
      </c>
      <c r="F6" s="64" t="s">
        <v>100</v>
      </c>
    </row>
    <row r="7" ht="30" customHeight="1" spans="1:6">
      <c r="A7" s="61">
        <v>1</v>
      </c>
      <c r="B7" s="65" t="s">
        <v>101</v>
      </c>
      <c r="C7" s="66">
        <v>8.6</v>
      </c>
      <c r="D7" s="65">
        <v>1</v>
      </c>
      <c r="E7" s="66">
        <v>8.6</v>
      </c>
      <c r="F7" s="67" t="s">
        <v>102</v>
      </c>
    </row>
    <row r="8" ht="30" customHeight="1" spans="1:6">
      <c r="A8" s="61">
        <v>2</v>
      </c>
      <c r="B8" s="65" t="s">
        <v>103</v>
      </c>
      <c r="C8" s="66">
        <v>7.9</v>
      </c>
      <c r="D8" s="65">
        <v>20</v>
      </c>
      <c r="E8" s="66">
        <v>158</v>
      </c>
      <c r="F8" s="67" t="s">
        <v>104</v>
      </c>
    </row>
    <row r="9" ht="30" customHeight="1" spans="1:6">
      <c r="A9" s="61">
        <v>3</v>
      </c>
      <c r="B9" s="68" t="s">
        <v>105</v>
      </c>
      <c r="C9" s="66">
        <v>100</v>
      </c>
      <c r="D9" s="65">
        <v>1</v>
      </c>
      <c r="E9" s="66">
        <v>100</v>
      </c>
      <c r="F9" s="67" t="s">
        <v>106</v>
      </c>
    </row>
    <row r="10" ht="30" customHeight="1" spans="1:6">
      <c r="A10" s="61">
        <v>4</v>
      </c>
      <c r="B10" s="68" t="s">
        <v>107</v>
      </c>
      <c r="C10" s="66">
        <v>300</v>
      </c>
      <c r="D10" s="65">
        <v>1</v>
      </c>
      <c r="E10" s="66">
        <v>300</v>
      </c>
      <c r="F10" s="67" t="s">
        <v>108</v>
      </c>
    </row>
    <row r="11" ht="30" customHeight="1" spans="1:12">
      <c r="A11" s="61">
        <v>5</v>
      </c>
      <c r="B11" s="68" t="s">
        <v>109</v>
      </c>
      <c r="C11" s="66">
        <v>39</v>
      </c>
      <c r="D11" s="65">
        <v>1</v>
      </c>
      <c r="E11" s="66">
        <v>39</v>
      </c>
      <c r="F11" s="67" t="s">
        <v>110</v>
      </c>
      <c r="L11" s="143"/>
    </row>
    <row r="12" ht="30" customHeight="1" spans="1:6">
      <c r="A12" s="61">
        <v>6</v>
      </c>
      <c r="B12" s="68" t="s">
        <v>111</v>
      </c>
      <c r="C12" s="66">
        <v>0</v>
      </c>
      <c r="D12" s="65">
        <v>0</v>
      </c>
      <c r="E12" s="66">
        <v>0</v>
      </c>
      <c r="F12" s="67" t="s">
        <v>112</v>
      </c>
    </row>
    <row r="13" ht="30" customHeight="1" spans="1:6">
      <c r="A13" s="69"/>
      <c r="B13" s="70"/>
      <c r="C13" s="71" t="s">
        <v>113</v>
      </c>
      <c r="D13" s="71"/>
      <c r="E13" s="72">
        <v>605.6</v>
      </c>
      <c r="F13" s="73"/>
    </row>
    <row r="14" ht="30" customHeight="1" spans="1:6">
      <c r="A14" s="69"/>
      <c r="B14" s="74" t="s">
        <v>114</v>
      </c>
      <c r="C14" s="75"/>
      <c r="D14" s="76" t="s">
        <v>115</v>
      </c>
      <c r="E14" s="77">
        <v>41786.4</v>
      </c>
      <c r="F14" s="78" t="s">
        <v>116</v>
      </c>
    </row>
    <row r="15" ht="30" customHeight="1" spans="1:6">
      <c r="A15" s="132" t="s">
        <v>117</v>
      </c>
      <c r="B15" s="133"/>
      <c r="C15" s="133"/>
      <c r="D15" s="133"/>
      <c r="E15" s="133"/>
      <c r="F15" s="134"/>
    </row>
    <row r="16" ht="30" customHeight="1" spans="1:6">
      <c r="A16" s="135" t="s">
        <v>118</v>
      </c>
      <c r="B16" s="62" t="s">
        <v>96</v>
      </c>
      <c r="C16" s="136" t="s">
        <v>119</v>
      </c>
      <c r="D16" s="136" t="s">
        <v>120</v>
      </c>
      <c r="E16" s="136" t="s">
        <v>121</v>
      </c>
      <c r="F16" s="118" t="s">
        <v>122</v>
      </c>
    </row>
    <row r="17" ht="30" customHeight="1" spans="1:6">
      <c r="A17" s="137">
        <v>1</v>
      </c>
      <c r="B17" s="68" t="s">
        <v>105</v>
      </c>
      <c r="C17" s="138">
        <v>-28.5</v>
      </c>
      <c r="D17" s="138">
        <v>1</v>
      </c>
      <c r="E17" s="138">
        <v>-28.5</v>
      </c>
      <c r="F17" s="120" t="s">
        <v>123</v>
      </c>
    </row>
    <row r="18" ht="30" customHeight="1" spans="1:6">
      <c r="A18" s="137">
        <v>2</v>
      </c>
      <c r="B18" s="68" t="s">
        <v>107</v>
      </c>
      <c r="C18" s="138">
        <v>20.25</v>
      </c>
      <c r="D18" s="138">
        <v>1</v>
      </c>
      <c r="E18" s="138">
        <v>20.25</v>
      </c>
      <c r="F18" s="120" t="s">
        <v>123</v>
      </c>
    </row>
    <row r="19" ht="30" customHeight="1" spans="1:6">
      <c r="A19" s="137"/>
      <c r="B19" s="138"/>
      <c r="C19" s="138"/>
      <c r="D19" s="139" t="s">
        <v>124</v>
      </c>
      <c r="E19" s="140">
        <v>8.25</v>
      </c>
      <c r="F19" s="141"/>
    </row>
    <row r="20" ht="30" customHeight="1" spans="1:6">
      <c r="A20" s="124" t="s">
        <v>125</v>
      </c>
      <c r="B20" s="34"/>
      <c r="C20" s="34"/>
      <c r="D20" s="34"/>
      <c r="E20" s="34"/>
      <c r="F20" s="142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</sheetData>
  <mergeCells count="8">
    <mergeCell ref="A1:F1"/>
    <mergeCell ref="A2:F2"/>
    <mergeCell ref="A3:B3"/>
    <mergeCell ref="A4:E4"/>
    <mergeCell ref="A5:F5"/>
    <mergeCell ref="C13:D13"/>
    <mergeCell ref="A15:F15"/>
    <mergeCell ref="A20:F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I7" sqref="I7"/>
    </sheetView>
  </sheetViews>
  <sheetFormatPr defaultColWidth="9" defaultRowHeight="13.5" outlineLevelCol="5"/>
  <cols>
    <col min="1" max="1" width="5.625" customWidth="1"/>
    <col min="2" max="6" width="20.625" customWidth="1"/>
  </cols>
  <sheetData>
    <row r="1" ht="30" customHeight="1" spans="1:6">
      <c r="A1" s="45" t="s">
        <v>91</v>
      </c>
      <c r="B1" s="46"/>
      <c r="C1" s="46"/>
      <c r="D1" s="46"/>
      <c r="E1" s="46"/>
      <c r="F1" s="47"/>
    </row>
    <row r="2" ht="30" customHeight="1" spans="1:6">
      <c r="A2" s="229" t="s">
        <v>126</v>
      </c>
      <c r="B2" s="49"/>
      <c r="C2" s="49"/>
      <c r="D2" s="49"/>
      <c r="E2" s="49"/>
      <c r="F2" s="50"/>
    </row>
    <row r="3" ht="30" customHeight="1" spans="1:6">
      <c r="A3" s="51" t="s">
        <v>36</v>
      </c>
      <c r="B3" s="52"/>
      <c r="C3" s="53" t="s">
        <v>37</v>
      </c>
      <c r="D3" s="52"/>
      <c r="E3" s="52"/>
      <c r="F3" s="54"/>
    </row>
    <row r="4" ht="30" customHeight="1" spans="1:6">
      <c r="A4" s="55" t="s">
        <v>71</v>
      </c>
      <c r="B4" s="56"/>
      <c r="C4" s="56"/>
      <c r="D4" s="56"/>
      <c r="E4" s="56"/>
      <c r="F4" s="57"/>
    </row>
    <row r="5" ht="30" customHeight="1" spans="1:6">
      <c r="A5" s="58" t="s">
        <v>94</v>
      </c>
      <c r="B5" s="59"/>
      <c r="C5" s="59"/>
      <c r="D5" s="59"/>
      <c r="E5" s="59"/>
      <c r="F5" s="60"/>
    </row>
    <row r="6" ht="30" customHeight="1" spans="1:6">
      <c r="A6" s="61" t="s">
        <v>95</v>
      </c>
      <c r="B6" s="62" t="s">
        <v>96</v>
      </c>
      <c r="C6" s="63" t="s">
        <v>97</v>
      </c>
      <c r="D6" s="63" t="s">
        <v>98</v>
      </c>
      <c r="E6" s="63" t="s">
        <v>99</v>
      </c>
      <c r="F6" s="64" t="s">
        <v>100</v>
      </c>
    </row>
    <row r="7" ht="30" customHeight="1" spans="1:6">
      <c r="A7" s="61">
        <v>1</v>
      </c>
      <c r="B7" s="65" t="s">
        <v>101</v>
      </c>
      <c r="C7" s="66">
        <v>8.6</v>
      </c>
      <c r="D7" s="65">
        <v>1</v>
      </c>
      <c r="E7" s="66">
        <v>8.6</v>
      </c>
      <c r="F7" s="67" t="s">
        <v>102</v>
      </c>
    </row>
    <row r="8" ht="30" customHeight="1" spans="1:6">
      <c r="A8" s="61">
        <v>2</v>
      </c>
      <c r="B8" s="65" t="s">
        <v>103</v>
      </c>
      <c r="C8" s="66">
        <v>7.9</v>
      </c>
      <c r="D8" s="65">
        <v>20</v>
      </c>
      <c r="E8" s="66">
        <v>158</v>
      </c>
      <c r="F8" s="67" t="s">
        <v>104</v>
      </c>
    </row>
    <row r="9" ht="30" customHeight="1" spans="1:6">
      <c r="A9" s="61">
        <v>3</v>
      </c>
      <c r="B9" s="68" t="s">
        <v>105</v>
      </c>
      <c r="C9" s="66">
        <v>100</v>
      </c>
      <c r="D9" s="65">
        <v>1</v>
      </c>
      <c r="E9" s="66">
        <v>100</v>
      </c>
      <c r="F9" s="67" t="s">
        <v>106</v>
      </c>
    </row>
    <row r="10" ht="30" customHeight="1" spans="1:6">
      <c r="A10" s="61">
        <v>4</v>
      </c>
      <c r="B10" s="68" t="s">
        <v>107</v>
      </c>
      <c r="C10" s="66">
        <v>300</v>
      </c>
      <c r="D10" s="65">
        <v>1</v>
      </c>
      <c r="E10" s="66">
        <v>300</v>
      </c>
      <c r="F10" s="67" t="s">
        <v>108</v>
      </c>
    </row>
    <row r="11" ht="30" customHeight="1" spans="1:6">
      <c r="A11" s="61">
        <v>5</v>
      </c>
      <c r="B11" s="68" t="s">
        <v>109</v>
      </c>
      <c r="C11" s="66">
        <v>39</v>
      </c>
      <c r="D11" s="65">
        <v>1</v>
      </c>
      <c r="E11" s="66">
        <v>39</v>
      </c>
      <c r="F11" s="67" t="s">
        <v>110</v>
      </c>
    </row>
    <row r="12" ht="30" customHeight="1" spans="1:6">
      <c r="A12" s="61">
        <v>6</v>
      </c>
      <c r="B12" s="68" t="s">
        <v>111</v>
      </c>
      <c r="C12" s="66">
        <v>0</v>
      </c>
      <c r="D12" s="65">
        <v>0</v>
      </c>
      <c r="E12" s="66">
        <v>0</v>
      </c>
      <c r="F12" s="67" t="s">
        <v>112</v>
      </c>
    </row>
    <row r="13" ht="30" customHeight="1" spans="1:6">
      <c r="A13" s="69"/>
      <c r="B13" s="70"/>
      <c r="C13" s="71" t="s">
        <v>113</v>
      </c>
      <c r="D13" s="71"/>
      <c r="E13" s="72">
        <v>605.6</v>
      </c>
      <c r="F13" s="73"/>
    </row>
    <row r="14" ht="30" customHeight="1" spans="1:6">
      <c r="A14" s="69"/>
      <c r="B14" s="74" t="s">
        <v>114</v>
      </c>
      <c r="C14" s="75"/>
      <c r="D14" s="76" t="s">
        <v>115</v>
      </c>
      <c r="E14" s="77">
        <v>41786.4</v>
      </c>
      <c r="F14" s="78" t="s">
        <v>116</v>
      </c>
    </row>
    <row r="15" ht="25" customHeight="1" spans="1:6">
      <c r="A15" s="79" t="s">
        <v>127</v>
      </c>
      <c r="B15" s="80"/>
      <c r="C15" s="80"/>
      <c r="D15" s="80"/>
      <c r="E15" s="80"/>
      <c r="F15" s="81"/>
    </row>
    <row r="16" ht="25" customHeight="1" spans="1:6">
      <c r="A16" s="82" t="s">
        <v>128</v>
      </c>
      <c r="B16" s="83" t="s">
        <v>129</v>
      </c>
      <c r="C16" s="83"/>
      <c r="D16" s="84"/>
      <c r="E16" s="85" t="s">
        <v>130</v>
      </c>
      <c r="F16" s="86"/>
    </row>
    <row r="17" ht="2" customHeight="1" spans="1:6">
      <c r="A17" s="87"/>
      <c r="B17" s="88"/>
      <c r="C17" s="89"/>
      <c r="D17" s="90"/>
      <c r="E17" s="91"/>
      <c r="F17" s="92"/>
    </row>
    <row r="18" ht="25" customHeight="1" spans="1:6">
      <c r="A18" s="93" t="s">
        <v>131</v>
      </c>
      <c r="B18" s="94"/>
      <c r="C18" s="94" t="s">
        <v>132</v>
      </c>
      <c r="D18" s="94"/>
      <c r="E18" s="94" t="s">
        <v>133</v>
      </c>
      <c r="F18" s="95" t="s">
        <v>134</v>
      </c>
    </row>
    <row r="19" ht="25" customHeight="1" spans="1:6">
      <c r="A19" s="93"/>
      <c r="B19" s="94"/>
      <c r="C19" s="94"/>
      <c r="D19" s="94"/>
      <c r="E19" s="94" t="s">
        <v>135</v>
      </c>
      <c r="F19" s="95" t="s">
        <v>136</v>
      </c>
    </row>
    <row r="20" ht="1" customHeight="1" spans="1:6">
      <c r="A20" s="58"/>
      <c r="B20" s="59"/>
      <c r="C20" s="59"/>
      <c r="D20" s="59"/>
      <c r="E20" s="59"/>
      <c r="F20" s="60"/>
    </row>
    <row r="21" ht="25" customHeight="1" spans="1:6">
      <c r="A21" s="96" t="s">
        <v>137</v>
      </c>
      <c r="B21" s="97"/>
      <c r="C21" s="98" t="s">
        <v>138</v>
      </c>
      <c r="D21" s="99" t="s">
        <v>139</v>
      </c>
      <c r="E21" s="100">
        <v>70</v>
      </c>
      <c r="F21" s="101">
        <v>10.2</v>
      </c>
    </row>
    <row r="22" ht="2" customHeight="1" spans="1:6">
      <c r="A22" s="96"/>
      <c r="B22" s="97"/>
      <c r="C22" s="102"/>
      <c r="D22" s="102"/>
      <c r="E22" s="102"/>
      <c r="F22" s="103"/>
    </row>
    <row r="23" ht="25" customHeight="1" spans="1:6">
      <c r="A23" s="96"/>
      <c r="B23" s="97"/>
      <c r="C23" s="98" t="s">
        <v>140</v>
      </c>
      <c r="D23" s="99" t="s">
        <v>141</v>
      </c>
      <c r="E23" s="100">
        <v>65</v>
      </c>
      <c r="F23" s="101">
        <v>9.5</v>
      </c>
    </row>
    <row r="24" ht="25" customHeight="1" spans="1:6">
      <c r="A24" s="96"/>
      <c r="B24" s="97"/>
      <c r="C24" s="98"/>
      <c r="D24" s="99" t="s">
        <v>142</v>
      </c>
      <c r="E24" s="100">
        <v>55</v>
      </c>
      <c r="F24" s="101">
        <v>8</v>
      </c>
    </row>
    <row r="25" ht="25" customHeight="1" spans="1:6">
      <c r="A25" s="104" t="s">
        <v>143</v>
      </c>
      <c r="B25" s="105"/>
      <c r="C25" s="105"/>
      <c r="D25" s="105"/>
      <c r="E25" s="105"/>
      <c r="F25" s="106"/>
    </row>
    <row r="26" ht="25" customHeight="1" spans="1:6">
      <c r="A26" s="107" t="s">
        <v>144</v>
      </c>
      <c r="B26" s="108"/>
      <c r="C26" s="108"/>
      <c r="D26" s="108"/>
      <c r="E26" s="108"/>
      <c r="F26" s="109"/>
    </row>
    <row r="27" ht="25" customHeight="1" spans="1:6">
      <c r="A27" s="107" t="s">
        <v>145</v>
      </c>
      <c r="B27" s="108"/>
      <c r="C27" s="108"/>
      <c r="D27" s="108"/>
      <c r="E27" s="108"/>
      <c r="F27" s="109"/>
    </row>
    <row r="28" ht="25" customHeight="1" spans="1:6">
      <c r="A28" s="104" t="s">
        <v>146</v>
      </c>
      <c r="B28" s="105"/>
      <c r="C28" s="105"/>
      <c r="D28" s="105"/>
      <c r="E28" s="105"/>
      <c r="F28" s="106"/>
    </row>
    <row r="29" ht="25" customHeight="1" spans="1:6">
      <c r="A29" s="107" t="s">
        <v>147</v>
      </c>
      <c r="B29" s="108"/>
      <c r="C29" s="108"/>
      <c r="D29" s="108"/>
      <c r="E29" s="108"/>
      <c r="F29" s="109"/>
    </row>
    <row r="30" ht="25" customHeight="1" spans="1:6">
      <c r="A30" s="104" t="s">
        <v>148</v>
      </c>
      <c r="B30" s="105"/>
      <c r="C30" s="105"/>
      <c r="D30" s="105"/>
      <c r="E30" s="105"/>
      <c r="F30" s="106"/>
    </row>
    <row r="31" ht="25" customHeight="1" spans="1:6">
      <c r="A31" s="107" t="s">
        <v>149</v>
      </c>
      <c r="B31" s="108"/>
      <c r="C31" s="108"/>
      <c r="D31" s="108"/>
      <c r="E31" s="108"/>
      <c r="F31" s="109"/>
    </row>
    <row r="32" ht="25" customHeight="1" spans="1:6">
      <c r="A32" s="107" t="s">
        <v>150</v>
      </c>
      <c r="B32" s="108"/>
      <c r="C32" s="108"/>
      <c r="D32" s="108"/>
      <c r="E32" s="108"/>
      <c r="F32" s="109"/>
    </row>
    <row r="33" ht="25" customHeight="1" spans="1:6">
      <c r="A33" s="107" t="s">
        <v>151</v>
      </c>
      <c r="B33" s="108"/>
      <c r="C33" s="108"/>
      <c r="D33" s="108"/>
      <c r="E33" s="108"/>
      <c r="F33" s="109"/>
    </row>
    <row r="34" ht="25" customHeight="1" spans="1:6">
      <c r="A34" s="107" t="s">
        <v>152</v>
      </c>
      <c r="B34" s="108"/>
      <c r="C34" s="108"/>
      <c r="D34" s="108"/>
      <c r="E34" s="108"/>
      <c r="F34" s="109"/>
    </row>
    <row r="35" ht="25" customHeight="1" spans="1:6">
      <c r="A35" s="110" t="s">
        <v>153</v>
      </c>
      <c r="B35" s="111"/>
      <c r="C35" s="111"/>
      <c r="D35" s="111"/>
      <c r="E35" s="111"/>
      <c r="F35" s="112"/>
    </row>
    <row r="36" ht="30" customHeight="1" spans="1:6">
      <c r="A36" s="113" t="s">
        <v>91</v>
      </c>
      <c r="B36" s="114"/>
      <c r="C36" s="114"/>
      <c r="D36" s="114"/>
      <c r="E36" s="114"/>
      <c r="F36" s="115"/>
    </row>
    <row r="37" ht="30" customHeight="1" spans="1:6">
      <c r="A37" s="116" t="s">
        <v>154</v>
      </c>
      <c r="B37" s="117" t="s">
        <v>96</v>
      </c>
      <c r="C37" s="117" t="s">
        <v>155</v>
      </c>
      <c r="D37" s="117" t="s">
        <v>156</v>
      </c>
      <c r="E37" s="117" t="s">
        <v>157</v>
      </c>
      <c r="F37" s="118" t="s">
        <v>122</v>
      </c>
    </row>
    <row r="38" ht="30" customHeight="1" spans="1:6">
      <c r="A38" s="119">
        <v>1</v>
      </c>
      <c r="B38" s="68" t="s">
        <v>105</v>
      </c>
      <c r="C38" s="66">
        <v>100</v>
      </c>
      <c r="D38" s="65">
        <v>1</v>
      </c>
      <c r="E38" s="66">
        <v>100</v>
      </c>
      <c r="F38" s="120" t="s">
        <v>123</v>
      </c>
    </row>
    <row r="39" ht="30" customHeight="1" spans="1:6">
      <c r="A39" s="119">
        <v>2</v>
      </c>
      <c r="B39" s="68" t="s">
        <v>107</v>
      </c>
      <c r="C39" s="66">
        <v>300</v>
      </c>
      <c r="D39" s="65">
        <v>1</v>
      </c>
      <c r="E39" s="66">
        <v>300</v>
      </c>
      <c r="F39" s="120" t="s">
        <v>123</v>
      </c>
    </row>
    <row r="40" ht="30" customHeight="1" spans="1:6">
      <c r="A40" s="119">
        <v>3</v>
      </c>
      <c r="B40" s="68" t="s">
        <v>109</v>
      </c>
      <c r="C40" s="66">
        <v>39</v>
      </c>
      <c r="D40" s="65">
        <v>1</v>
      </c>
      <c r="E40" s="66">
        <v>39</v>
      </c>
      <c r="F40" s="120" t="s">
        <v>123</v>
      </c>
    </row>
    <row r="41" ht="30" customHeight="1" spans="1:6">
      <c r="A41" s="119">
        <v>4</v>
      </c>
      <c r="B41" s="68" t="s">
        <v>111</v>
      </c>
      <c r="C41" s="66">
        <v>0</v>
      </c>
      <c r="D41" s="65">
        <v>0</v>
      </c>
      <c r="E41" s="66">
        <v>0</v>
      </c>
      <c r="F41" s="120" t="s">
        <v>123</v>
      </c>
    </row>
    <row r="42" ht="30" customHeight="1" spans="1:6">
      <c r="A42" s="119"/>
      <c r="B42" s="121"/>
      <c r="C42" s="121"/>
      <c r="D42" s="122" t="s">
        <v>158</v>
      </c>
      <c r="E42" s="122">
        <v>109.75</v>
      </c>
      <c r="F42" s="123"/>
    </row>
    <row r="43" ht="30" customHeight="1" spans="1:6">
      <c r="A43" s="124" t="s">
        <v>159</v>
      </c>
      <c r="B43" s="125"/>
      <c r="C43" s="125"/>
      <c r="D43" s="125"/>
      <c r="E43" s="125"/>
      <c r="F43" s="126"/>
    </row>
  </sheetData>
  <mergeCells count="27">
    <mergeCell ref="A1:F1"/>
    <mergeCell ref="A2:F2"/>
    <mergeCell ref="A3:B3"/>
    <mergeCell ref="A4:F4"/>
    <mergeCell ref="A5:F5"/>
    <mergeCell ref="C13:D13"/>
    <mergeCell ref="A15:F15"/>
    <mergeCell ref="E16:F16"/>
    <mergeCell ref="A20:F20"/>
    <mergeCell ref="C22:F22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43:F43"/>
    <mergeCell ref="C23:C24"/>
    <mergeCell ref="A18:B19"/>
    <mergeCell ref="C18:D19"/>
    <mergeCell ref="A21:B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8"/>
  <sheetViews>
    <sheetView topLeftCell="A13" workbookViewId="0">
      <selection activeCell="C24" sqref="C24"/>
    </sheetView>
  </sheetViews>
  <sheetFormatPr defaultColWidth="9" defaultRowHeight="14.25"/>
  <cols>
    <col min="1" max="1" width="25.625" style="1" customWidth="1"/>
    <col min="2" max="5" width="20.625" style="1" customWidth="1"/>
    <col min="6" max="6" width="20.625" style="2" customWidth="1"/>
    <col min="7" max="16384" width="9" style="1"/>
  </cols>
  <sheetData>
    <row r="3" ht="30" customHeight="1" spans="1:8">
      <c r="A3" s="3" t="s">
        <v>160</v>
      </c>
      <c r="B3" s="4"/>
      <c r="C3" s="4"/>
      <c r="D3" s="4"/>
      <c r="E3" s="4"/>
      <c r="F3" s="5"/>
      <c r="G3" s="6"/>
      <c r="H3" s="6"/>
    </row>
    <row r="4" ht="30" customHeight="1" spans="1:8">
      <c r="A4" s="230" t="s">
        <v>161</v>
      </c>
      <c r="B4" s="8"/>
      <c r="C4" s="8"/>
      <c r="D4" s="8"/>
      <c r="E4" s="8"/>
      <c r="F4" s="9"/>
      <c r="G4" s="6"/>
      <c r="H4" s="6"/>
    </row>
    <row r="5" ht="30" customHeight="1" spans="1:6">
      <c r="A5" s="10" t="s">
        <v>36</v>
      </c>
      <c r="B5" s="11" t="s">
        <v>37</v>
      </c>
      <c r="C5" s="12"/>
      <c r="D5" s="12"/>
      <c r="E5" s="13"/>
      <c r="F5" s="14"/>
    </row>
    <row r="6" ht="30" customHeight="1" spans="1:6">
      <c r="A6" s="15" t="s">
        <v>71</v>
      </c>
      <c r="B6" s="16"/>
      <c r="C6" s="16"/>
      <c r="D6" s="16"/>
      <c r="E6" s="16"/>
      <c r="F6" s="14"/>
    </row>
    <row r="7" ht="30" customHeight="1" spans="1:6">
      <c r="A7" s="17" t="s">
        <v>162</v>
      </c>
      <c r="B7" s="18" t="s">
        <v>163</v>
      </c>
      <c r="C7" s="18" t="s">
        <v>164</v>
      </c>
      <c r="D7" s="19" t="s">
        <v>165</v>
      </c>
      <c r="E7" s="18" t="s">
        <v>166</v>
      </c>
      <c r="F7" s="20" t="s">
        <v>167</v>
      </c>
    </row>
    <row r="8" ht="35" customHeight="1" spans="1:6">
      <c r="A8" s="21" t="s">
        <v>168</v>
      </c>
      <c r="B8" s="22" t="s">
        <v>169</v>
      </c>
      <c r="C8" s="23" t="s">
        <v>170</v>
      </c>
      <c r="D8" s="24" t="s">
        <v>171</v>
      </c>
      <c r="E8" s="25" t="s">
        <v>172</v>
      </c>
      <c r="F8" s="26" t="s">
        <v>102</v>
      </c>
    </row>
    <row r="9" ht="35" customHeight="1" spans="1:6">
      <c r="A9" s="21" t="s">
        <v>173</v>
      </c>
      <c r="B9" s="22" t="s">
        <v>174</v>
      </c>
      <c r="C9" s="23" t="s">
        <v>175</v>
      </c>
      <c r="D9" s="24" t="s">
        <v>171</v>
      </c>
      <c r="E9" s="25" t="s">
        <v>172</v>
      </c>
      <c r="F9" s="26">
        <v>43705.6259490741</v>
      </c>
    </row>
    <row r="10" ht="35" customHeight="1" spans="1:6">
      <c r="A10" s="21" t="s">
        <v>176</v>
      </c>
      <c r="B10" s="22" t="s">
        <v>177</v>
      </c>
      <c r="C10" s="23" t="s">
        <v>178</v>
      </c>
      <c r="D10" s="24" t="s">
        <v>171</v>
      </c>
      <c r="E10" s="25" t="s">
        <v>172</v>
      </c>
      <c r="F10" s="26">
        <v>43705.6259490741</v>
      </c>
    </row>
    <row r="11" ht="35" customHeight="1" spans="1:6">
      <c r="A11" s="27" t="s">
        <v>179</v>
      </c>
      <c r="B11" s="28" t="s">
        <v>169</v>
      </c>
      <c r="C11" s="29" t="s">
        <v>180</v>
      </c>
      <c r="D11" s="30" t="s">
        <v>171</v>
      </c>
      <c r="E11" s="31" t="s">
        <v>181</v>
      </c>
      <c r="F11" s="32" t="s">
        <v>102</v>
      </c>
    </row>
    <row r="12" ht="35" customHeight="1" spans="1:6">
      <c r="A12" s="21" t="s">
        <v>176</v>
      </c>
      <c r="B12" s="22" t="s">
        <v>182</v>
      </c>
      <c r="C12" s="23" t="s">
        <v>178</v>
      </c>
      <c r="D12" s="24" t="s">
        <v>171</v>
      </c>
      <c r="E12" s="25" t="s">
        <v>172</v>
      </c>
      <c r="F12" s="26">
        <v>43705.6259490741</v>
      </c>
    </row>
    <row r="13" ht="35" customHeight="1" spans="1:6">
      <c r="A13" s="21" t="s">
        <v>176</v>
      </c>
      <c r="B13" s="22" t="s">
        <v>169</v>
      </c>
      <c r="C13" s="23" t="s">
        <v>178</v>
      </c>
      <c r="D13" s="24" t="s">
        <v>171</v>
      </c>
      <c r="E13" s="25" t="s">
        <v>172</v>
      </c>
      <c r="F13" s="26">
        <v>43705.6259490741</v>
      </c>
    </row>
    <row r="14" ht="35" customHeight="1" spans="1:6">
      <c r="A14" s="21" t="s">
        <v>176</v>
      </c>
      <c r="B14" s="22" t="s">
        <v>174</v>
      </c>
      <c r="C14" s="23" t="s">
        <v>178</v>
      </c>
      <c r="D14" s="24" t="s">
        <v>171</v>
      </c>
      <c r="E14" s="25" t="s">
        <v>172</v>
      </c>
      <c r="F14" s="26" t="s">
        <v>102</v>
      </c>
    </row>
    <row r="15" ht="30" customHeight="1" spans="1:6">
      <c r="A15" s="33" t="s">
        <v>125</v>
      </c>
      <c r="B15" s="34"/>
      <c r="C15" s="34"/>
      <c r="D15" s="34"/>
      <c r="E15" s="34"/>
      <c r="F15" s="35"/>
    </row>
    <row r="17" ht="30" customHeight="1" spans="1:6">
      <c r="A17" s="3" t="s">
        <v>160</v>
      </c>
      <c r="B17" s="4"/>
      <c r="C17" s="4"/>
      <c r="D17" s="4"/>
      <c r="E17" s="4"/>
      <c r="F17" s="5"/>
    </row>
    <row r="18" ht="30" customHeight="1" spans="1:6">
      <c r="A18" s="230" t="s">
        <v>161</v>
      </c>
      <c r="B18" s="8"/>
      <c r="C18" s="8"/>
      <c r="D18" s="8"/>
      <c r="E18" s="8"/>
      <c r="F18" s="9"/>
    </row>
    <row r="19" ht="30" customHeight="1" spans="1:9">
      <c r="A19" s="36" t="s">
        <v>36</v>
      </c>
      <c r="B19" s="37"/>
      <c r="C19" s="38"/>
      <c r="D19" s="38"/>
      <c r="E19" s="39" t="s">
        <v>183</v>
      </c>
      <c r="F19" s="40" t="s">
        <v>184</v>
      </c>
      <c r="G19" s="2"/>
      <c r="H19" s="2"/>
      <c r="I19"/>
    </row>
    <row r="20" ht="30" customHeight="1" spans="1:6">
      <c r="A20" s="17" t="s">
        <v>162</v>
      </c>
      <c r="B20" s="18" t="s">
        <v>163</v>
      </c>
      <c r="C20" s="18" t="s">
        <v>164</v>
      </c>
      <c r="D20" s="19" t="s">
        <v>165</v>
      </c>
      <c r="E20" s="18" t="s">
        <v>166</v>
      </c>
      <c r="F20" s="20" t="s">
        <v>167</v>
      </c>
    </row>
    <row r="21" ht="30" customHeight="1" spans="1:6">
      <c r="A21" s="41" t="s">
        <v>185</v>
      </c>
      <c r="B21" s="22" t="s">
        <v>169</v>
      </c>
      <c r="C21" s="42" t="s">
        <v>170</v>
      </c>
      <c r="D21" s="24" t="s">
        <v>171</v>
      </c>
      <c r="E21" s="25" t="s">
        <v>172</v>
      </c>
      <c r="F21" s="26" t="s">
        <v>102</v>
      </c>
    </row>
    <row r="22" ht="30" customHeight="1" spans="1:6">
      <c r="A22" s="41" t="s">
        <v>186</v>
      </c>
      <c r="B22" s="22" t="s">
        <v>174</v>
      </c>
      <c r="C22" s="23" t="s">
        <v>175</v>
      </c>
      <c r="D22" s="24" t="s">
        <v>171</v>
      </c>
      <c r="E22" s="25" t="s">
        <v>172</v>
      </c>
      <c r="F22" s="26">
        <v>43705.6259490741</v>
      </c>
    </row>
    <row r="23" ht="30" customHeight="1" spans="1:6">
      <c r="A23" s="41" t="s">
        <v>187</v>
      </c>
      <c r="B23" s="22" t="s">
        <v>177</v>
      </c>
      <c r="C23" s="23" t="s">
        <v>178</v>
      </c>
      <c r="D23" s="24" t="s">
        <v>171</v>
      </c>
      <c r="E23" s="25" t="s">
        <v>172</v>
      </c>
      <c r="F23" s="26">
        <v>43705.6259490741</v>
      </c>
    </row>
    <row r="24" ht="30" customHeight="1" spans="1:6">
      <c r="A24" s="43" t="s">
        <v>188</v>
      </c>
      <c r="B24" s="28" t="s">
        <v>169</v>
      </c>
      <c r="C24" s="29" t="s">
        <v>180</v>
      </c>
      <c r="D24" s="30" t="s">
        <v>171</v>
      </c>
      <c r="E24" s="44" t="s">
        <v>189</v>
      </c>
      <c r="F24" s="32" t="s">
        <v>102</v>
      </c>
    </row>
    <row r="25" ht="30" customHeight="1" spans="1:6">
      <c r="A25" s="41" t="s">
        <v>190</v>
      </c>
      <c r="B25" s="22" t="s">
        <v>182</v>
      </c>
      <c r="C25" s="23" t="s">
        <v>178</v>
      </c>
      <c r="D25" s="24" t="s">
        <v>171</v>
      </c>
      <c r="E25" s="25" t="s">
        <v>172</v>
      </c>
      <c r="F25" s="26">
        <v>43705.6259490741</v>
      </c>
    </row>
    <row r="26" ht="30" customHeight="1" spans="1:6">
      <c r="A26" s="41" t="s">
        <v>191</v>
      </c>
      <c r="B26" s="22" t="s">
        <v>169</v>
      </c>
      <c r="C26" s="23" t="s">
        <v>178</v>
      </c>
      <c r="D26" s="24" t="s">
        <v>171</v>
      </c>
      <c r="E26" s="25" t="s">
        <v>172</v>
      </c>
      <c r="F26" s="26">
        <v>43705.6259490741</v>
      </c>
    </row>
    <row r="27" ht="30" customHeight="1" spans="1:6">
      <c r="A27" s="41" t="s">
        <v>192</v>
      </c>
      <c r="B27" s="22" t="s">
        <v>174</v>
      </c>
      <c r="C27" s="23" t="s">
        <v>178</v>
      </c>
      <c r="D27" s="24" t="s">
        <v>171</v>
      </c>
      <c r="E27" s="25" t="s">
        <v>172</v>
      </c>
      <c r="F27" s="26" t="s">
        <v>102</v>
      </c>
    </row>
    <row r="28" ht="30" customHeight="1" spans="1:6">
      <c r="A28" s="33" t="s">
        <v>125</v>
      </c>
      <c r="B28" s="34"/>
      <c r="C28" s="34"/>
      <c r="D28" s="34"/>
      <c r="E28" s="34"/>
      <c r="F28" s="35"/>
    </row>
  </sheetData>
  <mergeCells count="7">
    <mergeCell ref="A3:F3"/>
    <mergeCell ref="A4:F4"/>
    <mergeCell ref="A6:E6"/>
    <mergeCell ref="A15:F15"/>
    <mergeCell ref="A17:F17"/>
    <mergeCell ref="A18:F18"/>
    <mergeCell ref="A28:F28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C8" rgbClr="DFC49C"/>
    <comment s:ref="A11" rgbClr="DFC49C"/>
    <comment s:ref="A15" rgbClr="DFC49C"/>
  </commentList>
  <commentList sheetStid="9">
    <comment s:ref="C8" rgbClr="39CA84"/>
    <comment s:ref="C21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入库对话框</vt:lpstr>
      <vt:lpstr>录入费用</vt:lpstr>
      <vt:lpstr>录入费用-价格表</vt:lpstr>
      <vt:lpstr>取消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2022-05-22T11:26:46Z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25934DB9859146339F35F60A9CDB924B</vt:lpwstr>
  </property>
</Properties>
</file>