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2" r:id="rId1"/>
    <sheet name="货物入库" sheetId="3" r:id="rId2"/>
    <sheet name="JOB详情" sheetId="4" r:id="rId3"/>
    <sheet name="集装号详情" sheetId="5" r:id="rId4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提单号只显示20字符，超过明点击下拉箭头显示全部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H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I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sharedStrings.xml><?xml version="1.0" encoding="utf-8"?>
<sst xmlns="http://schemas.openxmlformats.org/spreadsheetml/2006/main" count="686" uniqueCount="201">
  <si>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</si>
  <si>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</si>
  <si>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</si>
  <si>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</si>
  <si>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</si>
  <si>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</si>
  <si>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</si>
  <si>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</si>
  <si>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</si>
  <si>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选择年</t>
  </si>
  <si>
    <t>选择月份</t>
  </si>
  <si>
    <t>选择日</t>
  </si>
  <si>
    <t>选择执行状态</t>
  </si>
  <si>
    <t>输入JOB、提单号、航空公司</t>
  </si>
  <si>
    <t>序号</t>
  </si>
  <si>
    <t>站点/JOB</t>
  </si>
  <si>
    <t>类型</t>
  </si>
  <si>
    <t>承运人/提单号</t>
  </si>
  <si>
    <t>起运港</t>
  </si>
  <si>
    <t>目的港</t>
  </si>
  <si>
    <t>集装号</t>
  </si>
  <si>
    <t>重量</t>
  </si>
  <si>
    <t>件数</t>
  </si>
  <si>
    <t>物流状态</t>
  </si>
  <si>
    <t>操作账户</t>
  </si>
  <si>
    <t>操作</t>
  </si>
  <si>
    <t>更新日期</t>
  </si>
  <si>
    <r>
      <rPr>
        <b/>
        <sz val="9"/>
        <color theme="1"/>
        <rFont val="Microsoft JhengHei"/>
        <charset val="134"/>
      </rPr>
      <t xml:space="preserve">JOB100156                      </t>
    </r>
    <r>
      <rPr>
        <sz val="9"/>
        <color theme="1"/>
        <rFont val="Microsoft JhengHei"/>
        <charset val="134"/>
      </rPr>
      <t>海珠区站点</t>
    </r>
  </si>
  <si>
    <t>普快</t>
  </si>
  <si>
    <t>ET   071-35539265</t>
  </si>
  <si>
    <t>CAN</t>
  </si>
  <si>
    <t>ACC</t>
  </si>
  <si>
    <r>
      <rPr>
        <sz val="9"/>
        <color theme="1"/>
        <rFont val="Microsoft JhengHei"/>
        <charset val="134"/>
      </rPr>
      <t>AK1 AK2 AK3 AK4 AK5 AK6 AK7 AK8 AK9 AK10 AK11 AK14 AK1 AK2 AK3 AK4 AK5 AK6 AK7 AK8  AK10 AK8  AK10 AK11</t>
    </r>
    <r>
      <rPr>
        <sz val="9"/>
        <color rgb="FF0070C0"/>
        <rFont val="Microsoft JhengHei"/>
        <charset val="134"/>
      </rPr>
      <t>......More</t>
    </r>
  </si>
  <si>
    <r>
      <rPr>
        <sz val="8"/>
        <color rgb="FF393939"/>
        <rFont val="宋体"/>
        <charset val="134"/>
      </rPr>
      <t xml:space="preserve">已放行 </t>
    </r>
    <r>
      <rPr>
        <sz val="8"/>
        <color rgb="FF393939"/>
        <rFont val="Arial"/>
        <charset val="134"/>
      </rPr>
      <t>HAIZ STA       2019/10/18 20:30:00</t>
    </r>
  </si>
  <si>
    <r>
      <rPr>
        <sz val="8"/>
        <color rgb="FF393939"/>
        <rFont val="Microsoft JhengHei"/>
        <charset val="134"/>
      </rPr>
      <t>CANPOYSION</t>
    </r>
    <r>
      <rPr>
        <sz val="8"/>
        <color rgb="FF393939"/>
        <rFont val="Arial"/>
        <charset val="134"/>
      </rPr>
      <t xml:space="preserve">       2019/10/18 20:30:01</t>
    </r>
  </si>
  <si>
    <t>入库  清单</t>
  </si>
  <si>
    <r>
      <rPr>
        <b/>
        <sz val="9"/>
        <color theme="1"/>
        <rFont val="Microsoft JhengHei"/>
        <charset val="134"/>
      </rPr>
      <t xml:space="preserve">JOB100157                        </t>
    </r>
    <r>
      <rPr>
        <sz val="9"/>
        <color theme="1"/>
        <rFont val="Microsoft JhengHei"/>
        <charset val="134"/>
      </rPr>
      <t>海珠区站点</t>
    </r>
  </si>
  <si>
    <r>
      <rPr>
        <sz val="9"/>
        <color theme="1"/>
        <rFont val="Microsoft JhengHei"/>
        <charset val="134"/>
      </rPr>
      <t>AK1 AK2 AK3 AK4 AK5 AK6 AK7 AK8 AK9 AK10 AK11 AK14 AK1 AK2 AK3 AK4 AK5 AK6 AK7 AK8  AK10 AK8  AK10 AK12</t>
    </r>
    <r>
      <rPr>
        <sz val="9"/>
        <color rgb="FF0070C0"/>
        <rFont val="Microsoft JhengHei"/>
        <charset val="134"/>
      </rPr>
      <t>......More</t>
    </r>
  </si>
  <si>
    <r>
      <rPr>
        <b/>
        <sz val="9"/>
        <color theme="1"/>
        <rFont val="Microsoft JhengHei"/>
        <charset val="134"/>
      </rPr>
      <t xml:space="preserve">JOB100158                </t>
    </r>
    <r>
      <rPr>
        <sz val="9"/>
        <color theme="1"/>
        <rFont val="Microsoft JhengHei"/>
        <charset val="134"/>
      </rPr>
      <t>福田区站点</t>
    </r>
  </si>
  <si>
    <r>
      <rPr>
        <sz val="9"/>
        <color theme="1"/>
        <rFont val="Microsoft JhengHei"/>
        <charset val="134"/>
      </rPr>
      <t>AK1 AK2 AK3 AK4 AK5 AK6 AK7 AK8 AK9 AK10 AK11 AK14 AK1 AK2 AK3 AK4 AK5 AK6 AK7 AK8  AK10 AK8  AK10 AK13</t>
    </r>
    <r>
      <rPr>
        <sz val="9"/>
        <color rgb="FF0070C0"/>
        <rFont val="Microsoft JhengHei"/>
        <charset val="134"/>
      </rPr>
      <t>......More</t>
    </r>
  </si>
  <si>
    <t>海珠区站点        JOB100156</t>
  </si>
  <si>
    <t>ET   071-35618004</t>
  </si>
  <si>
    <t>CANPOYSION       2019/10/18 20:30:01</t>
  </si>
  <si>
    <t>海珠区站点    JOB100145</t>
  </si>
  <si>
    <t>特快</t>
  </si>
  <si>
    <r>
      <rPr>
        <sz val="8"/>
        <color theme="1"/>
        <rFont val="宋体"/>
        <charset val="134"/>
      </rPr>
      <t>已放行</t>
    </r>
    <r>
      <rPr>
        <sz val="8"/>
        <color theme="1"/>
        <rFont val="Arial"/>
        <charset val="134"/>
      </rPr>
      <t xml:space="preserve"> IKEJ STA     2019/10/18 20:30:00</t>
    </r>
  </si>
  <si>
    <t>海珠区站点    JOB100137</t>
  </si>
  <si>
    <t>福田区站点JOB100158</t>
  </si>
  <si>
    <t>ET   071-35545580</t>
  </si>
  <si>
    <t>HKG</t>
  </si>
  <si>
    <t>海珠区站点    JOB100159</t>
  </si>
  <si>
    <t>福田区站点     JOB100146</t>
  </si>
  <si>
    <t>LOS</t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</si>
  <si>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</si>
  <si>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</si>
  <si>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</si>
  <si>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</si>
  <si>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</si>
  <si>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</si>
  <si>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福田区站点    JOB100115</t>
  </si>
  <si>
    <t>海珠区站点    JOB100116</t>
  </si>
  <si>
    <t>福田区站点JOB100117</t>
  </si>
  <si>
    <t>海珠区站点JOB100118</t>
  </si>
  <si>
    <t>福田区站点JOB100119</t>
  </si>
  <si>
    <t>海珠区站点JOB100120</t>
  </si>
  <si>
    <t>货物入库</t>
  </si>
  <si>
    <r>
      <rPr>
        <b/>
        <sz val="10"/>
        <color theme="1"/>
        <rFont val="Microsoft JhengHei"/>
        <charset val="134"/>
      </rPr>
      <t>入库日期：选择</t>
    </r>
  </si>
  <si>
    <r>
      <rPr>
        <b/>
        <sz val="10"/>
        <color theme="1"/>
        <rFont val="Microsoft JhengHei"/>
        <charset val="134"/>
      </rPr>
      <t>扫码入库</t>
    </r>
    <r>
      <rPr>
        <b/>
        <sz val="10"/>
        <color theme="1"/>
        <rFont val="Arial"/>
        <charset val="134"/>
      </rPr>
      <t xml:space="preserve">  </t>
    </r>
    <r>
      <rPr>
        <b/>
        <sz val="10"/>
        <color theme="1"/>
        <rFont val="Microsoft JhengHei"/>
        <charset val="134"/>
      </rPr>
      <t>口</t>
    </r>
  </si>
  <si>
    <r>
      <rPr>
        <b/>
        <sz val="10"/>
        <color theme="1"/>
        <rFont val="Microsoft JhengHei"/>
        <charset val="134"/>
      </rPr>
      <t>操作账号：</t>
    </r>
    <r>
      <rPr>
        <b/>
        <sz val="10"/>
        <color theme="1"/>
        <rFont val="Arial"/>
        <charset val="134"/>
      </rPr>
      <t>CANSAMPAO</t>
    </r>
  </si>
  <si>
    <r>
      <rPr>
        <b/>
        <sz val="9"/>
        <color theme="1"/>
        <rFont val="Arial"/>
        <charset val="134"/>
      </rPr>
      <t>JOB/</t>
    </r>
    <r>
      <rPr>
        <b/>
        <sz val="9"/>
        <color theme="1"/>
        <rFont val="Microsoft JhengHei"/>
        <charset val="134"/>
      </rPr>
      <t>站点</t>
    </r>
  </si>
  <si>
    <r>
      <rPr>
        <b/>
        <sz val="9"/>
        <color theme="1"/>
        <rFont val="Arial"/>
        <charset val="134"/>
      </rPr>
      <t xml:space="preserve">COLL </t>
    </r>
    <r>
      <rPr>
        <b/>
        <sz val="9"/>
        <color theme="1"/>
        <rFont val="Microsoft JhengHei"/>
        <charset val="134"/>
      </rPr>
      <t>口</t>
    </r>
  </si>
  <si>
    <r>
      <rPr>
        <b/>
        <sz val="9"/>
        <color theme="1"/>
        <rFont val="Microsoft JhengHei"/>
        <charset val="134"/>
      </rPr>
      <t>单号</t>
    </r>
  </si>
  <si>
    <r>
      <rPr>
        <b/>
        <sz val="9"/>
        <color theme="1"/>
        <rFont val="Microsoft JhengHei"/>
        <charset val="134"/>
      </rPr>
      <t>放行状态</t>
    </r>
  </si>
  <si>
    <r>
      <rPr>
        <b/>
        <sz val="9"/>
        <color theme="1"/>
        <rFont val="Microsoft JhengHei"/>
        <charset val="134"/>
      </rPr>
      <t>业务员</t>
    </r>
  </si>
  <si>
    <r>
      <rPr>
        <b/>
        <sz val="9"/>
        <color theme="1"/>
        <rFont val="宋体"/>
        <charset val="134"/>
      </rPr>
      <t>说明</t>
    </r>
  </si>
  <si>
    <r>
      <rPr>
        <b/>
        <sz val="9"/>
        <color theme="1"/>
        <rFont val="宋体"/>
        <charset val="134"/>
      </rPr>
      <t>件数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</si>
  <si>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</si>
  <si>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到达仓库</t>
    </r>
    <r>
      <rPr>
        <b/>
        <sz val="9"/>
        <color theme="1"/>
        <rFont val="Arial"/>
        <charset val="134"/>
      </rPr>
      <t xml:space="preserve"> þ</t>
    </r>
  </si>
  <si>
    <r>
      <rPr>
        <b/>
        <sz val="9"/>
        <color theme="1"/>
        <rFont val="Microsoft JhengHei"/>
        <charset val="134"/>
      </rPr>
      <t>货物损坏</t>
    </r>
  </si>
  <si>
    <r>
      <rPr>
        <b/>
        <sz val="9"/>
        <color theme="1"/>
        <rFont val="Microsoft JhengHei"/>
        <charset val="134"/>
      </rPr>
      <t>包装损坏</t>
    </r>
  </si>
  <si>
    <r>
      <rPr>
        <b/>
        <sz val="9"/>
        <color theme="1"/>
        <rFont val="Microsoft JhengHei"/>
        <charset val="134"/>
      </rPr>
      <t>货物丢失</t>
    </r>
  </si>
  <si>
    <r>
      <rPr>
        <b/>
        <sz val="9"/>
        <color theme="1"/>
        <rFont val="Microsoft JhengHei"/>
        <charset val="134"/>
      </rPr>
      <t>海珠区站点</t>
    </r>
    <r>
      <rPr>
        <b/>
        <sz val="9"/>
        <color theme="1"/>
        <rFont val="Arial"/>
        <charset val="134"/>
      </rPr>
      <t xml:space="preserve">    JOB100145</t>
    </r>
  </si>
  <si>
    <r>
      <rPr>
        <b/>
        <sz val="9"/>
        <color theme="1"/>
        <rFont val="Arial"/>
        <charset val="134"/>
      </rPr>
      <t xml:space="preserve">AK1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</t>
    </r>
    <r>
      <rPr>
        <b/>
        <sz val="8"/>
        <color theme="1"/>
        <rFont val="Arial"/>
        <charset val="134"/>
      </rPr>
      <t>5PCS</t>
    </r>
  </si>
  <si>
    <t>191018000005 01</t>
  </si>
  <si>
    <t>已放行</t>
  </si>
  <si>
    <t>AkinGbolahan</t>
  </si>
  <si>
    <t>普货</t>
  </si>
  <si>
    <t>þ</t>
  </si>
  <si>
    <t>¨</t>
  </si>
  <si>
    <t>191018000005 14</t>
  </si>
  <si>
    <t>191018000005 15</t>
  </si>
  <si>
    <t>未放行</t>
  </si>
  <si>
    <t>其它</t>
  </si>
  <si>
    <t>191018000005 16</t>
  </si>
  <si>
    <t>191019000025 06</t>
  </si>
  <si>
    <t>Andi MailMail</t>
  </si>
  <si>
    <r>
      <rPr>
        <b/>
        <sz val="9"/>
        <color rgb="FF393939"/>
        <rFont val="Microsoft JhengHei"/>
        <charset val="134"/>
      </rPr>
      <t>海珠区站点</t>
    </r>
    <r>
      <rPr>
        <b/>
        <sz val="9"/>
        <color rgb="FF393939"/>
        <rFont val="Arial"/>
        <charset val="134"/>
      </rPr>
      <t xml:space="preserve">    JOB100145</t>
    </r>
  </si>
  <si>
    <r>
      <rPr>
        <b/>
        <sz val="9"/>
        <color theme="1"/>
        <rFont val="Arial"/>
        <charset val="134"/>
      </rPr>
      <t xml:space="preserve">AK2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 </t>
    </r>
    <r>
      <rPr>
        <b/>
        <sz val="8"/>
        <color theme="1"/>
        <rFont val="Arial"/>
        <charset val="134"/>
      </rPr>
      <t>1PCS</t>
    </r>
  </si>
  <si>
    <t>191018000005 02</t>
  </si>
  <si>
    <r>
      <rPr>
        <b/>
        <sz val="9"/>
        <color rgb="FF393939"/>
        <rFont val="Microsoft JhengHei"/>
        <charset val="134"/>
      </rPr>
      <t>海珠区站点</t>
    </r>
    <r>
      <rPr>
        <b/>
        <sz val="9"/>
        <color rgb="FF393939"/>
        <rFont val="Arial"/>
        <charset val="134"/>
      </rPr>
      <t xml:space="preserve">    JOB100137</t>
    </r>
  </si>
  <si>
    <r>
      <rPr>
        <b/>
        <sz val="9"/>
        <color theme="1"/>
        <rFont val="Arial"/>
        <charset val="134"/>
      </rPr>
      <t xml:space="preserve">AK3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</t>
    </r>
    <r>
      <rPr>
        <b/>
        <sz val="8"/>
        <color theme="1"/>
        <rFont val="Arial"/>
        <charset val="134"/>
      </rPr>
      <t>1PCS</t>
    </r>
  </si>
  <si>
    <r>
      <rPr>
        <b/>
        <sz val="9"/>
        <color rgb="FF393939"/>
        <rFont val="Microsoft JhengHei"/>
        <charset val="134"/>
      </rPr>
      <t>福田区站点</t>
    </r>
    <r>
      <rPr>
        <b/>
        <sz val="9"/>
        <color rgb="FF393939"/>
        <rFont val="Arial"/>
        <charset val="134"/>
      </rPr>
      <t xml:space="preserve">     JOB100158</t>
    </r>
  </si>
  <si>
    <r>
      <rPr>
        <b/>
        <sz val="9"/>
        <color theme="1"/>
        <rFont val="Arial"/>
        <charset val="134"/>
      </rPr>
      <t xml:space="preserve">AK2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 </t>
    </r>
    <r>
      <rPr>
        <b/>
        <sz val="8"/>
        <color theme="1"/>
        <rFont val="Arial"/>
        <charset val="134"/>
      </rPr>
      <t>2PCS</t>
    </r>
  </si>
  <si>
    <r>
      <rPr>
        <b/>
        <sz val="9"/>
        <color rgb="FF393939"/>
        <rFont val="Microsoft JhengHei"/>
        <charset val="134"/>
      </rPr>
      <t>海珠区站点</t>
    </r>
    <r>
      <rPr>
        <b/>
        <sz val="9"/>
        <color rgb="FF393939"/>
        <rFont val="Arial"/>
        <charset val="134"/>
      </rPr>
      <t xml:space="preserve">    JOB100159</t>
    </r>
  </si>
  <si>
    <r>
      <rPr>
        <b/>
        <sz val="9"/>
        <color theme="1"/>
        <rFont val="Arial"/>
        <charset val="134"/>
      </rPr>
      <t xml:space="preserve">AK3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</t>
    </r>
    <r>
      <rPr>
        <b/>
        <sz val="8"/>
        <color theme="1"/>
        <rFont val="Arial"/>
        <charset val="134"/>
      </rPr>
      <t>2PCS</t>
    </r>
  </si>
  <si>
    <r>
      <rPr>
        <b/>
        <sz val="9"/>
        <color rgb="FF393939"/>
        <rFont val="Microsoft JhengHei"/>
        <charset val="134"/>
      </rPr>
      <t>福田区站点</t>
    </r>
    <r>
      <rPr>
        <b/>
        <sz val="9"/>
        <color rgb="FF393939"/>
        <rFont val="Arial"/>
        <charset val="134"/>
      </rPr>
      <t xml:space="preserve">     JOB100146</t>
    </r>
  </si>
  <si>
    <r>
      <rPr>
        <b/>
        <sz val="9"/>
        <color theme="1"/>
        <rFont val="Arial"/>
        <charset val="134"/>
      </rPr>
      <t xml:space="preserve">AK2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 </t>
    </r>
    <r>
      <rPr>
        <b/>
        <sz val="8"/>
        <color theme="1"/>
        <rFont val="Arial"/>
        <charset val="134"/>
      </rPr>
      <t>3PCS</t>
    </r>
  </si>
  <si>
    <r>
      <rPr>
        <b/>
        <sz val="9"/>
        <color rgb="FF393939"/>
        <rFont val="Microsoft JhengHei"/>
        <charset val="134"/>
      </rPr>
      <t>海珠区站点</t>
    </r>
    <r>
      <rPr>
        <b/>
        <sz val="9"/>
        <color rgb="FF393939"/>
        <rFont val="Arial"/>
        <charset val="134"/>
      </rPr>
      <t xml:space="preserve">    JOB100148</t>
    </r>
  </si>
  <si>
    <r>
      <rPr>
        <b/>
        <sz val="9"/>
        <color theme="1"/>
        <rFont val="Arial"/>
        <charset val="134"/>
      </rPr>
      <t xml:space="preserve">AK3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</t>
    </r>
    <r>
      <rPr>
        <b/>
        <sz val="8"/>
        <color theme="1"/>
        <rFont val="Arial"/>
        <charset val="134"/>
      </rPr>
      <t>3PCS</t>
    </r>
  </si>
  <si>
    <t>191021000001 01</t>
  </si>
  <si>
    <r>
      <rPr>
        <b/>
        <sz val="9"/>
        <color rgb="FF393939"/>
        <rFont val="Microsoft JhengHei"/>
        <charset val="134"/>
      </rPr>
      <t>福田区站点</t>
    </r>
    <r>
      <rPr>
        <b/>
        <sz val="9"/>
        <color rgb="FF393939"/>
        <rFont val="Arial"/>
        <charset val="134"/>
      </rPr>
      <t xml:space="preserve">     JOB100154</t>
    </r>
  </si>
  <si>
    <r>
      <rPr>
        <b/>
        <sz val="9"/>
        <color theme="1"/>
        <rFont val="Arial"/>
        <charset val="134"/>
      </rPr>
      <t xml:space="preserve">AK2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 </t>
    </r>
    <r>
      <rPr>
        <b/>
        <sz val="8"/>
        <color theme="1"/>
        <rFont val="Arial"/>
        <charset val="134"/>
      </rPr>
      <t>4PCS</t>
    </r>
  </si>
  <si>
    <t>191021000003 02</t>
  </si>
  <si>
    <t>Smile</t>
  </si>
  <si>
    <r>
      <rPr>
        <b/>
        <sz val="9"/>
        <color rgb="FF393939"/>
        <rFont val="Microsoft JhengHei"/>
        <charset val="134"/>
      </rPr>
      <t>海珠区站点</t>
    </r>
    <r>
      <rPr>
        <b/>
        <sz val="9"/>
        <color rgb="FF393939"/>
        <rFont val="Arial"/>
        <charset val="134"/>
      </rPr>
      <t xml:space="preserve">     JOB100153</t>
    </r>
  </si>
  <si>
    <r>
      <rPr>
        <b/>
        <sz val="9"/>
        <color theme="1"/>
        <rFont val="Arial"/>
        <charset val="134"/>
      </rPr>
      <t xml:space="preserve">AK3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</t>
    </r>
    <r>
      <rPr>
        <b/>
        <sz val="8"/>
        <color theme="1"/>
        <rFont val="Arial"/>
        <charset val="134"/>
      </rPr>
      <t>4PCS</t>
    </r>
  </si>
  <si>
    <t>191021000013 03</t>
  </si>
  <si>
    <r>
      <rPr>
        <b/>
        <sz val="9"/>
        <color rgb="FF393939"/>
        <rFont val="Microsoft JhengHei"/>
        <charset val="134"/>
      </rPr>
      <t>福田区站点</t>
    </r>
    <r>
      <rPr>
        <b/>
        <sz val="9"/>
        <color rgb="FF393939"/>
        <rFont val="Arial"/>
        <charset val="134"/>
      </rPr>
      <t xml:space="preserve">    JOB100156</t>
    </r>
  </si>
  <si>
    <r>
      <rPr>
        <b/>
        <sz val="9"/>
        <color theme="1"/>
        <rFont val="Arial"/>
        <charset val="134"/>
      </rPr>
      <t xml:space="preserve">AK2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 </t>
    </r>
    <r>
      <rPr>
        <b/>
        <sz val="8"/>
        <color theme="1"/>
        <rFont val="Arial"/>
        <charset val="134"/>
      </rPr>
      <t>5PCS</t>
    </r>
  </si>
  <si>
    <t>191021000033 08</t>
  </si>
  <si>
    <r>
      <rPr>
        <b/>
        <sz val="9"/>
        <color rgb="FF393939"/>
        <rFont val="Microsoft JhengHei"/>
        <charset val="134"/>
      </rPr>
      <t>海珠区站点</t>
    </r>
    <r>
      <rPr>
        <b/>
        <sz val="9"/>
        <color rgb="FF393939"/>
        <rFont val="Arial"/>
        <charset val="134"/>
      </rPr>
      <t xml:space="preserve">    JOB100136</t>
    </r>
  </si>
  <si>
    <r>
      <rPr>
        <b/>
        <sz val="9"/>
        <color theme="1"/>
        <rFont val="Arial"/>
        <charset val="134"/>
      </rPr>
      <t xml:space="preserve">AK3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</t>
    </r>
    <r>
      <rPr>
        <b/>
        <sz val="8"/>
        <color theme="1"/>
        <rFont val="Arial"/>
        <charset val="134"/>
      </rPr>
      <t>5PCS</t>
    </r>
  </si>
  <si>
    <t>191022000007 09</t>
  </si>
  <si>
    <r>
      <rPr>
        <b/>
        <sz val="9"/>
        <color rgb="FF393939"/>
        <rFont val="Microsoft JhengHei"/>
        <charset val="134"/>
      </rPr>
      <t>福田区站点</t>
    </r>
    <r>
      <rPr>
        <b/>
        <sz val="9"/>
        <color rgb="FF393939"/>
        <rFont val="Arial"/>
        <charset val="134"/>
      </rPr>
      <t xml:space="preserve">    JOB100145</t>
    </r>
  </si>
  <si>
    <r>
      <rPr>
        <b/>
        <sz val="9"/>
        <color theme="1"/>
        <rFont val="Arial"/>
        <charset val="134"/>
      </rPr>
      <t xml:space="preserve">AK2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 </t>
    </r>
    <r>
      <rPr>
        <b/>
        <sz val="8"/>
        <color theme="1"/>
        <rFont val="Arial"/>
        <charset val="134"/>
      </rPr>
      <t>6PCS</t>
    </r>
  </si>
  <si>
    <t>191022000036 12</t>
  </si>
  <si>
    <r>
      <rPr>
        <b/>
        <sz val="9"/>
        <color theme="1"/>
        <rFont val="Arial"/>
        <charset val="134"/>
      </rPr>
      <t xml:space="preserve">AK3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</t>
    </r>
    <r>
      <rPr>
        <b/>
        <sz val="8"/>
        <color theme="1"/>
        <rFont val="Arial"/>
        <charset val="134"/>
      </rPr>
      <t>6PCS</t>
    </r>
  </si>
  <si>
    <t>191023000006 02</t>
  </si>
  <si>
    <r>
      <rPr>
        <b/>
        <sz val="9"/>
        <color rgb="FF393939"/>
        <rFont val="Microsoft JhengHei"/>
        <charset val="134"/>
      </rPr>
      <t>福田区站点</t>
    </r>
    <r>
      <rPr>
        <b/>
        <sz val="9"/>
        <color rgb="FF393939"/>
        <rFont val="Arial"/>
        <charset val="134"/>
      </rPr>
      <t xml:space="preserve">    JOB100115</t>
    </r>
  </si>
  <si>
    <r>
      <rPr>
        <b/>
        <sz val="9"/>
        <color theme="1"/>
        <rFont val="Arial"/>
        <charset val="134"/>
      </rPr>
      <t xml:space="preserve">AK2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 </t>
    </r>
    <r>
      <rPr>
        <b/>
        <sz val="8"/>
        <color theme="1"/>
        <rFont val="Arial"/>
        <charset val="134"/>
      </rPr>
      <t>7PCS</t>
    </r>
  </si>
  <si>
    <t>191023000010 04</t>
  </si>
  <si>
    <r>
      <rPr>
        <b/>
        <sz val="9"/>
        <color rgb="FF393939"/>
        <rFont val="Microsoft JhengHei"/>
        <charset val="134"/>
      </rPr>
      <t>海珠区站点</t>
    </r>
    <r>
      <rPr>
        <b/>
        <sz val="9"/>
        <color rgb="FF393939"/>
        <rFont val="Arial"/>
        <charset val="134"/>
      </rPr>
      <t xml:space="preserve">    JOB100116</t>
    </r>
  </si>
  <si>
    <r>
      <rPr>
        <b/>
        <sz val="9"/>
        <color theme="1"/>
        <rFont val="Arial"/>
        <charset val="134"/>
      </rPr>
      <t xml:space="preserve">AK3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</t>
    </r>
    <r>
      <rPr>
        <b/>
        <sz val="8"/>
        <color theme="1"/>
        <rFont val="Arial"/>
        <charset val="134"/>
      </rPr>
      <t>7PCS</t>
    </r>
  </si>
  <si>
    <t>191023000011 03</t>
  </si>
  <si>
    <r>
      <rPr>
        <b/>
        <sz val="9"/>
        <color rgb="FF393939"/>
        <rFont val="Microsoft JhengHei"/>
        <charset val="134"/>
      </rPr>
      <t>福田区站点</t>
    </r>
    <r>
      <rPr>
        <b/>
        <sz val="9"/>
        <color rgb="FF393939"/>
        <rFont val="Arial"/>
        <charset val="134"/>
      </rPr>
      <t xml:space="preserve">          JOB100117</t>
    </r>
  </si>
  <si>
    <r>
      <rPr>
        <b/>
        <sz val="9"/>
        <color theme="1"/>
        <rFont val="Arial"/>
        <charset val="134"/>
      </rPr>
      <t xml:space="preserve">AK2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 </t>
    </r>
    <r>
      <rPr>
        <b/>
        <sz val="8"/>
        <color theme="1"/>
        <rFont val="Arial"/>
        <charset val="134"/>
      </rPr>
      <t>8PCS</t>
    </r>
  </si>
  <si>
    <t>191023000019 02</t>
  </si>
  <si>
    <r>
      <rPr>
        <b/>
        <sz val="9"/>
        <color rgb="FF393939"/>
        <rFont val="Microsoft JhengHei"/>
        <charset val="134"/>
      </rPr>
      <t>海珠区站点</t>
    </r>
    <r>
      <rPr>
        <b/>
        <sz val="9"/>
        <color rgb="FF393939"/>
        <rFont val="Arial"/>
        <charset val="134"/>
      </rPr>
      <t xml:space="preserve">    JOB100117</t>
    </r>
  </si>
  <si>
    <r>
      <rPr>
        <b/>
        <sz val="9"/>
        <color theme="1"/>
        <rFont val="Arial"/>
        <charset val="134"/>
      </rPr>
      <t xml:space="preserve">AK3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</t>
    </r>
    <r>
      <rPr>
        <b/>
        <sz val="8"/>
        <color theme="1"/>
        <rFont val="Arial"/>
        <charset val="134"/>
      </rPr>
      <t>8PCS</t>
    </r>
  </si>
  <si>
    <t>191023000026 01</t>
  </si>
  <si>
    <r>
      <rPr>
        <b/>
        <sz val="9"/>
        <color rgb="FF393939"/>
        <rFont val="Microsoft JhengHei"/>
        <charset val="134"/>
      </rPr>
      <t>福田区站点</t>
    </r>
    <r>
      <rPr>
        <b/>
        <sz val="9"/>
        <color rgb="FF393939"/>
        <rFont val="Arial"/>
        <charset val="134"/>
      </rPr>
      <t xml:space="preserve">         JOB100118</t>
    </r>
  </si>
  <si>
    <r>
      <rPr>
        <b/>
        <sz val="9"/>
        <color theme="1"/>
        <rFont val="Arial"/>
        <charset val="134"/>
      </rPr>
      <t xml:space="preserve">AK2  </t>
    </r>
    <r>
      <rPr>
        <b/>
        <sz val="9"/>
        <color theme="1"/>
        <rFont val="宋体"/>
        <charset val="134"/>
      </rPr>
      <t>口</t>
    </r>
    <r>
      <rPr>
        <b/>
        <sz val="9"/>
        <color theme="1"/>
        <rFont val="Arial"/>
        <charset val="134"/>
      </rPr>
      <t xml:space="preserve">                            </t>
    </r>
    <r>
      <rPr>
        <b/>
        <sz val="8"/>
        <color theme="1"/>
        <rFont val="Arial"/>
        <charset val="134"/>
      </rPr>
      <t>9PCS</t>
    </r>
  </si>
  <si>
    <t>191023000028 05</t>
  </si>
  <si>
    <t>返回 提交</t>
  </si>
  <si>
    <t>JOB098678</t>
  </si>
  <si>
    <t>线路</t>
  </si>
  <si>
    <t>服务</t>
  </si>
  <si>
    <t>说明</t>
  </si>
  <si>
    <t>内件数量</t>
  </si>
  <si>
    <t>尺寸CM</t>
  </si>
  <si>
    <t>体积CBM</t>
  </si>
  <si>
    <t>体积重KGS</t>
  </si>
  <si>
    <t>毛量KGS</t>
  </si>
  <si>
    <t>AK01</t>
  </si>
  <si>
    <t>CAN.CHN→LOS.NGN</t>
  </si>
  <si>
    <t>50*50*50</t>
  </si>
  <si>
    <t>AK02</t>
  </si>
  <si>
    <t>AK03</t>
  </si>
  <si>
    <t>AK04</t>
  </si>
  <si>
    <t>AK05</t>
  </si>
  <si>
    <t>AK06</t>
  </si>
  <si>
    <t>AK07</t>
  </si>
  <si>
    <t>AK08</t>
  </si>
  <si>
    <t>AK09</t>
  </si>
  <si>
    <t>AK10</t>
  </si>
  <si>
    <t>AK11</t>
  </si>
  <si>
    <t>AK12</t>
  </si>
  <si>
    <t>AK13</t>
  </si>
  <si>
    <t>AK14</t>
  </si>
  <si>
    <t>AK15</t>
  </si>
  <si>
    <t>AK16</t>
  </si>
  <si>
    <t>AK17</t>
  </si>
  <si>
    <t>AK18</t>
  </si>
  <si>
    <t>AK19</t>
  </si>
  <si>
    <t>返回</t>
  </si>
  <si>
    <t>AK1</t>
  </si>
  <si>
    <t>单号</t>
  </si>
  <si>
    <t>第三方运单</t>
  </si>
  <si>
    <t>城市</t>
  </si>
  <si>
    <t>业务员</t>
  </si>
  <si>
    <t>用户</t>
  </si>
  <si>
    <t>品名</t>
  </si>
  <si>
    <t>顺丰速运  SF1012605193752</t>
  </si>
  <si>
    <t>KAN</t>
  </si>
  <si>
    <t>huoguolu</t>
  </si>
  <si>
    <t>韵达快递  4301568788544</t>
  </si>
  <si>
    <t>Seat cushion</t>
  </si>
  <si>
    <t>圆通速递  YT4144353928655</t>
  </si>
  <si>
    <t>maching parts</t>
  </si>
  <si>
    <t>顺丰速运  163262639592</t>
  </si>
  <si>
    <t>clothes</t>
  </si>
  <si>
    <t>ying</t>
  </si>
  <si>
    <t>ABV</t>
  </si>
  <si>
    <t>波波</t>
  </si>
  <si>
    <t>cylinder cover</t>
  </si>
  <si>
    <t>戴維書</t>
  </si>
  <si>
    <t>cl0thes</t>
  </si>
  <si>
    <t>小小飞</t>
  </si>
  <si>
    <t>file</t>
  </si>
  <si>
    <t>Bella Chan</t>
  </si>
  <si>
    <t>guo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</si>
</sst>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  <numFmt numFmtId="44" formatCode="_ &quot;￥&quot;* #,##0.00_ ;_ &quot;￥&quot;* \-#,##0.00_ ;_ &quot;￥&quot;* &quot;-&quot;??_ ;_ @_ "/>
    <numFmt numFmtId="177" formatCode="0_ "/>
    <numFmt numFmtId="41" formatCode="_ * #,##0_ ;_ * \-#,##0_ ;_ * &quot;-&quot;_ ;_ @_ "/>
  </numFmts>
  <fonts count="63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9"/>
      <color theme="1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9"/>
      <color theme="0"/>
      <name val="Microsoft JhengHei"/>
      <charset val="134"/>
    </font>
    <font>
      <b/>
      <sz val="9"/>
      <color theme="1"/>
      <name val="Arial"/>
      <charset val="134"/>
    </font>
    <font>
      <sz val="9"/>
      <color theme="0"/>
      <name val="Microsoft JhengHei"/>
      <charset val="134"/>
    </font>
    <font>
      <b/>
      <sz val="11"/>
      <color theme="1"/>
      <name val="Microsoft JhengHei"/>
      <charset val="134"/>
    </font>
    <font>
      <b/>
      <sz val="9"/>
      <color theme="0"/>
      <name val="宋体"/>
      <charset val="134"/>
    </font>
    <font>
      <b/>
      <sz val="11"/>
      <color theme="1"/>
      <name val="宋体"/>
      <charset val="134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b/>
      <sz val="10"/>
      <color theme="1"/>
      <name val="Arial"/>
      <charset val="134"/>
    </font>
    <font>
      <sz val="9"/>
      <color theme="1"/>
      <name val="Arial"/>
      <charset val="134"/>
    </font>
    <font>
      <b/>
      <sz val="9"/>
      <color rgb="FF393939"/>
      <name val="Arial"/>
      <charset val="134"/>
    </font>
    <font>
      <b/>
      <sz val="12"/>
      <color theme="0"/>
      <name val="Arial"/>
      <charset val="134"/>
    </font>
    <font>
      <sz val="10"/>
      <color theme="1"/>
      <name val="Arial"/>
      <charset val="134"/>
    </font>
    <font>
      <sz val="10"/>
      <color theme="1"/>
      <name val="Wingdings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0"/>
      <name val="Microsoft JhengHei"/>
      <charset val="134"/>
    </font>
    <font>
      <sz val="10"/>
      <color rgb="FF393939"/>
      <name val="Microsoft JhengHei"/>
      <charset val="134"/>
    </font>
    <font>
      <sz val="9"/>
      <color rgb="FF393939"/>
      <name val="Microsoft JhengHei"/>
      <charset val="134"/>
    </font>
    <font>
      <sz val="10"/>
      <color theme="0"/>
      <name val="Microsoft JhengHei"/>
      <charset val="134"/>
    </font>
    <font>
      <sz val="8"/>
      <color rgb="FF393939"/>
      <name val="宋体"/>
      <charset val="134"/>
    </font>
    <font>
      <sz val="8"/>
      <color rgb="FF393939"/>
      <name val="Microsoft JhengHei"/>
      <charset val="134"/>
    </font>
    <font>
      <sz val="10"/>
      <color theme="1"/>
      <name val="Microsoft JhengHei"/>
      <charset val="134"/>
    </font>
    <font>
      <sz val="8"/>
      <color theme="1"/>
      <name val="Microsoft JhengHei"/>
      <charset val="134"/>
    </font>
    <font>
      <sz val="8"/>
      <color rgb="FF393939"/>
      <name val="Arial"/>
      <charset val="134"/>
    </font>
    <font>
      <sz val="8"/>
      <color theme="0"/>
      <name val="Arial"/>
      <charset val="134"/>
    </font>
    <font>
      <sz val="8"/>
      <color theme="0"/>
      <name val="Microsoft JhengHei"/>
      <charset val="134"/>
    </font>
    <font>
      <sz val="8"/>
      <color theme="1"/>
      <name val="Arial"/>
      <charset val="134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8"/>
      <color theme="1"/>
      <name val="Arial"/>
      <charset val="134"/>
    </font>
    <font>
      <b/>
      <sz val="9"/>
      <color rgb="FF393939"/>
      <name val="Microsoft JhengHei"/>
      <charset val="134"/>
    </font>
    <font>
      <sz val="9"/>
      <color rgb="FF0070C0"/>
      <name val="Microsoft JhengHei"/>
      <charset val="134"/>
    </font>
    <font>
      <sz val="8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9" fillId="10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23" borderId="13" applyNumberFormat="0" applyFont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56" fillId="33" borderId="16" applyNumberFormat="0" applyAlignment="0" applyProtection="0">
      <alignment vertical="center"/>
    </xf>
    <xf numFmtId="0" fontId="55" fillId="33" borderId="10" applyNumberFormat="0" applyAlignment="0" applyProtection="0">
      <alignment vertical="center"/>
    </xf>
    <xf numFmtId="0" fontId="50" fillId="24" borderId="15" applyNumberFormat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77" fontId="1" fillId="4" borderId="0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 wrapText="1"/>
    </xf>
    <xf numFmtId="176" fontId="11" fillId="0" borderId="0" xfId="0" applyNumberFormat="1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/>
    </xf>
    <xf numFmtId="176" fontId="2" fillId="2" borderId="6" xfId="0" applyNumberFormat="1" applyFont="1" applyFill="1" applyBorder="1" applyAlignment="1">
      <alignment horizontal="left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 wrapText="1"/>
    </xf>
    <xf numFmtId="176" fontId="4" fillId="4" borderId="0" xfId="0" applyNumberFormat="1" applyFont="1" applyFill="1" applyBorder="1" applyAlignment="1">
      <alignment horizontal="center" vertical="center" wrapText="1"/>
    </xf>
    <xf numFmtId="176" fontId="7" fillId="4" borderId="7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 wrapText="1"/>
    </xf>
    <xf numFmtId="176" fontId="14" fillId="5" borderId="7" xfId="0" applyNumberFormat="1" applyFont="1" applyFill="1" applyBorder="1" applyAlignment="1">
      <alignment horizontal="center" vertical="center"/>
    </xf>
    <xf numFmtId="176" fontId="13" fillId="3" borderId="0" xfId="0" applyNumberFormat="1" applyFont="1" applyFill="1" applyBorder="1" applyAlignment="1">
      <alignment horizontal="center" vertical="center" wrapText="1"/>
    </xf>
    <xf numFmtId="176" fontId="15" fillId="3" borderId="7" xfId="0" applyNumberFormat="1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 wrapText="1"/>
    </xf>
    <xf numFmtId="176" fontId="2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vertical="center" wrapText="1"/>
    </xf>
    <xf numFmtId="0" fontId="18" fillId="4" borderId="0" xfId="0" applyFont="1" applyFill="1" applyBorder="1" applyAlignment="1">
      <alignment horizontal="left" vertical="center" wrapText="1"/>
    </xf>
    <xf numFmtId="0" fontId="18" fillId="4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/>
    </xf>
    <xf numFmtId="177" fontId="11" fillId="4" borderId="3" xfId="0" applyNumberFormat="1" applyFont="1" applyFill="1" applyBorder="1" applyAlignment="1">
      <alignment horizontal="center" vertical="center" wrapText="1"/>
    </xf>
    <xf numFmtId="177" fontId="11" fillId="4" borderId="0" xfId="0" applyNumberFormat="1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177" fontId="11" fillId="3" borderId="0" xfId="0" applyNumberFormat="1" applyFont="1" applyFill="1" applyBorder="1" applyAlignment="1">
      <alignment horizontal="center" vertical="center" wrapText="1"/>
    </xf>
    <xf numFmtId="177" fontId="1" fillId="3" borderId="0" xfId="0" applyNumberFormat="1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0" fontId="19" fillId="4" borderId="0" xfId="0" applyFont="1" applyFill="1" applyBorder="1" applyAlignment="1">
      <alignment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5" fillId="4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0" fontId="24" fillId="7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176" fontId="26" fillId="2" borderId="2" xfId="0" applyNumberFormat="1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176" fontId="26" fillId="2" borderId="0" xfId="0" applyNumberFormat="1" applyFont="1" applyFill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center" wrapText="1"/>
    </xf>
    <xf numFmtId="176" fontId="28" fillId="3" borderId="0" xfId="0" applyNumberFormat="1" applyFont="1" applyFill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 wrapText="1"/>
    </xf>
    <xf numFmtId="176" fontId="12" fillId="5" borderId="0" xfId="0" applyNumberFormat="1" applyFont="1" applyFill="1" applyBorder="1" applyAlignment="1">
      <alignment horizontal="center" vertical="center"/>
    </xf>
    <xf numFmtId="176" fontId="28" fillId="3" borderId="0" xfId="0" applyNumberFormat="1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 vertical="center" wrapText="1"/>
    </xf>
    <xf numFmtId="0" fontId="28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 wrapText="1"/>
    </xf>
    <xf numFmtId="176" fontId="28" fillId="4" borderId="0" xfId="0" applyNumberFormat="1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176" fontId="27" fillId="2" borderId="5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2" fillId="3" borderId="0" xfId="0" applyFont="1" applyFill="1" applyBorder="1" applyAlignment="1">
      <alignment horizontal="center" vertical="center"/>
    </xf>
    <xf numFmtId="22" fontId="33" fillId="3" borderId="7" xfId="0" applyNumberFormat="1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 wrapText="1"/>
    </xf>
    <xf numFmtId="0" fontId="33" fillId="3" borderId="7" xfId="0" applyFont="1" applyFill="1" applyBorder="1" applyAlignment="1">
      <alignment horizontal="center" vertical="center"/>
    </xf>
    <xf numFmtId="0" fontId="35" fillId="5" borderId="0" xfId="0" applyFont="1" applyFill="1" applyBorder="1" applyAlignment="1">
      <alignment horizontal="center" vertical="center" wrapText="1"/>
    </xf>
    <xf numFmtId="0" fontId="29" fillId="5" borderId="0" xfId="0" applyFont="1" applyFill="1" applyBorder="1" applyAlignment="1">
      <alignment horizontal="center" vertical="center"/>
    </xf>
    <xf numFmtId="22" fontId="36" fillId="5" borderId="7" xfId="0" applyNumberFormat="1" applyFont="1" applyFill="1" applyBorder="1" applyAlignment="1">
      <alignment horizontal="center" vertical="center"/>
    </xf>
    <xf numFmtId="0" fontId="37" fillId="3" borderId="0" xfId="0" applyFont="1" applyFill="1" applyBorder="1" applyAlignment="1">
      <alignment horizontal="center" vertical="center" wrapText="1"/>
    </xf>
    <xf numFmtId="0" fontId="37" fillId="4" borderId="0" xfId="0" applyFont="1" applyFill="1" applyBorder="1" applyAlignment="1">
      <alignment horizontal="center" vertical="center" wrapText="1"/>
    </xf>
    <xf numFmtId="0" fontId="32" fillId="4" borderId="0" xfId="0" applyFont="1" applyFill="1" applyBorder="1" applyAlignment="1">
      <alignment horizontal="center" vertical="center"/>
    </xf>
    <xf numFmtId="22" fontId="33" fillId="4" borderId="7" xfId="0" applyNumberFormat="1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workbookViewId="0">
      <selection activeCell="K11" sqref="K11"/>
    </sheetView>
  </sheetViews>
  <sheetFormatPr defaultColWidth="9" defaultRowHeight="12"/>
  <cols>
    <col min="1" max="1" width="5.625" style="96" customWidth="1"/>
    <col min="2" max="3" width="15.625" style="96" customWidth="1"/>
    <col min="4" max="4" width="20.625" style="96" customWidth="1"/>
    <col min="5" max="6" width="15.625" style="96" customWidth="1"/>
    <col min="7" max="7" width="45.625" style="96" customWidth="1"/>
    <col min="8" max="8" width="15.625" style="97" customWidth="1"/>
    <col min="9" max="9" width="15.625" style="96" customWidth="1"/>
    <col min="10" max="11" width="15.625" style="98" customWidth="1"/>
    <col min="12" max="12" width="15.625" style="96" customWidth="1"/>
    <col min="13" max="13" width="20.625" style="96" customWidth="1"/>
    <col min="14" max="16384" width="9" style="96"/>
  </cols>
  <sheetData>
    <row r="1" ht="25" customHeight="1" spans="1:5">
      <c r="A1" s="99" t="s">
        <v>0</v>
      </c>
      <c r="B1" s="100" t="s">
        <v>1</v>
      </c>
      <c r="C1" s="101" t="s">
        <v>2</v>
      </c>
      <c r="D1" s="101" t="s">
        <v>3</v>
      </c>
      <c r="E1" s="101" t="s">
        <v>4</v>
      </c>
    </row>
    <row r="2" ht="25" customHeight="1" spans="1:11">
      <c r="A2" s="102" t="s">
        <v>0</v>
      </c>
      <c r="B2" s="103" t="s">
        <v>5</v>
      </c>
      <c r="C2" s="103" t="s">
        <v>6</v>
      </c>
      <c r="D2" s="103" t="s">
        <v>7</v>
      </c>
      <c r="E2" s="103" t="s">
        <v>8</v>
      </c>
      <c r="F2" s="104"/>
      <c r="G2" s="104"/>
      <c r="H2" s="105"/>
      <c r="I2" s="104"/>
      <c r="J2" s="135"/>
      <c r="K2" s="135"/>
    </row>
    <row r="3" ht="25" customHeight="1" spans="1:11">
      <c r="A3" s="104" t="s">
        <v>9</v>
      </c>
      <c r="B3" s="104" t="s">
        <v>10</v>
      </c>
      <c r="C3" s="104" t="s">
        <v>11</v>
      </c>
      <c r="D3" s="106" t="s">
        <v>12</v>
      </c>
      <c r="E3" s="107"/>
      <c r="F3" s="106"/>
      <c r="G3" s="106"/>
      <c r="H3" s="108"/>
      <c r="I3" s="106"/>
      <c r="J3" s="136"/>
      <c r="K3" s="136"/>
    </row>
    <row r="4" s="96" customFormat="1" ht="25" customHeight="1" spans="1:12">
      <c r="A4" s="109" t="s">
        <v>13</v>
      </c>
      <c r="B4" s="109"/>
      <c r="C4" s="109"/>
      <c r="D4" s="109"/>
      <c r="E4" s="109"/>
      <c r="F4" s="109"/>
      <c r="G4" s="109"/>
      <c r="H4" s="110"/>
      <c r="I4" s="109"/>
      <c r="J4" s="98"/>
      <c r="K4" s="98"/>
      <c r="L4" s="109"/>
    </row>
    <row r="5" ht="15" customHeight="1" spans="1:13">
      <c r="A5" s="111" t="s">
        <v>14</v>
      </c>
      <c r="B5" s="112" t="s">
        <v>15</v>
      </c>
      <c r="C5" s="112" t="s">
        <v>16</v>
      </c>
      <c r="D5" s="112" t="s">
        <v>17</v>
      </c>
      <c r="E5" s="112" t="s">
        <v>18</v>
      </c>
      <c r="F5" s="112" t="s">
        <v>19</v>
      </c>
      <c r="G5" s="112" t="s">
        <v>20</v>
      </c>
      <c r="H5" s="113" t="s">
        <v>21</v>
      </c>
      <c r="I5" s="112" t="s">
        <v>22</v>
      </c>
      <c r="J5" s="137" t="s">
        <v>23</v>
      </c>
      <c r="K5" s="137" t="s">
        <v>24</v>
      </c>
      <c r="L5" s="112" t="s">
        <v>25</v>
      </c>
      <c r="M5" s="138" t="s">
        <v>26</v>
      </c>
    </row>
    <row r="6" ht="15" customHeight="1" spans="1:13">
      <c r="A6" s="114"/>
      <c r="B6" s="115"/>
      <c r="C6" s="115"/>
      <c r="D6" s="115"/>
      <c r="E6" s="115"/>
      <c r="F6" s="115"/>
      <c r="G6" s="116"/>
      <c r="H6" s="117"/>
      <c r="I6" s="116"/>
      <c r="J6" s="139"/>
      <c r="K6" s="139"/>
      <c r="L6" s="116"/>
      <c r="M6" s="140"/>
    </row>
    <row r="7" ht="35" customHeight="1" spans="1:13">
      <c r="A7" s="118">
        <v>1</v>
      </c>
      <c r="B7" s="7" t="s">
        <v>27</v>
      </c>
      <c r="C7" s="119" t="s">
        <v>28</v>
      </c>
      <c r="D7" s="120" t="s">
        <v>29</v>
      </c>
      <c r="E7" s="119" t="s">
        <v>30</v>
      </c>
      <c r="F7" s="119" t="s">
        <v>31</v>
      </c>
      <c r="G7" s="121" t="s">
        <v>32</v>
      </c>
      <c r="H7" s="122">
        <v>1500</v>
      </c>
      <c r="I7" s="141">
        <v>27</v>
      </c>
      <c r="J7" s="142" t="s">
        <v>33</v>
      </c>
      <c r="K7" s="143" t="s">
        <v>34</v>
      </c>
      <c r="L7" s="144" t="s">
        <v>35</v>
      </c>
      <c r="M7" s="145">
        <v>43768.9939467593</v>
      </c>
    </row>
    <row r="8" ht="35" customHeight="1" spans="1:13">
      <c r="A8" s="118"/>
      <c r="B8" s="7" t="s">
        <v>36</v>
      </c>
      <c r="C8" s="119"/>
      <c r="D8" s="120"/>
      <c r="E8" s="119"/>
      <c r="F8" s="119"/>
      <c r="G8" s="121" t="s">
        <v>37</v>
      </c>
      <c r="H8" s="122"/>
      <c r="I8" s="141"/>
      <c r="J8" s="146"/>
      <c r="K8" s="146"/>
      <c r="L8" s="144"/>
      <c r="M8" s="147"/>
    </row>
    <row r="9" ht="35" customHeight="1" spans="1:13">
      <c r="A9" s="118"/>
      <c r="B9" s="7" t="s">
        <v>38</v>
      </c>
      <c r="C9" s="119"/>
      <c r="D9" s="120"/>
      <c r="E9" s="119"/>
      <c r="F9" s="119"/>
      <c r="G9" s="121" t="s">
        <v>39</v>
      </c>
      <c r="H9" s="122"/>
      <c r="I9" s="141"/>
      <c r="J9" s="146"/>
      <c r="K9" s="146"/>
      <c r="L9" s="144"/>
      <c r="M9" s="147"/>
    </row>
    <row r="10" ht="35" customHeight="1" spans="1:13">
      <c r="A10" s="123">
        <v>2</v>
      </c>
      <c r="B10" s="124" t="s">
        <v>40</v>
      </c>
      <c r="C10" s="37" t="s">
        <v>28</v>
      </c>
      <c r="D10" s="37" t="s">
        <v>41</v>
      </c>
      <c r="E10" s="37" t="s">
        <v>30</v>
      </c>
      <c r="F10" s="37" t="s">
        <v>31</v>
      </c>
      <c r="G10" s="37"/>
      <c r="H10" s="125">
        <v>300</v>
      </c>
      <c r="I10" s="37">
        <v>10</v>
      </c>
      <c r="J10" s="148"/>
      <c r="K10" s="148" t="s">
        <v>42</v>
      </c>
      <c r="L10" s="149" t="s">
        <v>35</v>
      </c>
      <c r="M10" s="150">
        <v>43768.9939467593</v>
      </c>
    </row>
    <row r="11" ht="35" customHeight="1" spans="1:13">
      <c r="A11" s="118">
        <v>3</v>
      </c>
      <c r="B11" s="120" t="s">
        <v>43</v>
      </c>
      <c r="C11" s="119" t="s">
        <v>44</v>
      </c>
      <c r="D11" s="119" t="s">
        <v>29</v>
      </c>
      <c r="E11" s="119" t="s">
        <v>30</v>
      </c>
      <c r="F11" s="119" t="s">
        <v>31</v>
      </c>
      <c r="G11" s="121" t="s">
        <v>37</v>
      </c>
      <c r="H11" s="126">
        <v>1000</v>
      </c>
      <c r="I11" s="119">
        <v>11</v>
      </c>
      <c r="J11" s="151" t="s">
        <v>45</v>
      </c>
      <c r="K11" s="151" t="s">
        <v>42</v>
      </c>
      <c r="L11" s="144" t="s">
        <v>35</v>
      </c>
      <c r="M11" s="145">
        <v>43769.9939467593</v>
      </c>
    </row>
    <row r="12" ht="35" customHeight="1" spans="1:13">
      <c r="A12" s="127">
        <v>4</v>
      </c>
      <c r="B12" s="128" t="s">
        <v>46</v>
      </c>
      <c r="C12" s="129" t="s">
        <v>44</v>
      </c>
      <c r="D12" s="129" t="s">
        <v>41</v>
      </c>
      <c r="E12" s="129" t="s">
        <v>30</v>
      </c>
      <c r="F12" s="129" t="s">
        <v>31</v>
      </c>
      <c r="G12" s="130" t="s">
        <v>37</v>
      </c>
      <c r="H12" s="131">
        <v>50</v>
      </c>
      <c r="I12" s="129">
        <v>2</v>
      </c>
      <c r="J12" s="152" t="s">
        <v>45</v>
      </c>
      <c r="K12" s="152" t="s">
        <v>42</v>
      </c>
      <c r="L12" s="153" t="s">
        <v>35</v>
      </c>
      <c r="M12" s="154">
        <v>43768.9939467593</v>
      </c>
    </row>
    <row r="13" ht="35" customHeight="1" spans="1:13">
      <c r="A13" s="118">
        <v>5</v>
      </c>
      <c r="B13" s="120" t="s">
        <v>47</v>
      </c>
      <c r="C13" s="119" t="s">
        <v>44</v>
      </c>
      <c r="D13" s="119" t="s">
        <v>48</v>
      </c>
      <c r="E13" s="119" t="s">
        <v>49</v>
      </c>
      <c r="F13" s="119" t="s">
        <v>31</v>
      </c>
      <c r="G13" s="121" t="s">
        <v>37</v>
      </c>
      <c r="H13" s="126">
        <v>5690</v>
      </c>
      <c r="I13" s="119">
        <v>100</v>
      </c>
      <c r="J13" s="151" t="s">
        <v>45</v>
      </c>
      <c r="K13" s="151" t="s">
        <v>42</v>
      </c>
      <c r="L13" s="144" t="s">
        <v>35</v>
      </c>
      <c r="M13" s="145">
        <v>43769.9939467593</v>
      </c>
    </row>
    <row r="14" ht="35" customHeight="1" spans="1:13">
      <c r="A14" s="127">
        <v>6</v>
      </c>
      <c r="B14" s="128" t="s">
        <v>50</v>
      </c>
      <c r="C14" s="129" t="s">
        <v>44</v>
      </c>
      <c r="D14" s="129" t="s">
        <v>48</v>
      </c>
      <c r="E14" s="129" t="s">
        <v>30</v>
      </c>
      <c r="F14" s="129" t="s">
        <v>31</v>
      </c>
      <c r="G14" s="130" t="s">
        <v>37</v>
      </c>
      <c r="H14" s="131">
        <v>300</v>
      </c>
      <c r="I14" s="129">
        <v>10</v>
      </c>
      <c r="J14" s="152" t="s">
        <v>45</v>
      </c>
      <c r="K14" s="152" t="s">
        <v>42</v>
      </c>
      <c r="L14" s="153" t="s">
        <v>35</v>
      </c>
      <c r="M14" s="154">
        <v>43770.9939467593</v>
      </c>
    </row>
    <row r="15" ht="35" customHeight="1" spans="1:13">
      <c r="A15" s="118">
        <v>7</v>
      </c>
      <c r="B15" s="120" t="s">
        <v>51</v>
      </c>
      <c r="C15" s="119" t="s">
        <v>44</v>
      </c>
      <c r="D15" s="119" t="s">
        <v>29</v>
      </c>
      <c r="E15" s="119" t="s">
        <v>49</v>
      </c>
      <c r="F15" s="119" t="s">
        <v>52</v>
      </c>
      <c r="G15" s="121" t="s">
        <v>37</v>
      </c>
      <c r="H15" s="126">
        <v>1000</v>
      </c>
      <c r="I15" s="119">
        <v>11</v>
      </c>
      <c r="J15" s="151" t="s">
        <v>45</v>
      </c>
      <c r="K15" s="151" t="s">
        <v>42</v>
      </c>
      <c r="L15" s="144" t="s">
        <v>35</v>
      </c>
      <c r="M15" s="145">
        <v>43771.9939467593</v>
      </c>
    </row>
    <row r="16" ht="35" customHeight="1" spans="1:13">
      <c r="A16" s="127">
        <v>8</v>
      </c>
      <c r="B16" s="128" t="s">
        <v>53</v>
      </c>
      <c r="C16" s="129" t="s">
        <v>44</v>
      </c>
      <c r="D16" s="129" t="s">
        <v>41</v>
      </c>
      <c r="E16" s="129" t="s">
        <v>49</v>
      </c>
      <c r="F16" s="129" t="s">
        <v>52</v>
      </c>
      <c r="G16" s="130" t="s">
        <v>37</v>
      </c>
      <c r="H16" s="131">
        <v>50</v>
      </c>
      <c r="I16" s="129">
        <v>2</v>
      </c>
      <c r="J16" s="152" t="s">
        <v>45</v>
      </c>
      <c r="K16" s="152" t="s">
        <v>42</v>
      </c>
      <c r="L16" s="153" t="s">
        <v>35</v>
      </c>
      <c r="M16" s="154">
        <v>43772.9939467593</v>
      </c>
    </row>
    <row r="17" ht="35" customHeight="1" spans="1:13">
      <c r="A17" s="118">
        <v>9</v>
      </c>
      <c r="B17" s="120" t="s">
        <v>54</v>
      </c>
      <c r="C17" s="119" t="s">
        <v>44</v>
      </c>
      <c r="D17" s="119" t="s">
        <v>48</v>
      </c>
      <c r="E17" s="119" t="s">
        <v>49</v>
      </c>
      <c r="F17" s="119" t="s">
        <v>52</v>
      </c>
      <c r="G17" s="121" t="s">
        <v>37</v>
      </c>
      <c r="H17" s="126">
        <v>1000</v>
      </c>
      <c r="I17" s="119">
        <v>11</v>
      </c>
      <c r="J17" s="151" t="s">
        <v>45</v>
      </c>
      <c r="K17" s="151" t="s">
        <v>42</v>
      </c>
      <c r="L17" s="144" t="s">
        <v>35</v>
      </c>
      <c r="M17" s="145">
        <v>43773.9939467593</v>
      </c>
    </row>
    <row r="18" ht="35" customHeight="1" spans="1:13">
      <c r="A18" s="127">
        <v>10</v>
      </c>
      <c r="B18" s="128" t="s">
        <v>55</v>
      </c>
      <c r="C18" s="129" t="s">
        <v>44</v>
      </c>
      <c r="D18" s="129" t="s">
        <v>48</v>
      </c>
      <c r="E18" s="129" t="s">
        <v>49</v>
      </c>
      <c r="F18" s="129" t="s">
        <v>52</v>
      </c>
      <c r="G18" s="130" t="s">
        <v>37</v>
      </c>
      <c r="H18" s="131">
        <v>50</v>
      </c>
      <c r="I18" s="129">
        <v>2</v>
      </c>
      <c r="J18" s="152" t="s">
        <v>45</v>
      </c>
      <c r="K18" s="152" t="s">
        <v>42</v>
      </c>
      <c r="L18" s="153" t="s">
        <v>35</v>
      </c>
      <c r="M18" s="154">
        <v>43774.9939467593</v>
      </c>
    </row>
    <row r="19" ht="35" customHeight="1" spans="1:13">
      <c r="A19" s="118">
        <v>11</v>
      </c>
      <c r="B19" s="120" t="s">
        <v>56</v>
      </c>
      <c r="C19" s="119" t="s">
        <v>44</v>
      </c>
      <c r="D19" s="119" t="s">
        <v>29</v>
      </c>
      <c r="E19" s="119" t="s">
        <v>30</v>
      </c>
      <c r="F19" s="119" t="s">
        <v>31</v>
      </c>
      <c r="G19" s="121" t="s">
        <v>37</v>
      </c>
      <c r="H19" s="126">
        <v>5690</v>
      </c>
      <c r="I19" s="119">
        <v>100</v>
      </c>
      <c r="J19" s="151" t="s">
        <v>45</v>
      </c>
      <c r="K19" s="151" t="s">
        <v>42</v>
      </c>
      <c r="L19" s="144" t="s">
        <v>35</v>
      </c>
      <c r="M19" s="145">
        <v>43775.9939467593</v>
      </c>
    </row>
    <row r="20" ht="35" customHeight="1" spans="1:13">
      <c r="A20" s="127">
        <v>12</v>
      </c>
      <c r="B20" s="128" t="s">
        <v>57</v>
      </c>
      <c r="C20" s="129" t="s">
        <v>44</v>
      </c>
      <c r="D20" s="129" t="s">
        <v>41</v>
      </c>
      <c r="E20" s="129" t="s">
        <v>30</v>
      </c>
      <c r="F20" s="129" t="s">
        <v>31</v>
      </c>
      <c r="G20" s="130" t="s">
        <v>37</v>
      </c>
      <c r="H20" s="131">
        <v>300</v>
      </c>
      <c r="I20" s="129">
        <v>10</v>
      </c>
      <c r="J20" s="152" t="s">
        <v>45</v>
      </c>
      <c r="K20" s="152" t="s">
        <v>42</v>
      </c>
      <c r="L20" s="153" t="s">
        <v>35</v>
      </c>
      <c r="M20" s="154">
        <v>43776.9939467593</v>
      </c>
    </row>
    <row r="21" ht="35" customHeight="1" spans="1:13">
      <c r="A21" s="118">
        <v>13</v>
      </c>
      <c r="B21" s="120" t="s">
        <v>58</v>
      </c>
      <c r="C21" s="119" t="s">
        <v>44</v>
      </c>
      <c r="D21" s="119" t="s">
        <v>48</v>
      </c>
      <c r="E21" s="119" t="s">
        <v>30</v>
      </c>
      <c r="F21" s="119" t="s">
        <v>31</v>
      </c>
      <c r="G21" s="121" t="s">
        <v>37</v>
      </c>
      <c r="H21" s="126">
        <v>1000</v>
      </c>
      <c r="I21" s="119">
        <v>11</v>
      </c>
      <c r="J21" s="151" t="s">
        <v>45</v>
      </c>
      <c r="K21" s="151" t="s">
        <v>42</v>
      </c>
      <c r="L21" s="144" t="s">
        <v>35</v>
      </c>
      <c r="M21" s="145">
        <v>43777.9939467593</v>
      </c>
    </row>
    <row r="22" ht="35" customHeight="1" spans="1:13">
      <c r="A22" s="127">
        <v>14</v>
      </c>
      <c r="B22" s="128" t="s">
        <v>46</v>
      </c>
      <c r="C22" s="129" t="s">
        <v>44</v>
      </c>
      <c r="D22" s="129" t="s">
        <v>48</v>
      </c>
      <c r="E22" s="129" t="s">
        <v>30</v>
      </c>
      <c r="F22" s="129" t="s">
        <v>31</v>
      </c>
      <c r="G22" s="130" t="s">
        <v>37</v>
      </c>
      <c r="H22" s="131">
        <v>50</v>
      </c>
      <c r="I22" s="129">
        <v>2</v>
      </c>
      <c r="J22" s="152" t="s">
        <v>45</v>
      </c>
      <c r="K22" s="152" t="s">
        <v>42</v>
      </c>
      <c r="L22" s="153" t="s">
        <v>35</v>
      </c>
      <c r="M22" s="154">
        <v>43778.9939467593</v>
      </c>
    </row>
    <row r="23" ht="35" customHeight="1" spans="1:13">
      <c r="A23" s="118">
        <v>15</v>
      </c>
      <c r="B23" s="120" t="s">
        <v>59</v>
      </c>
      <c r="C23" s="119" t="s">
        <v>44</v>
      </c>
      <c r="D23" s="119" t="s">
        <v>29</v>
      </c>
      <c r="E23" s="119" t="s">
        <v>49</v>
      </c>
      <c r="F23" s="119" t="s">
        <v>31</v>
      </c>
      <c r="G23" s="121" t="s">
        <v>37</v>
      </c>
      <c r="H23" s="126">
        <v>1000</v>
      </c>
      <c r="I23" s="119">
        <v>11</v>
      </c>
      <c r="J23" s="151" t="s">
        <v>45</v>
      </c>
      <c r="K23" s="151" t="s">
        <v>42</v>
      </c>
      <c r="L23" s="144" t="s">
        <v>35</v>
      </c>
      <c r="M23" s="145">
        <v>43779.9939467593</v>
      </c>
    </row>
    <row r="24" ht="35" customHeight="1" spans="1:13">
      <c r="A24" s="127">
        <v>16</v>
      </c>
      <c r="B24" s="128" t="s">
        <v>60</v>
      </c>
      <c r="C24" s="129" t="s">
        <v>44</v>
      </c>
      <c r="D24" s="129" t="s">
        <v>41</v>
      </c>
      <c r="E24" s="129" t="s">
        <v>49</v>
      </c>
      <c r="F24" s="129" t="s">
        <v>31</v>
      </c>
      <c r="G24" s="130" t="s">
        <v>37</v>
      </c>
      <c r="H24" s="131">
        <v>50</v>
      </c>
      <c r="I24" s="129">
        <v>2</v>
      </c>
      <c r="J24" s="152" t="s">
        <v>45</v>
      </c>
      <c r="K24" s="152" t="s">
        <v>42</v>
      </c>
      <c r="L24" s="153" t="s">
        <v>35</v>
      </c>
      <c r="M24" s="154">
        <v>43780.9939467593</v>
      </c>
    </row>
    <row r="25" ht="35" customHeight="1" spans="1:13">
      <c r="A25" s="118">
        <v>17</v>
      </c>
      <c r="B25" s="120" t="s">
        <v>61</v>
      </c>
      <c r="C25" s="119" t="s">
        <v>44</v>
      </c>
      <c r="D25" s="119" t="s">
        <v>48</v>
      </c>
      <c r="E25" s="119" t="s">
        <v>49</v>
      </c>
      <c r="F25" s="119" t="s">
        <v>31</v>
      </c>
      <c r="G25" s="121" t="s">
        <v>37</v>
      </c>
      <c r="H25" s="126">
        <v>5690</v>
      </c>
      <c r="I25" s="119">
        <v>100</v>
      </c>
      <c r="J25" s="151" t="s">
        <v>45</v>
      </c>
      <c r="K25" s="151" t="s">
        <v>42</v>
      </c>
      <c r="L25" s="144" t="s">
        <v>35</v>
      </c>
      <c r="M25" s="145">
        <v>43781.9939467593</v>
      </c>
    </row>
    <row r="26" ht="35" customHeight="1" spans="1:13">
      <c r="A26" s="127">
        <v>18</v>
      </c>
      <c r="B26" s="128" t="s">
        <v>62</v>
      </c>
      <c r="C26" s="129" t="s">
        <v>44</v>
      </c>
      <c r="D26" s="129" t="s">
        <v>48</v>
      </c>
      <c r="E26" s="129" t="s">
        <v>49</v>
      </c>
      <c r="F26" s="129" t="s">
        <v>31</v>
      </c>
      <c r="G26" s="130" t="s">
        <v>37</v>
      </c>
      <c r="H26" s="131">
        <v>300</v>
      </c>
      <c r="I26" s="129">
        <v>10</v>
      </c>
      <c r="J26" s="152" t="s">
        <v>45</v>
      </c>
      <c r="K26" s="152" t="s">
        <v>42</v>
      </c>
      <c r="L26" s="153" t="s">
        <v>35</v>
      </c>
      <c r="M26" s="154">
        <v>43782.9939467593</v>
      </c>
    </row>
    <row r="27" ht="35" customHeight="1" spans="1:13">
      <c r="A27" s="118">
        <v>19</v>
      </c>
      <c r="B27" s="120" t="s">
        <v>63</v>
      </c>
      <c r="C27" s="119" t="s">
        <v>44</v>
      </c>
      <c r="D27" s="119" t="s">
        <v>48</v>
      </c>
      <c r="E27" s="119" t="s">
        <v>49</v>
      </c>
      <c r="F27" s="119" t="s">
        <v>31</v>
      </c>
      <c r="G27" s="121" t="s">
        <v>37</v>
      </c>
      <c r="H27" s="126">
        <v>1000</v>
      </c>
      <c r="I27" s="119">
        <v>11</v>
      </c>
      <c r="J27" s="151" t="s">
        <v>45</v>
      </c>
      <c r="K27" s="151" t="s">
        <v>42</v>
      </c>
      <c r="L27" s="144" t="s">
        <v>35</v>
      </c>
      <c r="M27" s="145">
        <v>43781.9939467593</v>
      </c>
    </row>
    <row r="28" ht="35" customHeight="1" spans="1:13">
      <c r="A28" s="127">
        <v>20</v>
      </c>
      <c r="B28" s="11" t="s">
        <v>64</v>
      </c>
      <c r="C28" s="129" t="s">
        <v>44</v>
      </c>
      <c r="D28" s="129" t="s">
        <v>48</v>
      </c>
      <c r="E28" s="129" t="s">
        <v>49</v>
      </c>
      <c r="F28" s="129" t="s">
        <v>31</v>
      </c>
      <c r="G28" s="130" t="s">
        <v>37</v>
      </c>
      <c r="H28" s="131">
        <v>50</v>
      </c>
      <c r="I28" s="129">
        <v>2</v>
      </c>
      <c r="J28" s="152" t="s">
        <v>45</v>
      </c>
      <c r="K28" s="152" t="s">
        <v>42</v>
      </c>
      <c r="L28" s="153" t="s">
        <v>35</v>
      </c>
      <c r="M28" s="154">
        <v>43782.9939467593</v>
      </c>
    </row>
    <row r="29" ht="30" customHeight="1" spans="1:13">
      <c r="A29" s="132"/>
      <c r="B29" s="133"/>
      <c r="C29" s="133"/>
      <c r="D29" s="133"/>
      <c r="E29" s="133"/>
      <c r="F29" s="133"/>
      <c r="G29" s="133"/>
      <c r="H29" s="134"/>
      <c r="I29" s="133"/>
      <c r="J29" s="155"/>
      <c r="K29" s="155"/>
      <c r="L29" s="133"/>
      <c r="M29" s="156"/>
    </row>
  </sheetData>
  <mergeCells count="25">
    <mergeCell ref="A29:M29"/>
    <mergeCell ref="A5:A6"/>
    <mergeCell ref="A7:A9"/>
    <mergeCell ref="B5:B6"/>
    <mergeCell ref="C5:C6"/>
    <mergeCell ref="C7:C9"/>
    <mergeCell ref="D5:D6"/>
    <mergeCell ref="D7:D9"/>
    <mergeCell ref="E5:E6"/>
    <mergeCell ref="E7:E9"/>
    <mergeCell ref="F5:F6"/>
    <mergeCell ref="F7:F9"/>
    <mergeCell ref="G5:G6"/>
    <mergeCell ref="H5:H6"/>
    <mergeCell ref="H7:H9"/>
    <mergeCell ref="I5:I6"/>
    <mergeCell ref="I7:I9"/>
    <mergeCell ref="J5:J6"/>
    <mergeCell ref="J7:J9"/>
    <mergeCell ref="K5:K6"/>
    <mergeCell ref="K7:K9"/>
    <mergeCell ref="L5:L6"/>
    <mergeCell ref="L7:L9"/>
    <mergeCell ref="M5:M6"/>
    <mergeCell ref="M7:M9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30"/>
  <sheetViews>
    <sheetView workbookViewId="0">
      <selection activeCell="B1" sqref="B$1:B$1048576"/>
    </sheetView>
  </sheetViews>
  <sheetFormatPr defaultColWidth="9" defaultRowHeight="14.25"/>
  <cols>
    <col min="1" max="1" width="9" style="3"/>
    <col min="2" max="2" width="15.625" style="59" customWidth="1"/>
    <col min="3" max="3" width="15.625" style="3" customWidth="1"/>
    <col min="4" max="4" width="20.625" style="3" customWidth="1"/>
    <col min="5" max="5" width="20.625" style="60" customWidth="1"/>
    <col min="6" max="13" width="15.625" style="3" customWidth="1"/>
    <col min="14" max="16384" width="9" style="3"/>
  </cols>
  <sheetData>
    <row r="3" ht="30" customHeight="1" spans="2:13">
      <c r="B3" s="61" t="s">
        <v>65</v>
      </c>
      <c r="C3" s="5"/>
      <c r="D3" s="5"/>
      <c r="E3" s="62"/>
      <c r="F3" s="5"/>
      <c r="G3" s="5"/>
      <c r="H3" s="5"/>
      <c r="I3" s="5"/>
      <c r="J3" s="5"/>
      <c r="K3" s="5"/>
      <c r="L3" s="5"/>
      <c r="M3" s="17"/>
    </row>
    <row r="4" customFormat="1" ht="30" customHeight="1" spans="2:13">
      <c r="B4" s="63" t="s">
        <v>66</v>
      </c>
      <c r="C4" s="64"/>
      <c r="D4" s="64" t="s">
        <v>67</v>
      </c>
      <c r="E4" s="64" t="s">
        <v>68</v>
      </c>
      <c r="F4" s="65"/>
      <c r="G4" s="66"/>
      <c r="H4" s="66"/>
      <c r="I4" s="66"/>
      <c r="J4" s="66"/>
      <c r="K4" s="66"/>
      <c r="L4" s="66"/>
      <c r="M4" s="90"/>
    </row>
    <row r="5" s="1" customFormat="1" ht="35" customHeight="1" spans="2:13">
      <c r="B5" s="67" t="s">
        <v>69</v>
      </c>
      <c r="C5" s="68" t="s">
        <v>70</v>
      </c>
      <c r="D5" s="68" t="s">
        <v>71</v>
      </c>
      <c r="E5" s="68" t="s">
        <v>72</v>
      </c>
      <c r="F5" s="68" t="s">
        <v>73</v>
      </c>
      <c r="G5" s="69" t="s">
        <v>74</v>
      </c>
      <c r="H5" s="69" t="s">
        <v>75</v>
      </c>
      <c r="I5" s="68" t="s">
        <v>76</v>
      </c>
      <c r="J5" s="68" t="s">
        <v>77</v>
      </c>
      <c r="K5" s="68" t="s">
        <v>78</v>
      </c>
      <c r="L5" s="68" t="s">
        <v>79</v>
      </c>
      <c r="M5" s="91" t="s">
        <v>80</v>
      </c>
    </row>
    <row r="6" ht="35" customHeight="1" spans="2:13">
      <c r="B6" s="70" t="s">
        <v>81</v>
      </c>
      <c r="C6" s="71" t="s">
        <v>82</v>
      </c>
      <c r="D6" s="9" t="s">
        <v>83</v>
      </c>
      <c r="E6" s="72" t="s">
        <v>84</v>
      </c>
      <c r="F6" s="73" t="s">
        <v>85</v>
      </c>
      <c r="G6" s="74" t="s">
        <v>86</v>
      </c>
      <c r="H6" s="75">
        <v>1</v>
      </c>
      <c r="I6" s="73">
        <v>0.52</v>
      </c>
      <c r="J6" s="92" t="s">
        <v>87</v>
      </c>
      <c r="K6" s="92" t="s">
        <v>88</v>
      </c>
      <c r="L6" s="92" t="s">
        <v>88</v>
      </c>
      <c r="M6" s="93" t="s">
        <v>88</v>
      </c>
    </row>
    <row r="7" ht="35" customHeight="1" spans="2:13">
      <c r="B7" s="70"/>
      <c r="C7" s="71"/>
      <c r="D7" s="9" t="s">
        <v>89</v>
      </c>
      <c r="E7" s="72" t="s">
        <v>84</v>
      </c>
      <c r="F7" s="73" t="s">
        <v>85</v>
      </c>
      <c r="G7" s="74" t="s">
        <v>86</v>
      </c>
      <c r="H7" s="75">
        <v>1</v>
      </c>
      <c r="I7" s="73">
        <v>0.92</v>
      </c>
      <c r="J7" s="92" t="s">
        <v>88</v>
      </c>
      <c r="K7" s="92" t="s">
        <v>88</v>
      </c>
      <c r="L7" s="92" t="s">
        <v>88</v>
      </c>
      <c r="M7" s="93" t="s">
        <v>88</v>
      </c>
    </row>
    <row r="8" ht="35" customHeight="1" spans="2:13">
      <c r="B8" s="70"/>
      <c r="C8" s="71"/>
      <c r="D8" s="9" t="s">
        <v>90</v>
      </c>
      <c r="E8" s="76" t="s">
        <v>91</v>
      </c>
      <c r="F8" s="11" t="s">
        <v>85</v>
      </c>
      <c r="G8" s="20" t="s">
        <v>92</v>
      </c>
      <c r="H8" s="75">
        <v>1</v>
      </c>
      <c r="I8" s="11">
        <v>0.12</v>
      </c>
      <c r="J8" s="92" t="s">
        <v>87</v>
      </c>
      <c r="K8" s="92" t="s">
        <v>88</v>
      </c>
      <c r="L8" s="92" t="s">
        <v>88</v>
      </c>
      <c r="M8" s="93" t="s">
        <v>88</v>
      </c>
    </row>
    <row r="9" ht="35" customHeight="1" spans="2:13">
      <c r="B9" s="70"/>
      <c r="C9" s="71"/>
      <c r="D9" s="9" t="s">
        <v>93</v>
      </c>
      <c r="E9" s="72" t="s">
        <v>84</v>
      </c>
      <c r="F9" s="11" t="s">
        <v>85</v>
      </c>
      <c r="G9" s="20" t="s">
        <v>86</v>
      </c>
      <c r="H9" s="75">
        <v>1</v>
      </c>
      <c r="I9" s="11">
        <v>2.2</v>
      </c>
      <c r="J9" s="92" t="s">
        <v>87</v>
      </c>
      <c r="K9" s="92" t="s">
        <v>88</v>
      </c>
      <c r="L9" s="92" t="s">
        <v>88</v>
      </c>
      <c r="M9" s="93" t="s">
        <v>88</v>
      </c>
    </row>
    <row r="10" ht="35" customHeight="1" spans="2:13">
      <c r="B10" s="70"/>
      <c r="C10" s="71"/>
      <c r="D10" s="9" t="s">
        <v>94</v>
      </c>
      <c r="E10" s="72" t="s">
        <v>84</v>
      </c>
      <c r="F10" s="11" t="s">
        <v>95</v>
      </c>
      <c r="G10" s="20" t="s">
        <v>86</v>
      </c>
      <c r="H10" s="75">
        <v>1</v>
      </c>
      <c r="I10" s="11">
        <v>7.1</v>
      </c>
      <c r="J10" s="92" t="s">
        <v>87</v>
      </c>
      <c r="K10" s="92" t="s">
        <v>88</v>
      </c>
      <c r="L10" s="92" t="s">
        <v>88</v>
      </c>
      <c r="M10" s="93" t="s">
        <v>88</v>
      </c>
    </row>
    <row r="11" ht="35" customHeight="1" spans="2:13">
      <c r="B11" s="77" t="s">
        <v>96</v>
      </c>
      <c r="C11" s="78" t="s">
        <v>97</v>
      </c>
      <c r="D11" s="79" t="s">
        <v>98</v>
      </c>
      <c r="E11" s="80" t="s">
        <v>84</v>
      </c>
      <c r="F11" s="81" t="s">
        <v>85</v>
      </c>
      <c r="G11" s="82" t="s">
        <v>86</v>
      </c>
      <c r="H11" s="7">
        <v>1</v>
      </c>
      <c r="I11" s="81">
        <v>1.14</v>
      </c>
      <c r="J11" s="94" t="s">
        <v>87</v>
      </c>
      <c r="K11" s="94" t="s">
        <v>88</v>
      </c>
      <c r="L11" s="94" t="s">
        <v>88</v>
      </c>
      <c r="M11" s="95" t="s">
        <v>88</v>
      </c>
    </row>
    <row r="12" ht="35" customHeight="1" spans="2:13">
      <c r="B12" s="83" t="s">
        <v>99</v>
      </c>
      <c r="C12" s="71" t="s">
        <v>100</v>
      </c>
      <c r="D12" s="9" t="s">
        <v>89</v>
      </c>
      <c r="E12" s="72" t="s">
        <v>84</v>
      </c>
      <c r="F12" s="73" t="s">
        <v>85</v>
      </c>
      <c r="G12" s="74" t="s">
        <v>86</v>
      </c>
      <c r="H12" s="75">
        <v>1</v>
      </c>
      <c r="I12" s="73">
        <v>0.92</v>
      </c>
      <c r="J12" s="92" t="s">
        <v>87</v>
      </c>
      <c r="K12" s="92" t="s">
        <v>88</v>
      </c>
      <c r="L12" s="92" t="s">
        <v>88</v>
      </c>
      <c r="M12" s="93" t="s">
        <v>88</v>
      </c>
    </row>
    <row r="13" ht="35" customHeight="1" spans="2:13">
      <c r="B13" s="77" t="s">
        <v>101</v>
      </c>
      <c r="C13" s="78" t="s">
        <v>102</v>
      </c>
      <c r="D13" s="79" t="s">
        <v>90</v>
      </c>
      <c r="E13" s="80" t="s">
        <v>84</v>
      </c>
      <c r="F13" s="81" t="s">
        <v>85</v>
      </c>
      <c r="G13" s="82" t="s">
        <v>92</v>
      </c>
      <c r="H13" s="7">
        <v>1</v>
      </c>
      <c r="I13" s="81">
        <v>0.12</v>
      </c>
      <c r="J13" s="94" t="s">
        <v>87</v>
      </c>
      <c r="K13" s="94" t="s">
        <v>88</v>
      </c>
      <c r="L13" s="94" t="s">
        <v>88</v>
      </c>
      <c r="M13" s="95" t="s">
        <v>88</v>
      </c>
    </row>
    <row r="14" ht="35" customHeight="1" spans="2:13">
      <c r="B14" s="83" t="s">
        <v>103</v>
      </c>
      <c r="C14" s="71" t="s">
        <v>104</v>
      </c>
      <c r="D14" s="9" t="s">
        <v>93</v>
      </c>
      <c r="E14" s="72" t="s">
        <v>84</v>
      </c>
      <c r="F14" s="73" t="s">
        <v>85</v>
      </c>
      <c r="G14" s="74" t="s">
        <v>86</v>
      </c>
      <c r="H14" s="75">
        <v>1</v>
      </c>
      <c r="I14" s="73">
        <v>2.2</v>
      </c>
      <c r="J14" s="92" t="s">
        <v>87</v>
      </c>
      <c r="K14" s="92" t="s">
        <v>88</v>
      </c>
      <c r="L14" s="92" t="s">
        <v>88</v>
      </c>
      <c r="M14" s="93" t="s">
        <v>88</v>
      </c>
    </row>
    <row r="15" ht="35" customHeight="1" spans="2:13">
      <c r="B15" s="77" t="s">
        <v>105</v>
      </c>
      <c r="C15" s="78" t="s">
        <v>106</v>
      </c>
      <c r="D15" s="79" t="s">
        <v>94</v>
      </c>
      <c r="E15" s="80" t="s">
        <v>84</v>
      </c>
      <c r="F15" s="81" t="s">
        <v>95</v>
      </c>
      <c r="G15" s="82" t="s">
        <v>86</v>
      </c>
      <c r="H15" s="7">
        <v>1</v>
      </c>
      <c r="I15" s="81">
        <v>7.1</v>
      </c>
      <c r="J15" s="94" t="s">
        <v>87</v>
      </c>
      <c r="K15" s="94" t="s">
        <v>88</v>
      </c>
      <c r="L15" s="94" t="s">
        <v>88</v>
      </c>
      <c r="M15" s="95" t="s">
        <v>88</v>
      </c>
    </row>
    <row r="16" ht="35" customHeight="1" spans="2:13">
      <c r="B16" s="83" t="s">
        <v>107</v>
      </c>
      <c r="C16" s="71" t="s">
        <v>108</v>
      </c>
      <c r="D16" s="9" t="s">
        <v>109</v>
      </c>
      <c r="E16" s="72" t="s">
        <v>84</v>
      </c>
      <c r="F16" s="73" t="s">
        <v>85</v>
      </c>
      <c r="G16" s="74" t="s">
        <v>86</v>
      </c>
      <c r="H16" s="75">
        <v>1</v>
      </c>
      <c r="I16" s="73">
        <v>1.1</v>
      </c>
      <c r="J16" s="92" t="s">
        <v>87</v>
      </c>
      <c r="K16" s="92" t="s">
        <v>88</v>
      </c>
      <c r="L16" s="92" t="s">
        <v>88</v>
      </c>
      <c r="M16" s="93" t="s">
        <v>88</v>
      </c>
    </row>
    <row r="17" ht="35" customHeight="1" spans="2:13">
      <c r="B17" s="77" t="s">
        <v>110</v>
      </c>
      <c r="C17" s="78" t="s">
        <v>111</v>
      </c>
      <c r="D17" s="79" t="s">
        <v>112</v>
      </c>
      <c r="E17" s="80" t="s">
        <v>84</v>
      </c>
      <c r="F17" s="81" t="s">
        <v>113</v>
      </c>
      <c r="G17" s="82" t="s">
        <v>92</v>
      </c>
      <c r="H17" s="7">
        <v>1</v>
      </c>
      <c r="I17" s="81">
        <v>0.94</v>
      </c>
      <c r="J17" s="94" t="s">
        <v>87</v>
      </c>
      <c r="K17" s="94" t="s">
        <v>88</v>
      </c>
      <c r="L17" s="94" t="s">
        <v>88</v>
      </c>
      <c r="M17" s="95" t="s">
        <v>88</v>
      </c>
    </row>
    <row r="18" ht="35" customHeight="1" spans="2:13">
      <c r="B18" s="83" t="s">
        <v>114</v>
      </c>
      <c r="C18" s="71" t="s">
        <v>115</v>
      </c>
      <c r="D18" s="9" t="s">
        <v>116</v>
      </c>
      <c r="E18" s="72" t="s">
        <v>84</v>
      </c>
      <c r="F18" s="73" t="s">
        <v>113</v>
      </c>
      <c r="G18" s="74" t="s">
        <v>86</v>
      </c>
      <c r="H18" s="75">
        <v>1</v>
      </c>
      <c r="I18" s="73">
        <v>93.5</v>
      </c>
      <c r="J18" s="92" t="s">
        <v>87</v>
      </c>
      <c r="K18" s="92" t="s">
        <v>88</v>
      </c>
      <c r="L18" s="92" t="s">
        <v>88</v>
      </c>
      <c r="M18" s="93" t="s">
        <v>88</v>
      </c>
    </row>
    <row r="19" ht="35" customHeight="1" spans="2:13">
      <c r="B19" s="77" t="s">
        <v>117</v>
      </c>
      <c r="C19" s="78" t="s">
        <v>118</v>
      </c>
      <c r="D19" s="79" t="s">
        <v>119</v>
      </c>
      <c r="E19" s="80" t="s">
        <v>84</v>
      </c>
      <c r="F19" s="81" t="s">
        <v>113</v>
      </c>
      <c r="G19" s="82" t="s">
        <v>86</v>
      </c>
      <c r="H19" s="7">
        <v>1</v>
      </c>
      <c r="I19" s="81">
        <v>18.58</v>
      </c>
      <c r="J19" s="94" t="s">
        <v>87</v>
      </c>
      <c r="K19" s="94" t="s">
        <v>88</v>
      </c>
      <c r="L19" s="94" t="s">
        <v>88</v>
      </c>
      <c r="M19" s="95" t="s">
        <v>88</v>
      </c>
    </row>
    <row r="20" ht="35" customHeight="1" spans="2:13">
      <c r="B20" s="83" t="s">
        <v>120</v>
      </c>
      <c r="C20" s="71" t="s">
        <v>121</v>
      </c>
      <c r="D20" s="9" t="s">
        <v>122</v>
      </c>
      <c r="E20" s="72" t="s">
        <v>84</v>
      </c>
      <c r="F20" s="73" t="s">
        <v>113</v>
      </c>
      <c r="G20" s="74" t="s">
        <v>86</v>
      </c>
      <c r="H20" s="75">
        <v>1</v>
      </c>
      <c r="I20" s="73">
        <v>31.84</v>
      </c>
      <c r="J20" s="92" t="s">
        <v>87</v>
      </c>
      <c r="K20" s="92" t="s">
        <v>88</v>
      </c>
      <c r="L20" s="92" t="s">
        <v>88</v>
      </c>
      <c r="M20" s="93" t="s">
        <v>88</v>
      </c>
    </row>
    <row r="21" ht="35" customHeight="1" spans="2:13">
      <c r="B21" s="77" t="s">
        <v>123</v>
      </c>
      <c r="C21" s="78" t="s">
        <v>124</v>
      </c>
      <c r="D21" s="79" t="s">
        <v>125</v>
      </c>
      <c r="E21" s="80" t="s">
        <v>84</v>
      </c>
      <c r="F21" s="81" t="s">
        <v>113</v>
      </c>
      <c r="G21" s="82" t="s">
        <v>86</v>
      </c>
      <c r="H21" s="7">
        <v>1</v>
      </c>
      <c r="I21" s="81">
        <v>2.96</v>
      </c>
      <c r="J21" s="94" t="s">
        <v>87</v>
      </c>
      <c r="K21" s="94" t="s">
        <v>88</v>
      </c>
      <c r="L21" s="94" t="s">
        <v>88</v>
      </c>
      <c r="M21" s="95" t="s">
        <v>88</v>
      </c>
    </row>
    <row r="22" ht="35" customHeight="1" spans="2:13">
      <c r="B22" s="83" t="s">
        <v>99</v>
      </c>
      <c r="C22" s="71" t="s">
        <v>126</v>
      </c>
      <c r="D22" s="9" t="s">
        <v>127</v>
      </c>
      <c r="E22" s="72" t="s">
        <v>84</v>
      </c>
      <c r="F22" s="73" t="s">
        <v>113</v>
      </c>
      <c r="G22" s="74" t="s">
        <v>86</v>
      </c>
      <c r="H22" s="75">
        <v>1</v>
      </c>
      <c r="I22" s="73">
        <v>5.18</v>
      </c>
      <c r="J22" s="92" t="s">
        <v>87</v>
      </c>
      <c r="K22" s="92" t="s">
        <v>88</v>
      </c>
      <c r="L22" s="92" t="s">
        <v>88</v>
      </c>
      <c r="M22" s="93" t="s">
        <v>88</v>
      </c>
    </row>
    <row r="23" ht="35" customHeight="1" spans="2:13">
      <c r="B23" s="77" t="s">
        <v>128</v>
      </c>
      <c r="C23" s="78" t="s">
        <v>129</v>
      </c>
      <c r="D23" s="79" t="s">
        <v>130</v>
      </c>
      <c r="E23" s="80" t="s">
        <v>84</v>
      </c>
      <c r="F23" s="81" t="s">
        <v>113</v>
      </c>
      <c r="G23" s="82" t="s">
        <v>92</v>
      </c>
      <c r="H23" s="7">
        <v>1</v>
      </c>
      <c r="I23" s="81">
        <v>433.8</v>
      </c>
      <c r="J23" s="94" t="s">
        <v>87</v>
      </c>
      <c r="K23" s="94" t="s">
        <v>88</v>
      </c>
      <c r="L23" s="94" t="s">
        <v>88</v>
      </c>
      <c r="M23" s="95" t="s">
        <v>88</v>
      </c>
    </row>
    <row r="24" ht="35" customHeight="1" spans="2:13">
      <c r="B24" s="83" t="s">
        <v>131</v>
      </c>
      <c r="C24" s="71" t="s">
        <v>132</v>
      </c>
      <c r="D24" s="9" t="s">
        <v>133</v>
      </c>
      <c r="E24" s="72" t="s">
        <v>84</v>
      </c>
      <c r="F24" s="73" t="s">
        <v>113</v>
      </c>
      <c r="G24" s="74" t="s">
        <v>92</v>
      </c>
      <c r="H24" s="75">
        <v>1</v>
      </c>
      <c r="I24" s="73">
        <v>92</v>
      </c>
      <c r="J24" s="92" t="s">
        <v>87</v>
      </c>
      <c r="K24" s="92" t="s">
        <v>88</v>
      </c>
      <c r="L24" s="92" t="s">
        <v>88</v>
      </c>
      <c r="M24" s="93" t="s">
        <v>88</v>
      </c>
    </row>
    <row r="25" ht="35" customHeight="1" spans="2:13">
      <c r="B25" s="77" t="s">
        <v>134</v>
      </c>
      <c r="C25" s="78" t="s">
        <v>135</v>
      </c>
      <c r="D25" s="79" t="s">
        <v>136</v>
      </c>
      <c r="E25" s="80" t="s">
        <v>84</v>
      </c>
      <c r="F25" s="81" t="s">
        <v>113</v>
      </c>
      <c r="G25" s="82" t="s">
        <v>92</v>
      </c>
      <c r="H25" s="7">
        <v>1</v>
      </c>
      <c r="I25" s="81">
        <v>23.58</v>
      </c>
      <c r="J25" s="94" t="s">
        <v>87</v>
      </c>
      <c r="K25" s="94" t="s">
        <v>88</v>
      </c>
      <c r="L25" s="94" t="s">
        <v>88</v>
      </c>
      <c r="M25" s="95" t="s">
        <v>88</v>
      </c>
    </row>
    <row r="26" ht="35" customHeight="1" spans="2:13">
      <c r="B26" s="83" t="s">
        <v>137</v>
      </c>
      <c r="C26" s="71" t="s">
        <v>138</v>
      </c>
      <c r="D26" s="9" t="s">
        <v>139</v>
      </c>
      <c r="E26" s="72" t="s">
        <v>84</v>
      </c>
      <c r="F26" s="73" t="s">
        <v>113</v>
      </c>
      <c r="G26" s="74" t="s">
        <v>92</v>
      </c>
      <c r="H26" s="75">
        <v>1</v>
      </c>
      <c r="I26" s="73">
        <v>25.12</v>
      </c>
      <c r="J26" s="92" t="s">
        <v>87</v>
      </c>
      <c r="K26" s="92" t="s">
        <v>88</v>
      </c>
      <c r="L26" s="92" t="s">
        <v>88</v>
      </c>
      <c r="M26" s="93" t="s">
        <v>88</v>
      </c>
    </row>
    <row r="27" ht="35" customHeight="1" spans="2:13">
      <c r="B27" s="77" t="s">
        <v>140</v>
      </c>
      <c r="C27" s="78" t="s">
        <v>141</v>
      </c>
      <c r="D27" s="79" t="s">
        <v>142</v>
      </c>
      <c r="E27" s="80" t="s">
        <v>84</v>
      </c>
      <c r="F27" s="81" t="s">
        <v>113</v>
      </c>
      <c r="G27" s="82" t="s">
        <v>92</v>
      </c>
      <c r="H27" s="7">
        <v>1</v>
      </c>
      <c r="I27" s="81">
        <v>7.76</v>
      </c>
      <c r="J27" s="94" t="s">
        <v>87</v>
      </c>
      <c r="K27" s="94" t="s">
        <v>88</v>
      </c>
      <c r="L27" s="94" t="s">
        <v>88</v>
      </c>
      <c r="M27" s="95" t="s">
        <v>88</v>
      </c>
    </row>
    <row r="28" ht="35" customHeight="1" spans="2:13">
      <c r="B28" s="84"/>
      <c r="C28" s="85"/>
      <c r="D28" s="85"/>
      <c r="E28" s="86"/>
      <c r="F28" s="85"/>
      <c r="G28" s="85"/>
      <c r="H28" s="34">
        <f>SUM(H6:H27)</f>
        <v>22</v>
      </c>
      <c r="I28" s="51">
        <f>SUM(I6:I27)</f>
        <v>758.7</v>
      </c>
      <c r="J28" s="92"/>
      <c r="K28" s="92"/>
      <c r="L28" s="92"/>
      <c r="M28" s="93"/>
    </row>
    <row r="29" s="2" customFormat="1" ht="30" customHeight="1" spans="2:13">
      <c r="B29" s="14" t="s">
        <v>143</v>
      </c>
      <c r="C29" s="15"/>
      <c r="D29" s="15"/>
      <c r="E29" s="87"/>
      <c r="F29" s="15"/>
      <c r="G29" s="15"/>
      <c r="H29" s="15"/>
      <c r="I29" s="15"/>
      <c r="J29" s="15"/>
      <c r="K29" s="15"/>
      <c r="L29" s="15"/>
      <c r="M29" s="24"/>
    </row>
    <row r="30" ht="13.5" spans="2:13">
      <c r="B30" s="88"/>
      <c r="C30" s="16"/>
      <c r="D30" s="16"/>
      <c r="E30" s="89"/>
      <c r="F30" s="16"/>
      <c r="G30" s="16"/>
      <c r="H30" s="16"/>
      <c r="I30" s="16"/>
      <c r="J30" s="16"/>
      <c r="K30" s="16"/>
      <c r="L30" s="16"/>
      <c r="M30" s="16"/>
    </row>
  </sheetData>
  <mergeCells count="5">
    <mergeCell ref="B3:M3"/>
    <mergeCell ref="B29:M29"/>
    <mergeCell ref="B30:M30"/>
    <mergeCell ref="B6:B10"/>
    <mergeCell ref="C6:C1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7"/>
  <sheetViews>
    <sheetView workbookViewId="0">
      <selection activeCell="H14" sqref="H14"/>
    </sheetView>
  </sheetViews>
  <sheetFormatPr defaultColWidth="9" defaultRowHeight="11.25"/>
  <cols>
    <col min="1" max="1" width="9" style="25"/>
    <col min="2" max="2" width="5.625" style="25" customWidth="1"/>
    <col min="3" max="8" width="20.625" style="25" customWidth="1"/>
    <col min="9" max="11" width="20.625" style="27" customWidth="1"/>
    <col min="12" max="16384" width="9" style="25"/>
  </cols>
  <sheetData>
    <row r="1" ht="15" customHeight="1" spans="2:11">
      <c r="B1" s="28"/>
      <c r="C1" s="28"/>
      <c r="D1" s="28"/>
      <c r="E1" s="28"/>
      <c r="F1" s="28"/>
      <c r="G1" s="29"/>
      <c r="H1" s="29"/>
      <c r="I1" s="42"/>
      <c r="J1" s="43"/>
      <c r="K1" s="44"/>
    </row>
    <row r="2" ht="15" customHeight="1" spans="2:11">
      <c r="B2" s="28"/>
      <c r="C2" s="28"/>
      <c r="D2" s="28"/>
      <c r="E2" s="28"/>
      <c r="F2" s="28"/>
      <c r="G2" s="29"/>
      <c r="H2" s="29"/>
      <c r="I2" s="42"/>
      <c r="J2" s="43"/>
      <c r="K2" s="44"/>
    </row>
    <row r="3" ht="15" customHeight="1" spans="2:11">
      <c r="B3" s="30"/>
      <c r="C3" s="30"/>
      <c r="D3" s="30"/>
      <c r="E3" s="30"/>
      <c r="F3" s="30"/>
      <c r="G3" s="30"/>
      <c r="H3" s="30"/>
      <c r="I3" s="45"/>
      <c r="J3" s="45"/>
      <c r="K3" s="46"/>
    </row>
    <row r="4" ht="15" customHeight="1" spans="2:11">
      <c r="B4" s="30"/>
      <c r="C4" s="30"/>
      <c r="D4" s="30"/>
      <c r="E4" s="30"/>
      <c r="F4" s="30"/>
      <c r="G4" s="30"/>
      <c r="H4" s="30"/>
      <c r="I4" s="45"/>
      <c r="J4" s="45"/>
      <c r="K4" s="46"/>
    </row>
    <row r="5" ht="30" customHeight="1" spans="2:11">
      <c r="B5" s="31" t="s">
        <v>144</v>
      </c>
      <c r="C5" s="32"/>
      <c r="D5" s="32"/>
      <c r="E5" s="32"/>
      <c r="F5" s="32"/>
      <c r="G5" s="32"/>
      <c r="H5" s="32"/>
      <c r="I5" s="47"/>
      <c r="J5" s="47"/>
      <c r="K5" s="48"/>
    </row>
    <row r="6" customFormat="1" ht="30" customHeight="1" spans="2:11">
      <c r="B6" s="6" t="s">
        <v>14</v>
      </c>
      <c r="C6" s="33" t="s">
        <v>20</v>
      </c>
      <c r="D6" s="33" t="s">
        <v>145</v>
      </c>
      <c r="E6" s="33" t="s">
        <v>146</v>
      </c>
      <c r="F6" s="33" t="s">
        <v>147</v>
      </c>
      <c r="G6" s="33" t="s">
        <v>148</v>
      </c>
      <c r="H6" s="33" t="s">
        <v>149</v>
      </c>
      <c r="I6" s="49" t="s">
        <v>150</v>
      </c>
      <c r="J6" s="49" t="s">
        <v>151</v>
      </c>
      <c r="K6" s="50" t="s">
        <v>152</v>
      </c>
    </row>
    <row r="7" s="1" customFormat="1" ht="30" customHeight="1" spans="2:11">
      <c r="B7" s="8">
        <v>1</v>
      </c>
      <c r="C7" s="34" t="s">
        <v>153</v>
      </c>
      <c r="D7" s="10" t="s">
        <v>154</v>
      </c>
      <c r="E7" s="34" t="s">
        <v>44</v>
      </c>
      <c r="F7" s="34" t="s">
        <v>28</v>
      </c>
      <c r="G7" s="34">
        <v>50</v>
      </c>
      <c r="H7" s="34" t="s">
        <v>155</v>
      </c>
      <c r="I7" s="51">
        <v>1</v>
      </c>
      <c r="J7" s="51">
        <v>167</v>
      </c>
      <c r="K7" s="52">
        <v>200</v>
      </c>
    </row>
    <row r="8" s="25" customFormat="1" ht="30" customHeight="1" spans="2:11">
      <c r="B8" s="35">
        <v>2</v>
      </c>
      <c r="C8" s="36" t="s">
        <v>156</v>
      </c>
      <c r="D8" s="37" t="s">
        <v>154</v>
      </c>
      <c r="E8" s="36" t="s">
        <v>44</v>
      </c>
      <c r="F8" s="36" t="s">
        <v>28</v>
      </c>
      <c r="G8" s="36">
        <v>50</v>
      </c>
      <c r="H8" s="36" t="s">
        <v>155</v>
      </c>
      <c r="I8" s="53">
        <v>1</v>
      </c>
      <c r="J8" s="53">
        <v>167</v>
      </c>
      <c r="K8" s="54">
        <v>200</v>
      </c>
    </row>
    <row r="9" s="25" customFormat="1" ht="30" customHeight="1" spans="2:11">
      <c r="B9" s="8">
        <v>3</v>
      </c>
      <c r="C9" s="34" t="s">
        <v>157</v>
      </c>
      <c r="D9" s="10" t="s">
        <v>154</v>
      </c>
      <c r="E9" s="34" t="s">
        <v>44</v>
      </c>
      <c r="F9" s="34" t="s">
        <v>28</v>
      </c>
      <c r="G9" s="34">
        <v>50</v>
      </c>
      <c r="H9" s="34" t="s">
        <v>155</v>
      </c>
      <c r="I9" s="51">
        <v>1</v>
      </c>
      <c r="J9" s="51">
        <v>167</v>
      </c>
      <c r="K9" s="52">
        <v>200</v>
      </c>
    </row>
    <row r="10" s="25" customFormat="1" ht="30" customHeight="1" spans="2:11">
      <c r="B10" s="8">
        <v>4</v>
      </c>
      <c r="C10" s="34" t="s">
        <v>158</v>
      </c>
      <c r="D10" s="10" t="s">
        <v>154</v>
      </c>
      <c r="E10" s="34" t="s">
        <v>44</v>
      </c>
      <c r="F10" s="34" t="s">
        <v>28</v>
      </c>
      <c r="G10" s="34">
        <v>50</v>
      </c>
      <c r="H10" s="34" t="s">
        <v>155</v>
      </c>
      <c r="I10" s="51">
        <v>1</v>
      </c>
      <c r="J10" s="51">
        <v>167</v>
      </c>
      <c r="K10" s="52">
        <v>200</v>
      </c>
    </row>
    <row r="11" s="25" customFormat="1" ht="30" customHeight="1" spans="2:11">
      <c r="B11" s="8">
        <v>5</v>
      </c>
      <c r="C11" s="34" t="s">
        <v>159</v>
      </c>
      <c r="D11" s="10" t="s">
        <v>154</v>
      </c>
      <c r="E11" s="34" t="s">
        <v>44</v>
      </c>
      <c r="F11" s="34" t="s">
        <v>28</v>
      </c>
      <c r="G11" s="34">
        <v>50</v>
      </c>
      <c r="H11" s="34" t="s">
        <v>155</v>
      </c>
      <c r="I11" s="51">
        <v>1</v>
      </c>
      <c r="J11" s="51">
        <v>167</v>
      </c>
      <c r="K11" s="52">
        <v>200</v>
      </c>
    </row>
    <row r="12" s="25" customFormat="1" ht="30" customHeight="1" spans="2:11">
      <c r="B12" s="8">
        <v>6</v>
      </c>
      <c r="C12" s="34" t="s">
        <v>160</v>
      </c>
      <c r="D12" s="10" t="s">
        <v>154</v>
      </c>
      <c r="E12" s="34" t="s">
        <v>44</v>
      </c>
      <c r="F12" s="34" t="s">
        <v>28</v>
      </c>
      <c r="G12" s="34">
        <v>50</v>
      </c>
      <c r="H12" s="34" t="s">
        <v>155</v>
      </c>
      <c r="I12" s="51">
        <v>1</v>
      </c>
      <c r="J12" s="51">
        <v>167</v>
      </c>
      <c r="K12" s="52">
        <v>200</v>
      </c>
    </row>
    <row r="13" s="25" customFormat="1" ht="30" customHeight="1" spans="2:11">
      <c r="B13" s="8">
        <v>7</v>
      </c>
      <c r="C13" s="34" t="s">
        <v>161</v>
      </c>
      <c r="D13" s="10" t="s">
        <v>154</v>
      </c>
      <c r="E13" s="34" t="s">
        <v>44</v>
      </c>
      <c r="F13" s="34" t="s">
        <v>28</v>
      </c>
      <c r="G13" s="34">
        <v>50</v>
      </c>
      <c r="H13" s="34" t="s">
        <v>155</v>
      </c>
      <c r="I13" s="51">
        <v>1</v>
      </c>
      <c r="J13" s="51">
        <v>167</v>
      </c>
      <c r="K13" s="52">
        <v>200</v>
      </c>
    </row>
    <row r="14" s="25" customFormat="1" ht="30" customHeight="1" spans="2:11">
      <c r="B14" s="8">
        <v>8</v>
      </c>
      <c r="C14" s="34" t="s">
        <v>162</v>
      </c>
      <c r="D14" s="10" t="s">
        <v>154</v>
      </c>
      <c r="E14" s="34" t="s">
        <v>44</v>
      </c>
      <c r="F14" s="34" t="s">
        <v>28</v>
      </c>
      <c r="G14" s="34">
        <v>50</v>
      </c>
      <c r="H14" s="34" t="s">
        <v>155</v>
      </c>
      <c r="I14" s="51">
        <v>1</v>
      </c>
      <c r="J14" s="51">
        <v>167</v>
      </c>
      <c r="K14" s="52">
        <v>200</v>
      </c>
    </row>
    <row r="15" s="25" customFormat="1" ht="30" customHeight="1" spans="2:11">
      <c r="B15" s="8">
        <v>9</v>
      </c>
      <c r="C15" s="34" t="s">
        <v>163</v>
      </c>
      <c r="D15" s="10" t="s">
        <v>154</v>
      </c>
      <c r="E15" s="34" t="s">
        <v>44</v>
      </c>
      <c r="F15" s="34" t="s">
        <v>28</v>
      </c>
      <c r="G15" s="34">
        <v>50</v>
      </c>
      <c r="H15" s="34" t="s">
        <v>155</v>
      </c>
      <c r="I15" s="51">
        <v>1</v>
      </c>
      <c r="J15" s="51">
        <v>167</v>
      </c>
      <c r="K15" s="52">
        <v>200</v>
      </c>
    </row>
    <row r="16" s="25" customFormat="1" ht="30" customHeight="1" spans="2:11">
      <c r="B16" s="8">
        <v>10</v>
      </c>
      <c r="C16" s="34" t="s">
        <v>164</v>
      </c>
      <c r="D16" s="10" t="s">
        <v>154</v>
      </c>
      <c r="E16" s="34" t="s">
        <v>44</v>
      </c>
      <c r="F16" s="34" t="s">
        <v>28</v>
      </c>
      <c r="G16" s="34">
        <v>50</v>
      </c>
      <c r="H16" s="34" t="s">
        <v>155</v>
      </c>
      <c r="I16" s="51">
        <v>1</v>
      </c>
      <c r="J16" s="51">
        <v>167</v>
      </c>
      <c r="K16" s="52">
        <v>200</v>
      </c>
    </row>
    <row r="17" s="25" customFormat="1" ht="30" customHeight="1" spans="2:11">
      <c r="B17" s="8">
        <v>11</v>
      </c>
      <c r="C17" s="34" t="s">
        <v>165</v>
      </c>
      <c r="D17" s="10" t="s">
        <v>154</v>
      </c>
      <c r="E17" s="34" t="s">
        <v>44</v>
      </c>
      <c r="F17" s="34" t="s">
        <v>28</v>
      </c>
      <c r="G17" s="34">
        <v>50</v>
      </c>
      <c r="H17" s="34" t="s">
        <v>155</v>
      </c>
      <c r="I17" s="51">
        <v>1</v>
      </c>
      <c r="J17" s="51">
        <v>167</v>
      </c>
      <c r="K17" s="52">
        <v>200</v>
      </c>
    </row>
    <row r="18" s="25" customFormat="1" ht="30" customHeight="1" spans="2:11">
      <c r="B18" s="8">
        <v>12</v>
      </c>
      <c r="C18" s="34" t="s">
        <v>166</v>
      </c>
      <c r="D18" s="10" t="s">
        <v>154</v>
      </c>
      <c r="E18" s="34" t="s">
        <v>44</v>
      </c>
      <c r="F18" s="34" t="s">
        <v>28</v>
      </c>
      <c r="G18" s="34">
        <v>50</v>
      </c>
      <c r="H18" s="34" t="s">
        <v>155</v>
      </c>
      <c r="I18" s="51">
        <v>1</v>
      </c>
      <c r="J18" s="51">
        <v>167</v>
      </c>
      <c r="K18" s="52">
        <v>200</v>
      </c>
    </row>
    <row r="19" s="25" customFormat="1" ht="30" customHeight="1" spans="2:11">
      <c r="B19" s="8">
        <v>13</v>
      </c>
      <c r="C19" s="34" t="s">
        <v>167</v>
      </c>
      <c r="D19" s="10" t="s">
        <v>154</v>
      </c>
      <c r="E19" s="34" t="s">
        <v>44</v>
      </c>
      <c r="F19" s="34" t="s">
        <v>28</v>
      </c>
      <c r="G19" s="34">
        <v>50</v>
      </c>
      <c r="H19" s="34" t="s">
        <v>155</v>
      </c>
      <c r="I19" s="51">
        <v>1</v>
      </c>
      <c r="J19" s="51">
        <v>167</v>
      </c>
      <c r="K19" s="52">
        <v>200</v>
      </c>
    </row>
    <row r="20" s="25" customFormat="1" ht="30" customHeight="1" spans="2:11">
      <c r="B20" s="8">
        <v>14</v>
      </c>
      <c r="C20" s="34" t="s">
        <v>168</v>
      </c>
      <c r="D20" s="10" t="s">
        <v>154</v>
      </c>
      <c r="E20" s="34" t="s">
        <v>44</v>
      </c>
      <c r="F20" s="34" t="s">
        <v>28</v>
      </c>
      <c r="G20" s="34">
        <v>50</v>
      </c>
      <c r="H20" s="34" t="s">
        <v>155</v>
      </c>
      <c r="I20" s="51">
        <v>1</v>
      </c>
      <c r="J20" s="51">
        <v>167</v>
      </c>
      <c r="K20" s="52">
        <v>200</v>
      </c>
    </row>
    <row r="21" s="25" customFormat="1" ht="30" customHeight="1" spans="2:11">
      <c r="B21" s="8">
        <v>15</v>
      </c>
      <c r="C21" s="34" t="s">
        <v>169</v>
      </c>
      <c r="D21" s="10" t="s">
        <v>154</v>
      </c>
      <c r="E21" s="34" t="s">
        <v>44</v>
      </c>
      <c r="F21" s="34" t="s">
        <v>28</v>
      </c>
      <c r="G21" s="34">
        <v>50</v>
      </c>
      <c r="H21" s="34" t="s">
        <v>155</v>
      </c>
      <c r="I21" s="51">
        <v>1</v>
      </c>
      <c r="J21" s="51">
        <v>167</v>
      </c>
      <c r="K21" s="52">
        <v>200</v>
      </c>
    </row>
    <row r="22" s="25" customFormat="1" ht="30" customHeight="1" spans="2:11">
      <c r="B22" s="8">
        <v>16</v>
      </c>
      <c r="C22" s="34" t="s">
        <v>170</v>
      </c>
      <c r="D22" s="10" t="s">
        <v>154</v>
      </c>
      <c r="E22" s="34" t="s">
        <v>44</v>
      </c>
      <c r="F22" s="34" t="s">
        <v>28</v>
      </c>
      <c r="G22" s="34">
        <v>50</v>
      </c>
      <c r="H22" s="34" t="s">
        <v>155</v>
      </c>
      <c r="I22" s="51">
        <v>1</v>
      </c>
      <c r="J22" s="51">
        <v>167</v>
      </c>
      <c r="K22" s="52">
        <v>200</v>
      </c>
    </row>
    <row r="23" s="25" customFormat="1" ht="30" customHeight="1" spans="2:11">
      <c r="B23" s="8">
        <v>17</v>
      </c>
      <c r="C23" s="34" t="s">
        <v>171</v>
      </c>
      <c r="D23" s="10" t="s">
        <v>154</v>
      </c>
      <c r="E23" s="34" t="s">
        <v>44</v>
      </c>
      <c r="F23" s="34" t="s">
        <v>28</v>
      </c>
      <c r="G23" s="34">
        <v>50</v>
      </c>
      <c r="H23" s="34" t="s">
        <v>155</v>
      </c>
      <c r="I23" s="51">
        <v>1</v>
      </c>
      <c r="J23" s="51">
        <v>167</v>
      </c>
      <c r="K23" s="52">
        <v>200</v>
      </c>
    </row>
    <row r="24" s="25" customFormat="1" ht="30" customHeight="1" spans="2:11">
      <c r="B24" s="8">
        <v>18</v>
      </c>
      <c r="C24" s="34" t="s">
        <v>172</v>
      </c>
      <c r="D24" s="10" t="s">
        <v>154</v>
      </c>
      <c r="E24" s="34" t="s">
        <v>44</v>
      </c>
      <c r="F24" s="34" t="s">
        <v>28</v>
      </c>
      <c r="G24" s="34">
        <v>50</v>
      </c>
      <c r="H24" s="34" t="s">
        <v>155</v>
      </c>
      <c r="I24" s="51">
        <v>1</v>
      </c>
      <c r="J24" s="51">
        <v>167</v>
      </c>
      <c r="K24" s="52">
        <v>200</v>
      </c>
    </row>
    <row r="25" s="25" customFormat="1" ht="30" customHeight="1" spans="2:11">
      <c r="B25" s="8">
        <v>19</v>
      </c>
      <c r="C25" s="34" t="s">
        <v>173</v>
      </c>
      <c r="D25" s="10" t="s">
        <v>154</v>
      </c>
      <c r="E25" s="34" t="s">
        <v>44</v>
      </c>
      <c r="F25" s="34" t="s">
        <v>28</v>
      </c>
      <c r="G25" s="34">
        <v>50</v>
      </c>
      <c r="H25" s="34" t="s">
        <v>155</v>
      </c>
      <c r="I25" s="51">
        <v>1</v>
      </c>
      <c r="J25" s="51">
        <v>167</v>
      </c>
      <c r="K25" s="52">
        <v>200</v>
      </c>
    </row>
    <row r="26" s="25" customFormat="1" ht="30" customHeight="1" spans="2:11">
      <c r="B26" s="38"/>
      <c r="C26" s="7"/>
      <c r="D26" s="7"/>
      <c r="E26" s="7"/>
      <c r="F26" s="7"/>
      <c r="G26" s="39">
        <f t="shared" ref="G26:K26" si="0">SUM(G7:G25)</f>
        <v>950</v>
      </c>
      <c r="H26" s="7"/>
      <c r="I26" s="55">
        <f t="shared" si="0"/>
        <v>19</v>
      </c>
      <c r="J26" s="55">
        <f t="shared" si="0"/>
        <v>3173</v>
      </c>
      <c r="K26" s="56">
        <f t="shared" si="0"/>
        <v>3800</v>
      </c>
    </row>
    <row r="27" s="26" customFormat="1" ht="30" customHeight="1" spans="2:11">
      <c r="B27" s="40" t="s">
        <v>174</v>
      </c>
      <c r="C27" s="41"/>
      <c r="D27" s="41"/>
      <c r="E27" s="41"/>
      <c r="F27" s="41"/>
      <c r="G27" s="41"/>
      <c r="H27" s="41"/>
      <c r="I27" s="57"/>
      <c r="J27" s="57"/>
      <c r="K27" s="58"/>
    </row>
  </sheetData>
  <mergeCells count="2">
    <mergeCell ref="B5:K5"/>
    <mergeCell ref="B27:K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25"/>
  <sheetViews>
    <sheetView topLeftCell="B16" workbookViewId="0">
      <selection activeCell="G19" sqref="G19"/>
    </sheetView>
  </sheetViews>
  <sheetFormatPr defaultColWidth="9" defaultRowHeight="13.5"/>
  <cols>
    <col min="1" max="1" width="9" style="3"/>
    <col min="2" max="2" width="10.625" style="3" customWidth="1"/>
    <col min="3" max="3" width="20.625" style="3" customWidth="1"/>
    <col min="4" max="4" width="25.625" style="3" customWidth="1"/>
    <col min="5" max="13" width="15.625" style="3" customWidth="1"/>
    <col min="14" max="16384" width="9" style="3"/>
  </cols>
  <sheetData>
    <row r="3" ht="30" customHeight="1" spans="2:13">
      <c r="B3" s="4" t="s">
        <v>175</v>
      </c>
      <c r="C3" s="5"/>
      <c r="D3" s="5"/>
      <c r="E3" s="5"/>
      <c r="F3" s="5"/>
      <c r="G3" s="5"/>
      <c r="H3" s="5"/>
      <c r="I3" s="5"/>
      <c r="J3" s="5"/>
      <c r="K3" s="5"/>
      <c r="L3" s="5"/>
      <c r="M3" s="17"/>
    </row>
    <row r="4" s="1" customFormat="1" ht="30" customHeight="1" spans="2:13">
      <c r="B4" s="6" t="s">
        <v>14</v>
      </c>
      <c r="C4" s="7" t="s">
        <v>176</v>
      </c>
      <c r="D4" s="7" t="s">
        <v>177</v>
      </c>
      <c r="E4" s="7" t="s">
        <v>178</v>
      </c>
      <c r="F4" s="7" t="s">
        <v>179</v>
      </c>
      <c r="G4" s="7" t="s">
        <v>180</v>
      </c>
      <c r="H4" s="7" t="s">
        <v>181</v>
      </c>
      <c r="I4" s="18" t="s">
        <v>147</v>
      </c>
      <c r="J4" s="7" t="s">
        <v>22</v>
      </c>
      <c r="K4" s="7" t="s">
        <v>150</v>
      </c>
      <c r="L4" s="7" t="s">
        <v>151</v>
      </c>
      <c r="M4" s="19" t="s">
        <v>152</v>
      </c>
    </row>
    <row r="5" ht="40" customHeight="1" spans="2:13">
      <c r="B5" s="8">
        <v>1</v>
      </c>
      <c r="C5" s="9" t="s">
        <v>83</v>
      </c>
      <c r="D5" s="10" t="s">
        <v>182</v>
      </c>
      <c r="E5" s="10" t="s">
        <v>183</v>
      </c>
      <c r="F5" s="11" t="s">
        <v>85</v>
      </c>
      <c r="G5" s="11" t="s">
        <v>85</v>
      </c>
      <c r="H5" s="10" t="s">
        <v>184</v>
      </c>
      <c r="I5" s="20" t="s">
        <v>86</v>
      </c>
      <c r="J5" s="11">
        <v>1</v>
      </c>
      <c r="K5" s="11">
        <v>0.52</v>
      </c>
      <c r="L5" s="11">
        <v>0.52</v>
      </c>
      <c r="M5" s="21">
        <v>0.52</v>
      </c>
    </row>
    <row r="6" ht="40" customHeight="1" spans="2:13">
      <c r="B6" s="8">
        <v>2</v>
      </c>
      <c r="C6" s="9" t="s">
        <v>98</v>
      </c>
      <c r="D6" s="11" t="s">
        <v>185</v>
      </c>
      <c r="E6" s="10" t="s">
        <v>52</v>
      </c>
      <c r="F6" s="11" t="s">
        <v>85</v>
      </c>
      <c r="G6" s="11" t="s">
        <v>85</v>
      </c>
      <c r="H6" s="10" t="s">
        <v>186</v>
      </c>
      <c r="I6" s="20" t="s">
        <v>86</v>
      </c>
      <c r="J6" s="11">
        <v>1</v>
      </c>
      <c r="K6" s="11">
        <v>1.14</v>
      </c>
      <c r="L6" s="11">
        <v>1.14</v>
      </c>
      <c r="M6" s="21">
        <v>1.14</v>
      </c>
    </row>
    <row r="7" ht="40" customHeight="1" spans="2:13">
      <c r="B7" s="8">
        <v>3</v>
      </c>
      <c r="C7" s="9" t="s">
        <v>89</v>
      </c>
      <c r="D7" s="11" t="s">
        <v>187</v>
      </c>
      <c r="E7" s="10" t="s">
        <v>52</v>
      </c>
      <c r="F7" s="11" t="s">
        <v>85</v>
      </c>
      <c r="G7" s="11" t="s">
        <v>85</v>
      </c>
      <c r="H7" s="10" t="s">
        <v>188</v>
      </c>
      <c r="I7" s="20" t="s">
        <v>86</v>
      </c>
      <c r="J7" s="11">
        <v>1</v>
      </c>
      <c r="K7" s="11">
        <v>0.92</v>
      </c>
      <c r="L7" s="11">
        <v>0.92</v>
      </c>
      <c r="M7" s="21">
        <v>0.92</v>
      </c>
    </row>
    <row r="8" ht="40" customHeight="1" spans="2:13">
      <c r="B8" s="8">
        <v>4</v>
      </c>
      <c r="C8" s="9" t="s">
        <v>90</v>
      </c>
      <c r="D8" s="11" t="s">
        <v>189</v>
      </c>
      <c r="E8" s="10" t="s">
        <v>52</v>
      </c>
      <c r="F8" s="11" t="s">
        <v>85</v>
      </c>
      <c r="G8" s="11" t="s">
        <v>85</v>
      </c>
      <c r="H8" s="10" t="s">
        <v>190</v>
      </c>
      <c r="I8" s="20" t="s">
        <v>86</v>
      </c>
      <c r="J8" s="11">
        <v>1</v>
      </c>
      <c r="K8" s="11">
        <v>0.12</v>
      </c>
      <c r="L8" s="11">
        <v>0.12</v>
      </c>
      <c r="M8" s="21">
        <v>0.12</v>
      </c>
    </row>
    <row r="9" ht="40" customHeight="1" spans="2:13">
      <c r="B9" s="8">
        <v>5</v>
      </c>
      <c r="C9" s="9" t="s">
        <v>93</v>
      </c>
      <c r="D9" s="10" t="s">
        <v>182</v>
      </c>
      <c r="E9" s="10" t="s">
        <v>52</v>
      </c>
      <c r="F9" s="11" t="s">
        <v>85</v>
      </c>
      <c r="G9" s="11" t="s">
        <v>85</v>
      </c>
      <c r="H9" s="10" t="s">
        <v>184</v>
      </c>
      <c r="I9" s="20" t="s">
        <v>86</v>
      </c>
      <c r="J9" s="11">
        <v>1</v>
      </c>
      <c r="K9" s="11">
        <v>2.2</v>
      </c>
      <c r="L9" s="11">
        <v>2.2</v>
      </c>
      <c r="M9" s="21">
        <v>2.2</v>
      </c>
    </row>
    <row r="10" ht="40" customHeight="1" spans="2:13">
      <c r="B10" s="8">
        <v>6</v>
      </c>
      <c r="C10" s="9" t="s">
        <v>94</v>
      </c>
      <c r="D10" s="11" t="s">
        <v>185</v>
      </c>
      <c r="E10" s="10" t="s">
        <v>52</v>
      </c>
      <c r="F10" s="11" t="s">
        <v>95</v>
      </c>
      <c r="G10" s="11" t="s">
        <v>95</v>
      </c>
      <c r="H10" s="10" t="s">
        <v>186</v>
      </c>
      <c r="I10" s="20" t="s">
        <v>86</v>
      </c>
      <c r="J10" s="11">
        <v>1</v>
      </c>
      <c r="K10" s="11">
        <v>7.1</v>
      </c>
      <c r="L10" s="11">
        <v>7.1</v>
      </c>
      <c r="M10" s="21">
        <v>7.1</v>
      </c>
    </row>
    <row r="11" ht="40" customHeight="1" spans="2:13">
      <c r="B11" s="8">
        <v>7</v>
      </c>
      <c r="C11" s="9" t="s">
        <v>109</v>
      </c>
      <c r="D11" s="11" t="s">
        <v>187</v>
      </c>
      <c r="E11" s="10" t="s">
        <v>52</v>
      </c>
      <c r="F11" s="11" t="s">
        <v>85</v>
      </c>
      <c r="G11" s="11" t="s">
        <v>85</v>
      </c>
      <c r="H11" s="10" t="s">
        <v>188</v>
      </c>
      <c r="I11" s="20" t="s">
        <v>86</v>
      </c>
      <c r="J11" s="11">
        <v>1</v>
      </c>
      <c r="K11" s="11">
        <v>1.1</v>
      </c>
      <c r="L11" s="11">
        <v>1.1</v>
      </c>
      <c r="M11" s="21">
        <v>1.1</v>
      </c>
    </row>
    <row r="12" ht="40" customHeight="1" spans="2:13">
      <c r="B12" s="8">
        <v>8</v>
      </c>
      <c r="C12" s="9" t="s">
        <v>112</v>
      </c>
      <c r="D12" s="11" t="s">
        <v>189</v>
      </c>
      <c r="E12" s="10" t="s">
        <v>52</v>
      </c>
      <c r="F12" s="11" t="s">
        <v>113</v>
      </c>
      <c r="G12" s="11" t="s">
        <v>113</v>
      </c>
      <c r="H12" s="10" t="s">
        <v>190</v>
      </c>
      <c r="I12" s="20" t="s">
        <v>86</v>
      </c>
      <c r="J12" s="11">
        <v>1</v>
      </c>
      <c r="K12" s="11">
        <v>0.94</v>
      </c>
      <c r="L12" s="11">
        <v>0.94</v>
      </c>
      <c r="M12" s="21">
        <v>0.94</v>
      </c>
    </row>
    <row r="13" ht="40" customHeight="1" spans="2:13">
      <c r="B13" s="8">
        <v>9</v>
      </c>
      <c r="C13" s="9" t="s">
        <v>116</v>
      </c>
      <c r="D13" s="10" t="s">
        <v>182</v>
      </c>
      <c r="E13" s="10" t="s">
        <v>52</v>
      </c>
      <c r="F13" s="11" t="s">
        <v>113</v>
      </c>
      <c r="G13" s="11" t="s">
        <v>191</v>
      </c>
      <c r="H13" s="10" t="s">
        <v>184</v>
      </c>
      <c r="I13" s="20" t="s">
        <v>86</v>
      </c>
      <c r="J13" s="11">
        <v>1</v>
      </c>
      <c r="K13" s="11">
        <v>93.5</v>
      </c>
      <c r="L13" s="11">
        <v>93.5</v>
      </c>
      <c r="M13" s="21">
        <v>93.5</v>
      </c>
    </row>
    <row r="14" ht="40" customHeight="1" spans="2:13">
      <c r="B14" s="8">
        <v>10</v>
      </c>
      <c r="C14" s="9" t="s">
        <v>119</v>
      </c>
      <c r="D14" s="11" t="s">
        <v>185</v>
      </c>
      <c r="E14" s="10" t="s">
        <v>192</v>
      </c>
      <c r="F14" s="11" t="s">
        <v>113</v>
      </c>
      <c r="G14" s="11" t="s">
        <v>193</v>
      </c>
      <c r="H14" s="10" t="s">
        <v>194</v>
      </c>
      <c r="I14" s="20" t="s">
        <v>86</v>
      </c>
      <c r="J14" s="11">
        <v>1</v>
      </c>
      <c r="K14" s="11">
        <v>18.58</v>
      </c>
      <c r="L14" s="11">
        <v>18.58</v>
      </c>
      <c r="M14" s="21">
        <v>18.58</v>
      </c>
    </row>
    <row r="15" ht="40" customHeight="1" spans="2:13">
      <c r="B15" s="8">
        <v>11</v>
      </c>
      <c r="C15" s="9" t="s">
        <v>122</v>
      </c>
      <c r="D15" s="11" t="s">
        <v>187</v>
      </c>
      <c r="E15" s="10" t="s">
        <v>192</v>
      </c>
      <c r="F15" s="11" t="s">
        <v>113</v>
      </c>
      <c r="G15" s="11" t="s">
        <v>195</v>
      </c>
      <c r="H15" s="10" t="s">
        <v>196</v>
      </c>
      <c r="I15" s="20" t="s">
        <v>86</v>
      </c>
      <c r="J15" s="11">
        <v>1</v>
      </c>
      <c r="K15" s="11">
        <v>31.84</v>
      </c>
      <c r="L15" s="11">
        <v>31.84</v>
      </c>
      <c r="M15" s="21">
        <v>31.84</v>
      </c>
    </row>
    <row r="16" ht="40" customHeight="1" spans="2:13">
      <c r="B16" s="8">
        <v>12</v>
      </c>
      <c r="C16" s="9" t="s">
        <v>125</v>
      </c>
      <c r="D16" s="11" t="s">
        <v>189</v>
      </c>
      <c r="E16" s="10" t="s">
        <v>192</v>
      </c>
      <c r="F16" s="11" t="s">
        <v>113</v>
      </c>
      <c r="G16" s="11" t="s">
        <v>197</v>
      </c>
      <c r="H16" s="10" t="s">
        <v>190</v>
      </c>
      <c r="I16" s="20" t="s">
        <v>86</v>
      </c>
      <c r="J16" s="11">
        <v>1</v>
      </c>
      <c r="K16" s="11">
        <v>2.96</v>
      </c>
      <c r="L16" s="11">
        <v>2.96</v>
      </c>
      <c r="M16" s="21">
        <v>2.96</v>
      </c>
    </row>
    <row r="17" ht="40" customHeight="1" spans="2:13">
      <c r="B17" s="8">
        <v>13</v>
      </c>
      <c r="C17" s="9" t="s">
        <v>127</v>
      </c>
      <c r="D17" s="10" t="s">
        <v>182</v>
      </c>
      <c r="E17" s="10" t="s">
        <v>192</v>
      </c>
      <c r="F17" s="11" t="s">
        <v>113</v>
      </c>
      <c r="G17" s="11" t="s">
        <v>191</v>
      </c>
      <c r="H17" s="10" t="s">
        <v>196</v>
      </c>
      <c r="I17" s="20" t="s">
        <v>86</v>
      </c>
      <c r="J17" s="11">
        <v>1</v>
      </c>
      <c r="K17" s="11">
        <v>5.18</v>
      </c>
      <c r="L17" s="11">
        <v>5.18</v>
      </c>
      <c r="M17" s="21">
        <v>5.18</v>
      </c>
    </row>
    <row r="18" ht="40" customHeight="1" spans="2:13">
      <c r="B18" s="8">
        <v>14</v>
      </c>
      <c r="C18" s="9" t="s">
        <v>130</v>
      </c>
      <c r="D18" s="11" t="s">
        <v>185</v>
      </c>
      <c r="E18" s="10" t="s">
        <v>192</v>
      </c>
      <c r="F18" s="11" t="s">
        <v>113</v>
      </c>
      <c r="G18" s="11" t="s">
        <v>191</v>
      </c>
      <c r="H18" s="10" t="s">
        <v>198</v>
      </c>
      <c r="I18" s="20" t="s">
        <v>86</v>
      </c>
      <c r="J18" s="11">
        <v>1</v>
      </c>
      <c r="K18" s="11">
        <v>433.8</v>
      </c>
      <c r="L18" s="11">
        <v>433.8</v>
      </c>
      <c r="M18" s="21">
        <v>433.8</v>
      </c>
    </row>
    <row r="19" ht="40" customHeight="1" spans="2:13">
      <c r="B19" s="8">
        <v>15</v>
      </c>
      <c r="C19" s="9" t="s">
        <v>133</v>
      </c>
      <c r="D19" s="11" t="s">
        <v>187</v>
      </c>
      <c r="E19" s="10" t="s">
        <v>52</v>
      </c>
      <c r="F19" s="11" t="s">
        <v>113</v>
      </c>
      <c r="G19" s="11" t="s">
        <v>199</v>
      </c>
      <c r="H19" s="10" t="s">
        <v>200</v>
      </c>
      <c r="I19" s="20" t="s">
        <v>86</v>
      </c>
      <c r="J19" s="11">
        <v>1</v>
      </c>
      <c r="K19" s="11">
        <v>92</v>
      </c>
      <c r="L19" s="11">
        <v>92</v>
      </c>
      <c r="M19" s="21">
        <v>92</v>
      </c>
    </row>
    <row r="20" ht="40" customHeight="1" spans="2:13">
      <c r="B20" s="8">
        <v>16</v>
      </c>
      <c r="C20" s="9" t="s">
        <v>136</v>
      </c>
      <c r="D20" s="11" t="s">
        <v>189</v>
      </c>
      <c r="E20" s="10" t="s">
        <v>192</v>
      </c>
      <c r="F20" s="11" t="s">
        <v>113</v>
      </c>
      <c r="G20" s="11" t="s">
        <v>191</v>
      </c>
      <c r="H20" s="10" t="s">
        <v>190</v>
      </c>
      <c r="I20" s="20" t="s">
        <v>86</v>
      </c>
      <c r="J20" s="11">
        <v>1</v>
      </c>
      <c r="K20" s="11">
        <v>23.58</v>
      </c>
      <c r="L20" s="11">
        <v>23.58</v>
      </c>
      <c r="M20" s="21">
        <v>23.58</v>
      </c>
    </row>
    <row r="21" ht="40" customHeight="1" spans="2:13">
      <c r="B21" s="8">
        <v>17</v>
      </c>
      <c r="C21" s="9" t="s">
        <v>139</v>
      </c>
      <c r="D21" s="11" t="s">
        <v>187</v>
      </c>
      <c r="E21" s="10" t="s">
        <v>52</v>
      </c>
      <c r="F21" s="11" t="s">
        <v>113</v>
      </c>
      <c r="G21" s="11" t="s">
        <v>191</v>
      </c>
      <c r="H21" s="10" t="s">
        <v>190</v>
      </c>
      <c r="I21" s="20" t="s">
        <v>86</v>
      </c>
      <c r="J21" s="11">
        <v>1</v>
      </c>
      <c r="K21" s="11">
        <v>25.12</v>
      </c>
      <c r="L21" s="11">
        <v>25.12</v>
      </c>
      <c r="M21" s="21">
        <v>25.12</v>
      </c>
    </row>
    <row r="22" ht="40" customHeight="1" spans="2:13">
      <c r="B22" s="8">
        <v>18</v>
      </c>
      <c r="C22" s="9" t="s">
        <v>142</v>
      </c>
      <c r="D22" s="11" t="s">
        <v>189</v>
      </c>
      <c r="E22" s="10" t="s">
        <v>192</v>
      </c>
      <c r="F22" s="11" t="s">
        <v>113</v>
      </c>
      <c r="G22" s="11" t="s">
        <v>113</v>
      </c>
      <c r="H22" s="10" t="s">
        <v>196</v>
      </c>
      <c r="I22" s="20" t="s">
        <v>86</v>
      </c>
      <c r="J22" s="11">
        <v>1</v>
      </c>
      <c r="K22" s="11">
        <v>7.76</v>
      </c>
      <c r="L22" s="11">
        <v>7.76</v>
      </c>
      <c r="M22" s="21">
        <v>7.76</v>
      </c>
    </row>
    <row r="23" ht="40" customHeight="1" spans="2:13">
      <c r="B23" s="12"/>
      <c r="C23" s="13"/>
      <c r="D23" s="13"/>
      <c r="E23" s="13"/>
      <c r="F23" s="13"/>
      <c r="G23" s="13"/>
      <c r="H23" s="13"/>
      <c r="I23" s="13"/>
      <c r="J23" s="22">
        <f t="shared" ref="J23:M23" si="0">SUM(J5:J22)</f>
        <v>18</v>
      </c>
      <c r="K23" s="22">
        <f t="shared" si="0"/>
        <v>748.36</v>
      </c>
      <c r="L23" s="22">
        <f t="shared" si="0"/>
        <v>748.36</v>
      </c>
      <c r="M23" s="23">
        <f t="shared" si="0"/>
        <v>748.36</v>
      </c>
    </row>
    <row r="24" s="2" customFormat="1" ht="30" customHeight="1" spans="2:13">
      <c r="B24" s="14" t="s">
        <v>174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24"/>
    </row>
    <row r="25" spans="2:13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</sheetData>
  <mergeCells count="3">
    <mergeCell ref="B3:M3"/>
    <mergeCell ref="B24:M24"/>
    <mergeCell ref="B25:M25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D7" rgbClr="6F9DEC"/>
  </commentList>
  <commentList sheetStid="5">
    <comment s:ref="H5" rgbClr="BD98AC"/>
    <comment s:ref="I5" rgbClr="BD98A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列表</vt:lpstr>
      <vt:lpstr>货物入库</vt:lpstr>
      <vt:lpstr>JOB详情</vt:lpstr>
      <vt:lpstr>集装号详情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2022-05-30T07:06:46Z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0D098F4BF5544D74965894C709B28731</vt:lpwstr>
  </property>
</Properties>
</file>