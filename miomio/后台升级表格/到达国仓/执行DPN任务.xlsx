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执行DPN任务" sheetId="8" r:id="rId2"/>
    <sheet name="手动添加" sheetId="9" r:id="rId3"/>
    <sheet name="创建DPN1" sheetId="2" r:id="rId4"/>
    <sheet name="编辑DPN" sheetId="3" r:id="rId5"/>
    <sheet name="DPN详情 " sheetId="10" r:id="rId6"/>
    <sheet name="点击订单号或更多" sheetId="6" r:id="rId7"/>
  </sheets>
  <calcPr calcId="144525"/>
</workbook>
</file>

<file path=xl/sharedStrings.xml><?xml version="1.0" encoding="utf-8"?>
<sst xmlns="http://schemas.openxmlformats.org/spreadsheetml/2006/main" count="572" uniqueCount="182">
  <si>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</si>
  <si>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</si>
  <si>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</si>
  <si>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</si>
  <si>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</si>
  <si>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</si>
  <si>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</si>
  <si>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</si>
  <si>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</si>
  <si>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</si>
  <si>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</si>
  <si>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</si>
  <si>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</si>
  <si>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</si>
  <si>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</si>
  <si>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</si>
  <si>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</si>
  <si>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</si>
  <si>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</si>
  <si>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</si>
  <si>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</si>
  <si>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</si>
  <si>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</si>
  <si>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</si>
  <si>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</si>
  <si>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</si>
  <si>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</si>
  <si>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</si>
  <si>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</si>
  <si>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</si>
  <si>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</si>
  <si>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</si>
  <si>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</si>
  <si>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</si>
  <si>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</si>
  <si>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</si>
  <si>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</si>
  <si>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</si>
  <si>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</si>
  <si>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</si>
  <si>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</si>
  <si>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</si>
  <si>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</si>
  <si>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</si>
  <si>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</si>
  <si>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</si>
  <si>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</si>
  <si>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</si>
  <si>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</si>
  <si>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</si>
  <si>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</si>
  <si>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t xml:space="preserve">JOB123458              </t>
    </r>
    <r>
      <rPr>
        <b/>
        <sz val="8"/>
        <color theme="1"/>
        <rFont val="Arial"/>
        <charset val="134"/>
      </rPr>
      <t xml:space="preserve"> IKEJ STA</t>
    </r>
  </si>
  <si>
    <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</si>
  <si>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</si>
  <si>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</si>
  <si>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执行  打印</t>
  </si>
  <si>
    <r>
      <t xml:space="preserve">JOB123459              </t>
    </r>
    <r>
      <rPr>
        <b/>
        <sz val="8"/>
        <color theme="1"/>
        <rFont val="Arial"/>
        <charset val="134"/>
      </rPr>
      <t xml:space="preserve"> IKEJ STA</t>
    </r>
  </si>
  <si>
    <r>
      <t xml:space="preserve">JOB123460              </t>
    </r>
    <r>
      <rPr>
        <b/>
        <sz val="8"/>
        <color theme="1"/>
        <rFont val="Arial"/>
        <charset val="134"/>
      </rPr>
      <t xml:space="preserve"> IKEJ STA</t>
    </r>
  </si>
  <si>
    <r>
      <t xml:space="preserve">JOB123461              </t>
    </r>
    <r>
      <rPr>
        <b/>
        <sz val="8"/>
        <color theme="1"/>
        <rFont val="Arial"/>
        <charset val="134"/>
      </rPr>
      <t xml:space="preserve"> IKEJ STA</t>
    </r>
  </si>
  <si>
    <r>
      <t xml:space="preserve">JOB123459               </t>
    </r>
    <r>
      <rPr>
        <b/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</si>
  <si>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</si>
  <si>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r>
      <rPr>
        <sz val="8"/>
        <color theme="1"/>
        <rFont val="宋体"/>
        <charset val="134"/>
      </rPr>
      <t>已执行</t>
    </r>
    <r>
      <rPr>
        <sz val="8"/>
        <color theme="1"/>
        <rFont val="Arial"/>
        <charset val="134"/>
      </rPr>
      <t xml:space="preserve"> IKEJ STA                      2019/10/25 11:55:35</t>
    </r>
  </si>
  <si>
    <t>DPN123456        2019/10/25 11:55:35</t>
  </si>
  <si>
    <t>190828000021  190828000021  190828000021   190828000021  190828000021  190828000021  190828000021  190828000021  190828000021</t>
  </si>
  <si>
    <t>打印</t>
  </si>
  <si>
    <t>DPN123456    2019/10/25 11:55:36</t>
  </si>
  <si>
    <r>
      <t xml:space="preserve">JOB123457               </t>
    </r>
    <r>
      <rPr>
        <b/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</si>
  <si>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</si>
  <si>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</si>
  <si>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t xml:space="preserve">JOB123456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</si>
  <si>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11:55:37</t>
  </si>
  <si>
    <r>
      <t xml:space="preserve">JOB123455               </t>
    </r>
    <r>
      <rPr>
        <b/>
        <sz val="8"/>
        <color theme="1"/>
        <rFont val="Arial"/>
        <charset val="134"/>
      </rPr>
      <t>IKEJ STA</t>
    </r>
  </si>
  <si>
    <t>DPN123456        2019/10/25 11:55:37</t>
  </si>
  <si>
    <r>
      <t xml:space="preserve">JOB123454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</si>
  <si>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11:55:38</t>
  </si>
  <si>
    <r>
      <t xml:space="preserve">JOB123453               </t>
    </r>
    <r>
      <rPr>
        <b/>
        <sz val="8"/>
        <color theme="1"/>
        <rFont val="Arial"/>
        <charset val="134"/>
      </rPr>
      <t>IKEJ STA</t>
    </r>
  </si>
  <si>
    <t>DPN123456        2019/10/25 11:55:38</t>
  </si>
  <si>
    <r>
      <t xml:space="preserve">JOB123452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</si>
  <si>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11:55:39</t>
  </si>
  <si>
    <r>
      <t xml:space="preserve">JOB123451               </t>
    </r>
    <r>
      <rPr>
        <b/>
        <sz val="8"/>
        <color theme="1"/>
        <rFont val="Arial"/>
        <charset val="134"/>
      </rPr>
      <t>IKEJ STA</t>
    </r>
  </si>
  <si>
    <t>DPN123456        2019/10/25 11:55:39</t>
  </si>
  <si>
    <r>
      <t xml:space="preserve">JOB123450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</si>
  <si>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11:55:40</t>
  </si>
  <si>
    <r>
      <t xml:space="preserve">JOB123449               </t>
    </r>
    <r>
      <rPr>
        <b/>
        <sz val="8"/>
        <color theme="1"/>
        <rFont val="Arial"/>
        <charset val="134"/>
      </rPr>
      <t>IKEJ STA</t>
    </r>
  </si>
  <si>
    <t>DPN123456        2019/10/25 11:55:40</t>
  </si>
  <si>
    <r>
      <t xml:space="preserve">JOB123448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</si>
  <si>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11:55:41</t>
  </si>
  <si>
    <r>
      <t xml:space="preserve">JOB123447               </t>
    </r>
    <r>
      <rPr>
        <b/>
        <sz val="8"/>
        <color theme="1"/>
        <rFont val="Arial"/>
        <charset val="134"/>
      </rPr>
      <t>IKEJ STA</t>
    </r>
  </si>
  <si>
    <t>DPN123456        2019/10/25 11:55:41</t>
  </si>
  <si>
    <r>
      <t xml:space="preserve">JOB123446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</si>
  <si>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11:55:42</t>
  </si>
  <si>
    <r>
      <t xml:space="preserve">JOB123445               </t>
    </r>
    <r>
      <rPr>
        <b/>
        <sz val="8"/>
        <color theme="1"/>
        <rFont val="Arial"/>
        <charset val="134"/>
      </rPr>
      <t>IKEJ STA</t>
    </r>
  </si>
  <si>
    <t>DPN123456        2019/10/25 11:55:42</t>
  </si>
  <si>
    <r>
      <t xml:space="preserve">JOB123444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</si>
  <si>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11:55:43</t>
  </si>
  <si>
    <r>
      <t xml:space="preserve">JOB123443               </t>
    </r>
    <r>
      <rPr>
        <b/>
        <sz val="8"/>
        <color theme="1"/>
        <rFont val="Arial"/>
        <charset val="134"/>
      </rPr>
      <t>IKEJ STA</t>
    </r>
  </si>
  <si>
    <t>DPN123456        2019/10/25 11:55:43</t>
  </si>
  <si>
    <r>
      <t xml:space="preserve">JOB123442              </t>
    </r>
    <r>
      <rPr>
        <b/>
        <sz val="8"/>
        <color theme="1"/>
        <rFont val="Arial"/>
        <charset val="134"/>
      </rPr>
      <t xml:space="preserve"> IKEJ STA</t>
    </r>
  </si>
  <si>
    <t>DPN123456    2019/10/25 11:55:44</t>
  </si>
  <si>
    <r>
      <t xml:space="preserve">JOB123441               </t>
    </r>
    <r>
      <rPr>
        <b/>
        <sz val="8"/>
        <color theme="1"/>
        <rFont val="Arial"/>
        <charset val="134"/>
      </rPr>
      <t>IKEJ STA</t>
    </r>
  </si>
  <si>
    <t>执行DPN任务</t>
  </si>
  <si>
    <t>手动添加 口</t>
  </si>
  <si>
    <t>扫描添加 口</t>
  </si>
  <si>
    <t>离库日期 选择</t>
  </si>
  <si>
    <r>
      <t>JOB/</t>
    </r>
    <r>
      <rPr>
        <b/>
        <sz val="9"/>
        <color theme="1"/>
        <rFont val="宋体"/>
        <charset val="134"/>
      </rPr>
      <t>站点</t>
    </r>
  </si>
  <si>
    <t>业务员</t>
  </si>
  <si>
    <t>收件人</t>
  </si>
  <si>
    <r>
      <rPr>
        <b/>
        <sz val="9"/>
        <color theme="1"/>
        <rFont val="宋体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</si>
  <si>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</si>
  <si>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</si>
  <si>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</si>
  <si>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t xml:space="preserve">DPN123456                                IKEJ STA-ABUJ STA             </t>
    </r>
    <r>
      <rPr>
        <b/>
        <sz val="8"/>
        <color theme="1"/>
        <rFont val="Arial"/>
        <charset val="134"/>
      </rPr>
      <t>2019/10/25 11:55:35</t>
    </r>
  </si>
  <si>
    <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</si>
  <si>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t xml:space="preserve">191021000022    </t>
    </r>
    <r>
      <rPr>
        <b/>
        <sz val="9"/>
        <color rgb="FFFF0000"/>
        <rFont val="Arial"/>
        <charset val="134"/>
      </rPr>
      <t>X</t>
    </r>
  </si>
  <si>
    <t>SAMPAO</t>
  </si>
  <si>
    <t>OLATUNDE</t>
  </si>
  <si>
    <t>CAN.CHN→ABV.NGN</t>
  </si>
  <si>
    <t>50*50*50</t>
  </si>
  <si>
    <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</si>
  <si>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r>
      <t xml:space="preserve">JOB123464                                     </t>
    </r>
    <r>
      <rPr>
        <sz val="8"/>
        <color theme="1"/>
        <rFont val="Arial"/>
        <charset val="134"/>
      </rPr>
      <t xml:space="preserve"> IKEJ STA</t>
    </r>
  </si>
  <si>
    <r>
      <t xml:space="preserve">JOB123464                                 </t>
    </r>
    <r>
      <rPr>
        <sz val="8"/>
        <color theme="1"/>
        <rFont val="Arial"/>
        <charset val="134"/>
      </rPr>
      <t xml:space="preserve"> IKEJ STA</t>
    </r>
  </si>
  <si>
    <t>返回    执行</t>
  </si>
  <si>
    <t>手动添加</t>
  </si>
  <si>
    <t>操作  口</t>
  </si>
  <si>
    <t>口</t>
  </si>
  <si>
    <t>返回   确认</t>
  </si>
  <si>
    <t>创建DPN</t>
  </si>
  <si>
    <t>DPN123456</t>
  </si>
  <si>
    <t>发至</t>
  </si>
  <si>
    <t>名字</t>
  </si>
  <si>
    <r>
      <rPr>
        <sz val="10"/>
        <color theme="1"/>
        <rFont val="宋体"/>
        <charset val="134"/>
      </rPr>
      <t>浦海森</t>
    </r>
  </si>
  <si>
    <t>创建日期/账号</t>
  </si>
  <si>
    <t>2019/8/28 15:01:22 CANSAMPAO</t>
  </si>
  <si>
    <t>电话</t>
  </si>
  <si>
    <r>
      <rPr>
        <sz val="8"/>
        <color theme="1"/>
        <rFont val="宋体"/>
        <charset val="134"/>
      </rPr>
      <t>十</t>
    </r>
    <r>
      <rPr>
        <sz val="10"/>
        <color theme="1"/>
        <rFont val="Arial"/>
        <charset val="134"/>
      </rPr>
      <t>8613570217212</t>
    </r>
  </si>
  <si>
    <t>发往站点</t>
  </si>
  <si>
    <t>ABUJ STA</t>
  </si>
  <si>
    <t>地址</t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</si>
  <si>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</si>
  <si>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t>重量</t>
  </si>
  <si>
    <t>500.00KGS</t>
  </si>
  <si>
    <t>物流公司</t>
  </si>
  <si>
    <r>
      <rPr>
        <sz val="10"/>
        <color theme="1"/>
        <rFont val="宋体"/>
        <charset val="134"/>
      </rPr>
      <t>选择</t>
    </r>
  </si>
  <si>
    <t>运单号/订单号</t>
  </si>
  <si>
    <t>录入</t>
  </si>
  <si>
    <t>执行日期</t>
  </si>
  <si>
    <t>选择</t>
  </si>
  <si>
    <t>查询电话</t>
  </si>
  <si>
    <r>
      <rPr>
        <sz val="10"/>
        <color theme="1"/>
        <rFont val="宋体"/>
        <charset val="134"/>
      </rPr>
      <t>录入</t>
    </r>
  </si>
  <si>
    <t>运输方式</t>
  </si>
  <si>
    <t>空运口    陆运口</t>
  </si>
  <si>
    <t>司机名称</t>
  </si>
  <si>
    <t>备注</t>
  </si>
  <si>
    <t>司机电话</t>
  </si>
  <si>
    <t>车牌</t>
  </si>
  <si>
    <t>返回  发布</t>
  </si>
  <si>
    <t>无</t>
  </si>
  <si>
    <r>
      <t>空运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陆运口</t>
    </r>
  </si>
  <si>
    <t>返回  发布  保存</t>
  </si>
  <si>
    <t>DPN详情</t>
  </si>
  <si>
    <t>JOB/站点</t>
  </si>
  <si>
    <t>单号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</si>
  <si>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</si>
  <si>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</si>
  <si>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</si>
  <si>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</si>
  <si>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</si>
  <si>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</si>
  <si>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191018000005 01</t>
  </si>
  <si>
    <t>AkinGbolahan</t>
  </si>
  <si>
    <t>191018000005 14</t>
  </si>
  <si>
    <t>191018000005 15</t>
  </si>
  <si>
    <t>191018000005 16</t>
  </si>
  <si>
    <t>191019000025 06</t>
  </si>
  <si>
    <t>Andi MailMail</t>
  </si>
  <si>
    <t>191018000005 02</t>
  </si>
  <si>
    <t>191021000001 01</t>
  </si>
  <si>
    <t>191021000003 02</t>
  </si>
  <si>
    <t>Smile</t>
  </si>
  <si>
    <t>返回 提交</t>
  </si>
  <si>
    <t>尺寸</t>
  </si>
  <si>
    <t>体积重CBM</t>
  </si>
</sst>
</file>

<file path=xl/styles.xml><?xml version="1.0" encoding="utf-8"?>
<styleSheet xmlns="http://schemas.openxmlformats.org/spreadsheetml/2006/main">
  <numFmts count="6">
    <numFmt numFmtId="176" formatCode="#,##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7" formatCode="0_ "/>
  </numFmts>
  <fonts count="53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4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b/>
      <sz val="10"/>
      <color theme="1"/>
      <name val="Microsoft JhengHei"/>
      <charset val="134"/>
    </font>
    <font>
      <b/>
      <sz val="14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宋体"/>
      <charset val="134"/>
    </font>
    <font>
      <sz val="10"/>
      <color theme="1"/>
      <name val="Wingdings"/>
      <charset val="134"/>
    </font>
    <font>
      <b/>
      <sz val="9"/>
      <color rgb="FFFF0000"/>
      <name val="Arial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9" borderId="14" applyNumberFormat="0" applyFont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3" fillId="16" borderId="13" applyNumberFormat="0" applyAlignment="0" applyProtection="0">
      <alignment vertical="center"/>
    </xf>
    <xf numFmtId="0" fontId="34" fillId="16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7" fontId="6" fillId="4" borderId="0" xfId="0" applyNumberFormat="1" applyFont="1" applyFill="1" applyBorder="1" applyAlignment="1">
      <alignment horizontal="center" vertical="center" wrapText="1"/>
    </xf>
    <xf numFmtId="177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7" fontId="8" fillId="4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176" fontId="9" fillId="4" borderId="0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76" fontId="9" fillId="4" borderId="0" xfId="0" applyNumberFormat="1" applyFont="1" applyFill="1" applyBorder="1" applyAlignment="1">
      <alignment horizontal="center" vertical="center" wrapText="1"/>
    </xf>
    <xf numFmtId="176" fontId="9" fillId="4" borderId="7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2" fillId="4" borderId="0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10" fontId="12" fillId="4" borderId="7" xfId="11" applyNumberFormat="1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22" fontId="12" fillId="4" borderId="0" xfId="0" applyNumberFormat="1" applyFont="1" applyFill="1" applyAlignment="1">
      <alignment horizontal="left" vertical="center" wrapText="1"/>
    </xf>
    <xf numFmtId="10" fontId="8" fillId="4" borderId="7" xfId="11" applyNumberFormat="1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10" fontId="12" fillId="5" borderId="7" xfId="11" applyNumberFormat="1" applyFont="1" applyFill="1" applyBorder="1" applyAlignment="1">
      <alignment horizontal="left" vertical="center" wrapText="1"/>
    </xf>
    <xf numFmtId="10" fontId="17" fillId="4" borderId="7" xfId="11" applyNumberFormat="1" applyFont="1" applyFill="1" applyBorder="1" applyAlignment="1">
      <alignment horizontal="left" vertical="center" wrapText="1"/>
    </xf>
    <xf numFmtId="22" fontId="17" fillId="4" borderId="0" xfId="0" applyNumberFormat="1" applyFont="1" applyFill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7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22" fontId="22" fillId="3" borderId="3" xfId="0" applyNumberFormat="1" applyFont="1" applyFill="1" applyBorder="1" applyAlignment="1">
      <alignment horizontal="center" vertical="center"/>
    </xf>
    <xf numFmtId="22" fontId="22" fillId="3" borderId="0" xfId="0" applyNumberFormat="1" applyFont="1" applyFill="1" applyBorder="1" applyAlignment="1">
      <alignment horizontal="center" vertical="center"/>
    </xf>
    <xf numFmtId="22" fontId="22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11" fillId="4" borderId="0" xfId="0" applyNumberFormat="1" applyFont="1" applyFill="1" applyBorder="1" applyAlignment="1">
      <alignment horizontal="center" vertical="center" wrapText="1"/>
    </xf>
    <xf numFmtId="176" fontId="11" fillId="4" borderId="0" xfId="0" applyNumberFormat="1" applyFont="1" applyFill="1" applyBorder="1" applyAlignment="1">
      <alignment horizontal="center" vertical="center"/>
    </xf>
    <xf numFmtId="176" fontId="21" fillId="4" borderId="7" xfId="0" applyNumberFormat="1" applyFont="1" applyFill="1" applyBorder="1" applyAlignment="1">
      <alignment horizontal="center" vertical="center"/>
    </xf>
    <xf numFmtId="176" fontId="9" fillId="3" borderId="0" xfId="0" applyNumberFormat="1" applyFont="1" applyFill="1" applyBorder="1" applyAlignment="1">
      <alignment horizontal="center" vertical="center"/>
    </xf>
    <xf numFmtId="176" fontId="9" fillId="3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4" fillId="4" borderId="2" xfId="0" applyFont="1" applyFill="1" applyBorder="1">
      <alignment vertical="center"/>
    </xf>
    <xf numFmtId="0" fontId="24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176" fontId="11" fillId="4" borderId="7" xfId="0" applyNumberFormat="1" applyFont="1" applyFill="1" applyBorder="1" applyAlignment="1">
      <alignment horizontal="center" vertical="center"/>
    </xf>
    <xf numFmtId="176" fontId="11" fillId="3" borderId="0" xfId="0" applyNumberFormat="1" applyFont="1" applyFill="1" applyBorder="1" applyAlignment="1">
      <alignment horizontal="center" vertical="center" wrapText="1"/>
    </xf>
    <xf numFmtId="176" fontId="11" fillId="3" borderId="7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vertical="center" wrapText="1"/>
    </xf>
    <xf numFmtId="0" fontId="27" fillId="6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7" fillId="7" borderId="0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4" borderId="0" xfId="0" applyFont="1" applyFill="1">
      <alignment vertical="center"/>
    </xf>
    <xf numFmtId="0" fontId="25" fillId="4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77" fontId="1" fillId="3" borderId="0" xfId="0" applyNumberFormat="1" applyFont="1" applyFill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26" fillId="2" borderId="4" xfId="0" applyFont="1" applyFill="1" applyBorder="1">
      <alignment vertical="center"/>
    </xf>
    <xf numFmtId="0" fontId="26" fillId="2" borderId="5" xfId="0" applyFont="1" applyFill="1" applyBorder="1" applyAlignment="1">
      <alignment vertical="center" wrapText="1"/>
    </xf>
    <xf numFmtId="0" fontId="26" fillId="2" borderId="5" xfId="0" applyFont="1" applyFill="1" applyBorder="1">
      <alignment vertical="center"/>
    </xf>
    <xf numFmtId="0" fontId="25" fillId="4" borderId="0" xfId="0" applyFont="1" applyFill="1" applyAlignment="1">
      <alignment vertical="center" wrapText="1"/>
    </xf>
    <xf numFmtId="0" fontId="25" fillId="9" borderId="0" xfId="0" applyFont="1" applyFill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22" fontId="6" fillId="4" borderId="0" xfId="0" applyNumberFormat="1" applyFont="1" applyFill="1" applyAlignment="1">
      <alignment horizontal="center" vertical="center" wrapText="1"/>
    </xf>
    <xf numFmtId="22" fontId="1" fillId="4" borderId="7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22" fontId="8" fillId="4" borderId="0" xfId="0" applyNumberFormat="1" applyFont="1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22" fontId="8" fillId="3" borderId="0" xfId="0" applyNumberFormat="1" applyFont="1" applyFill="1" applyBorder="1" applyAlignment="1">
      <alignment horizontal="center" vertical="center" wrapText="1"/>
    </xf>
    <xf numFmtId="22" fontId="1" fillId="3" borderId="7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22" fontId="8" fillId="4" borderId="0" xfId="0" applyNumberFormat="1" applyFont="1" applyFill="1" applyBorder="1" applyAlignment="1">
      <alignment horizontal="center" vertical="center" wrapText="1"/>
    </xf>
    <xf numFmtId="22" fontId="1" fillId="4" borderId="7" xfId="0" applyNumberFormat="1" applyFont="1" applyFill="1" applyBorder="1" applyAlignment="1">
      <alignment horizontal="center" vertical="center"/>
    </xf>
    <xf numFmtId="0" fontId="26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E11" sqref="E11:I11"/>
    </sheetView>
  </sheetViews>
  <sheetFormatPr defaultColWidth="9" defaultRowHeight="15"/>
  <cols>
    <col min="1" max="1" width="5.625" style="104" customWidth="1"/>
    <col min="2" max="2" width="15.625" style="105" customWidth="1"/>
    <col min="3" max="3" width="20.625" style="104" customWidth="1"/>
    <col min="4" max="12" width="15.625" style="104" customWidth="1"/>
    <col min="13" max="13" width="15.625" style="105" customWidth="1"/>
    <col min="14" max="14" width="15.625" style="104" customWidth="1"/>
    <col min="15" max="15" width="18.25" style="104" customWidth="1"/>
    <col min="17" max="18" width="15.625" style="104" customWidth="1"/>
    <col min="19" max="19" width="13.625" style="104" customWidth="1"/>
    <col min="20" max="16384" width="9" style="104"/>
  </cols>
  <sheetData>
    <row r="1" s="102" customFormat="1" ht="30" customHeight="1" spans="1:15">
      <c r="A1" s="106" t="s">
        <v>0</v>
      </c>
      <c r="B1" s="107" t="s">
        <v>1</v>
      </c>
      <c r="C1" s="108" t="s">
        <v>2</v>
      </c>
      <c r="D1" s="108" t="s">
        <v>3</v>
      </c>
      <c r="E1" s="109" t="s">
        <v>4</v>
      </c>
      <c r="F1" s="110"/>
      <c r="G1" s="111"/>
      <c r="H1" s="111"/>
      <c r="I1" s="110"/>
      <c r="J1" s="110"/>
      <c r="K1" s="110"/>
      <c r="L1" s="138"/>
      <c r="M1" s="110"/>
      <c r="O1" s="110"/>
    </row>
    <row r="2" s="102" customFormat="1" ht="30" customHeight="1" spans="1:15">
      <c r="A2" s="112" t="s">
        <v>0</v>
      </c>
      <c r="B2" s="113" t="s">
        <v>5</v>
      </c>
      <c r="C2" s="109" t="s">
        <v>6</v>
      </c>
      <c r="D2" s="109" t="s">
        <v>7</v>
      </c>
      <c r="E2" s="109" t="s">
        <v>8</v>
      </c>
      <c r="F2" s="110"/>
      <c r="G2" s="111"/>
      <c r="H2" s="111"/>
      <c r="I2" s="110"/>
      <c r="J2" s="110"/>
      <c r="K2" s="110"/>
      <c r="L2" s="138"/>
      <c r="M2" s="110"/>
      <c r="O2" s="110"/>
    </row>
    <row r="3" s="102" customFormat="1" ht="30" customHeight="1" spans="1:15">
      <c r="A3" s="114"/>
      <c r="B3" s="115"/>
      <c r="C3" s="114"/>
      <c r="D3" s="114"/>
      <c r="E3" s="114"/>
      <c r="F3" s="114"/>
      <c r="G3" s="110"/>
      <c r="H3" s="110"/>
      <c r="I3" s="110"/>
      <c r="J3" s="110"/>
      <c r="K3" s="110"/>
      <c r="L3" s="138"/>
      <c r="M3" s="110"/>
      <c r="O3" s="110"/>
    </row>
    <row r="4" s="102" customFormat="1" ht="30" customHeight="1" spans="1:13">
      <c r="A4" s="116" t="s">
        <v>0</v>
      </c>
      <c r="B4" s="117" t="s">
        <v>9</v>
      </c>
      <c r="C4" s="116" t="s">
        <v>10</v>
      </c>
      <c r="D4" s="116" t="s">
        <v>11</v>
      </c>
      <c r="E4" s="116" t="s">
        <v>12</v>
      </c>
      <c r="F4" s="116" t="s">
        <v>13</v>
      </c>
      <c r="G4" s="116" t="s">
        <v>14</v>
      </c>
      <c r="H4" s="116" t="s">
        <v>15</v>
      </c>
      <c r="I4" s="116" t="s">
        <v>16</v>
      </c>
      <c r="J4" s="116" t="s">
        <v>17</v>
      </c>
      <c r="K4" s="139" t="s">
        <v>18</v>
      </c>
      <c r="L4" s="116" t="s">
        <v>19</v>
      </c>
      <c r="M4" s="116" t="s">
        <v>20</v>
      </c>
    </row>
    <row r="5" s="102" customFormat="1" ht="30" customHeight="1" spans="1:13">
      <c r="A5" s="116" t="s">
        <v>0</v>
      </c>
      <c r="B5" s="117" t="s">
        <v>21</v>
      </c>
      <c r="C5" s="116" t="s">
        <v>22</v>
      </c>
      <c r="D5" s="116" t="s">
        <v>23</v>
      </c>
      <c r="E5" s="116" t="s">
        <v>24</v>
      </c>
      <c r="F5" s="116" t="s">
        <v>25</v>
      </c>
      <c r="G5" s="116" t="s">
        <v>26</v>
      </c>
      <c r="H5" s="116" t="s">
        <v>27</v>
      </c>
      <c r="I5" s="116" t="s">
        <v>28</v>
      </c>
      <c r="J5" s="116" t="s">
        <v>29</v>
      </c>
      <c r="K5" s="139" t="s">
        <v>30</v>
      </c>
      <c r="L5" s="116" t="s">
        <v>31</v>
      </c>
      <c r="M5" s="116" t="s">
        <v>32</v>
      </c>
    </row>
    <row r="6" s="103" customFormat="1" ht="30" customHeight="1" spans="1:15">
      <c r="A6" s="118" t="s">
        <v>33</v>
      </c>
      <c r="B6" s="119"/>
      <c r="C6" s="111" t="s">
        <v>34</v>
      </c>
      <c r="D6" s="111" t="s">
        <v>35</v>
      </c>
      <c r="E6" s="111" t="s">
        <v>36</v>
      </c>
      <c r="F6" s="111" t="s">
        <v>37</v>
      </c>
      <c r="G6" s="111"/>
      <c r="H6" s="111"/>
      <c r="I6" s="111"/>
      <c r="J6" s="111"/>
      <c r="K6" s="111"/>
      <c r="L6" s="119"/>
      <c r="M6" s="111"/>
      <c r="O6" s="111"/>
    </row>
    <row r="7" s="102" customFormat="1" ht="30" customHeight="1" spans="1:15">
      <c r="A7" s="120" t="s">
        <v>38</v>
      </c>
      <c r="B7" s="121" t="s">
        <v>39</v>
      </c>
      <c r="C7" s="122" t="s">
        <v>40</v>
      </c>
      <c r="D7" s="122" t="s">
        <v>41</v>
      </c>
      <c r="E7" s="123" t="s">
        <v>42</v>
      </c>
      <c r="F7" s="123"/>
      <c r="G7" s="123"/>
      <c r="H7" s="123"/>
      <c r="I7" s="123"/>
      <c r="J7" s="122" t="s">
        <v>43</v>
      </c>
      <c r="K7" s="122" t="s">
        <v>44</v>
      </c>
      <c r="L7" s="122" t="s">
        <v>45</v>
      </c>
      <c r="M7" s="121" t="s">
        <v>46</v>
      </c>
      <c r="N7" s="122" t="s">
        <v>47</v>
      </c>
      <c r="O7" s="140" t="s">
        <v>48</v>
      </c>
    </row>
    <row r="8" ht="30" customHeight="1" spans="1:15">
      <c r="A8" s="124">
        <v>1</v>
      </c>
      <c r="B8" s="125" t="s">
        <v>49</v>
      </c>
      <c r="C8" s="126" t="s">
        <v>50</v>
      </c>
      <c r="D8" s="32" t="s">
        <v>51</v>
      </c>
      <c r="E8" s="127" t="s">
        <v>52</v>
      </c>
      <c r="F8" s="127"/>
      <c r="G8" s="127"/>
      <c r="H8" s="127"/>
      <c r="I8" s="127"/>
      <c r="J8" s="141">
        <v>10</v>
      </c>
      <c r="K8" s="134">
        <v>12</v>
      </c>
      <c r="L8" s="142" t="s">
        <v>53</v>
      </c>
      <c r="M8" s="143" t="s">
        <v>54</v>
      </c>
      <c r="N8" s="126" t="s">
        <v>55</v>
      </c>
      <c r="O8" s="144">
        <v>43763.4969328704</v>
      </c>
    </row>
    <row r="9" ht="30" customHeight="1" spans="1:15">
      <c r="A9" s="124"/>
      <c r="B9" s="125"/>
      <c r="C9" s="126"/>
      <c r="D9" s="32" t="s">
        <v>56</v>
      </c>
      <c r="E9" s="127" t="s">
        <v>52</v>
      </c>
      <c r="F9" s="127"/>
      <c r="G9" s="127"/>
      <c r="H9" s="127"/>
      <c r="I9" s="127"/>
      <c r="J9" s="141">
        <v>20</v>
      </c>
      <c r="K9" s="134">
        <v>13</v>
      </c>
      <c r="L9" s="145"/>
      <c r="M9" s="146"/>
      <c r="N9" s="126"/>
      <c r="O9" s="144"/>
    </row>
    <row r="10" ht="30" customHeight="1" spans="1:15">
      <c r="A10" s="124"/>
      <c r="B10" s="125"/>
      <c r="C10" s="126"/>
      <c r="D10" s="32" t="s">
        <v>57</v>
      </c>
      <c r="E10" s="127" t="s">
        <v>52</v>
      </c>
      <c r="F10" s="127"/>
      <c r="G10" s="127"/>
      <c r="H10" s="127"/>
      <c r="I10" s="127"/>
      <c r="J10" s="141">
        <v>20</v>
      </c>
      <c r="K10" s="134">
        <v>14</v>
      </c>
      <c r="L10" s="145"/>
      <c r="M10" s="146"/>
      <c r="N10" s="126"/>
      <c r="O10" s="144"/>
    </row>
    <row r="11" ht="30" customHeight="1" spans="1:15">
      <c r="A11" s="124"/>
      <c r="B11" s="125"/>
      <c r="C11" s="126"/>
      <c r="D11" s="32" t="s">
        <v>58</v>
      </c>
      <c r="E11" s="127" t="s">
        <v>52</v>
      </c>
      <c r="F11" s="127"/>
      <c r="G11" s="127"/>
      <c r="H11" s="127"/>
      <c r="I11" s="127"/>
      <c r="J11" s="141">
        <v>35</v>
      </c>
      <c r="K11" s="134">
        <v>15</v>
      </c>
      <c r="L11" s="145"/>
      <c r="M11" s="146"/>
      <c r="N11" s="126"/>
      <c r="O11" s="144"/>
    </row>
    <row r="12" ht="30" customHeight="1" spans="1:15">
      <c r="A12" s="128">
        <v>2</v>
      </c>
      <c r="B12" s="129" t="s">
        <v>49</v>
      </c>
      <c r="C12" s="130" t="s">
        <v>50</v>
      </c>
      <c r="D12" s="34" t="s">
        <v>59</v>
      </c>
      <c r="E12" s="131"/>
      <c r="F12" s="131"/>
      <c r="G12" s="131"/>
      <c r="H12" s="131"/>
      <c r="I12" s="131"/>
      <c r="J12" s="130">
        <v>1</v>
      </c>
      <c r="K12" s="130">
        <v>1</v>
      </c>
      <c r="L12" s="147" t="s">
        <v>60</v>
      </c>
      <c r="M12" s="148" t="s">
        <v>61</v>
      </c>
      <c r="N12" s="130" t="s">
        <v>55</v>
      </c>
      <c r="O12" s="149">
        <v>43763.4969328704</v>
      </c>
    </row>
    <row r="13" ht="30" customHeight="1" spans="1:15">
      <c r="A13" s="132">
        <v>3</v>
      </c>
      <c r="B13" s="133" t="s">
        <v>62</v>
      </c>
      <c r="C13" s="134" t="s">
        <v>50</v>
      </c>
      <c r="D13" s="32" t="s">
        <v>51</v>
      </c>
      <c r="E13" s="127" t="s">
        <v>63</v>
      </c>
      <c r="F13" s="127"/>
      <c r="G13" s="127"/>
      <c r="H13" s="127"/>
      <c r="I13" s="127"/>
      <c r="J13" s="134">
        <v>1</v>
      </c>
      <c r="K13" s="134">
        <v>1</v>
      </c>
      <c r="L13" s="150" t="s">
        <v>60</v>
      </c>
      <c r="M13" s="151" t="s">
        <v>61</v>
      </c>
      <c r="N13" s="134" t="s">
        <v>64</v>
      </c>
      <c r="O13" s="152">
        <v>43763.4969328704</v>
      </c>
    </row>
    <row r="14" ht="30" customHeight="1" spans="1:15">
      <c r="A14" s="128">
        <v>4</v>
      </c>
      <c r="B14" s="129" t="s">
        <v>65</v>
      </c>
      <c r="C14" s="130" t="s">
        <v>50</v>
      </c>
      <c r="D14" s="34" t="s">
        <v>66</v>
      </c>
      <c r="E14" s="131" t="s">
        <v>67</v>
      </c>
      <c r="F14" s="131"/>
      <c r="G14" s="131"/>
      <c r="H14" s="131"/>
      <c r="I14" s="131"/>
      <c r="J14" s="130">
        <v>1</v>
      </c>
      <c r="K14" s="130">
        <v>1</v>
      </c>
      <c r="L14" s="147" t="s">
        <v>60</v>
      </c>
      <c r="M14" s="148" t="s">
        <v>61</v>
      </c>
      <c r="N14" s="130" t="s">
        <v>64</v>
      </c>
      <c r="O14" s="149">
        <v>43764.4969328704</v>
      </c>
    </row>
    <row r="15" ht="30" customHeight="1" spans="1:15">
      <c r="A15" s="132">
        <v>5</v>
      </c>
      <c r="B15" s="133" t="s">
        <v>68</v>
      </c>
      <c r="C15" s="134" t="s">
        <v>50</v>
      </c>
      <c r="D15" s="32" t="s">
        <v>69</v>
      </c>
      <c r="E15" s="127" t="s">
        <v>52</v>
      </c>
      <c r="F15" s="127"/>
      <c r="G15" s="127"/>
      <c r="H15" s="127"/>
      <c r="I15" s="127"/>
      <c r="J15" s="134">
        <v>1</v>
      </c>
      <c r="K15" s="134">
        <v>1</v>
      </c>
      <c r="L15" s="150" t="s">
        <v>60</v>
      </c>
      <c r="M15" s="151" t="s">
        <v>61</v>
      </c>
      <c r="N15" s="134" t="s">
        <v>64</v>
      </c>
      <c r="O15" s="152">
        <v>43765.4969328704</v>
      </c>
    </row>
    <row r="16" ht="30" customHeight="1" spans="1:15">
      <c r="A16" s="128">
        <v>6</v>
      </c>
      <c r="B16" s="129" t="s">
        <v>70</v>
      </c>
      <c r="C16" s="130" t="s">
        <v>50</v>
      </c>
      <c r="D16" s="34" t="s">
        <v>71</v>
      </c>
      <c r="E16" s="131" t="s">
        <v>52</v>
      </c>
      <c r="F16" s="131"/>
      <c r="G16" s="131"/>
      <c r="H16" s="131"/>
      <c r="I16" s="131"/>
      <c r="J16" s="130">
        <v>1</v>
      </c>
      <c r="K16" s="130">
        <v>1</v>
      </c>
      <c r="L16" s="147" t="s">
        <v>60</v>
      </c>
      <c r="M16" s="148" t="s">
        <v>61</v>
      </c>
      <c r="N16" s="130" t="s">
        <v>64</v>
      </c>
      <c r="O16" s="149">
        <v>43766.4969328704</v>
      </c>
    </row>
    <row r="17" ht="30" customHeight="1" spans="1:15">
      <c r="A17" s="132">
        <v>7</v>
      </c>
      <c r="B17" s="133" t="s">
        <v>72</v>
      </c>
      <c r="C17" s="134" t="s">
        <v>50</v>
      </c>
      <c r="D17" s="32" t="s">
        <v>73</v>
      </c>
      <c r="E17" s="127" t="s">
        <v>52</v>
      </c>
      <c r="F17" s="127"/>
      <c r="G17" s="127"/>
      <c r="H17" s="127"/>
      <c r="I17" s="127"/>
      <c r="J17" s="134">
        <v>1</v>
      </c>
      <c r="K17" s="134">
        <v>1</v>
      </c>
      <c r="L17" s="150" t="s">
        <v>60</v>
      </c>
      <c r="M17" s="151" t="s">
        <v>61</v>
      </c>
      <c r="N17" s="134" t="s">
        <v>64</v>
      </c>
      <c r="O17" s="152">
        <v>43767.4969328704</v>
      </c>
    </row>
    <row r="18" ht="30" customHeight="1" spans="1:15">
      <c r="A18" s="128">
        <v>8</v>
      </c>
      <c r="B18" s="129" t="s">
        <v>74</v>
      </c>
      <c r="C18" s="130" t="s">
        <v>50</v>
      </c>
      <c r="D18" s="34" t="s">
        <v>75</v>
      </c>
      <c r="E18" s="131" t="s">
        <v>52</v>
      </c>
      <c r="F18" s="131"/>
      <c r="G18" s="131"/>
      <c r="H18" s="131"/>
      <c r="I18" s="131"/>
      <c r="J18" s="130">
        <v>1</v>
      </c>
      <c r="K18" s="130">
        <v>1</v>
      </c>
      <c r="L18" s="147" t="s">
        <v>60</v>
      </c>
      <c r="M18" s="148" t="s">
        <v>61</v>
      </c>
      <c r="N18" s="130" t="s">
        <v>64</v>
      </c>
      <c r="O18" s="149">
        <v>43768.4969328704</v>
      </c>
    </row>
    <row r="19" ht="30" customHeight="1" spans="1:15">
      <c r="A19" s="132">
        <v>9</v>
      </c>
      <c r="B19" s="133" t="s">
        <v>76</v>
      </c>
      <c r="C19" s="134" t="s">
        <v>50</v>
      </c>
      <c r="D19" s="32" t="s">
        <v>77</v>
      </c>
      <c r="E19" s="127" t="s">
        <v>52</v>
      </c>
      <c r="F19" s="127"/>
      <c r="G19" s="127"/>
      <c r="H19" s="127"/>
      <c r="I19" s="127"/>
      <c r="J19" s="134">
        <v>1</v>
      </c>
      <c r="K19" s="134">
        <v>1</v>
      </c>
      <c r="L19" s="150" t="s">
        <v>60</v>
      </c>
      <c r="M19" s="151" t="s">
        <v>61</v>
      </c>
      <c r="N19" s="134" t="s">
        <v>64</v>
      </c>
      <c r="O19" s="152">
        <v>43769.4969328704</v>
      </c>
    </row>
    <row r="20" ht="30" customHeight="1" spans="1:15">
      <c r="A20" s="128">
        <v>10</v>
      </c>
      <c r="B20" s="129" t="s">
        <v>78</v>
      </c>
      <c r="C20" s="130" t="s">
        <v>50</v>
      </c>
      <c r="D20" s="34" t="s">
        <v>79</v>
      </c>
      <c r="E20" s="131" t="s">
        <v>52</v>
      </c>
      <c r="F20" s="131"/>
      <c r="G20" s="131"/>
      <c r="H20" s="131"/>
      <c r="I20" s="131"/>
      <c r="J20" s="130">
        <v>1</v>
      </c>
      <c r="K20" s="130">
        <v>1</v>
      </c>
      <c r="L20" s="147" t="s">
        <v>60</v>
      </c>
      <c r="M20" s="148" t="s">
        <v>61</v>
      </c>
      <c r="N20" s="130" t="s">
        <v>64</v>
      </c>
      <c r="O20" s="149">
        <v>43770.4969328704</v>
      </c>
    </row>
    <row r="21" ht="30" customHeight="1" spans="1:15">
      <c r="A21" s="132">
        <v>11</v>
      </c>
      <c r="B21" s="133" t="s">
        <v>80</v>
      </c>
      <c r="C21" s="134" t="s">
        <v>50</v>
      </c>
      <c r="D21" s="32" t="s">
        <v>81</v>
      </c>
      <c r="E21" s="127" t="s">
        <v>52</v>
      </c>
      <c r="F21" s="127"/>
      <c r="G21" s="127"/>
      <c r="H21" s="127"/>
      <c r="I21" s="127"/>
      <c r="J21" s="134">
        <v>1</v>
      </c>
      <c r="K21" s="134">
        <v>1</v>
      </c>
      <c r="L21" s="150" t="s">
        <v>60</v>
      </c>
      <c r="M21" s="151" t="s">
        <v>61</v>
      </c>
      <c r="N21" s="134" t="s">
        <v>64</v>
      </c>
      <c r="O21" s="152">
        <v>43771.4969328704</v>
      </c>
    </row>
    <row r="22" ht="30" customHeight="1" spans="1:15">
      <c r="A22" s="128">
        <v>12</v>
      </c>
      <c r="B22" s="129" t="s">
        <v>82</v>
      </c>
      <c r="C22" s="130" t="s">
        <v>50</v>
      </c>
      <c r="D22" s="34" t="s">
        <v>83</v>
      </c>
      <c r="E22" s="131" t="s">
        <v>52</v>
      </c>
      <c r="F22" s="131"/>
      <c r="G22" s="131"/>
      <c r="H22" s="131"/>
      <c r="I22" s="131"/>
      <c r="J22" s="130">
        <v>1</v>
      </c>
      <c r="K22" s="130">
        <v>1</v>
      </c>
      <c r="L22" s="147" t="s">
        <v>60</v>
      </c>
      <c r="M22" s="148" t="s">
        <v>61</v>
      </c>
      <c r="N22" s="130" t="s">
        <v>64</v>
      </c>
      <c r="O22" s="149">
        <v>43772.4969328704</v>
      </c>
    </row>
    <row r="23" ht="30" customHeight="1" spans="1:15">
      <c r="A23" s="132">
        <v>13</v>
      </c>
      <c r="B23" s="133" t="s">
        <v>84</v>
      </c>
      <c r="C23" s="134" t="s">
        <v>50</v>
      </c>
      <c r="D23" s="32" t="s">
        <v>85</v>
      </c>
      <c r="E23" s="127" t="s">
        <v>52</v>
      </c>
      <c r="F23" s="127"/>
      <c r="G23" s="127"/>
      <c r="H23" s="127"/>
      <c r="I23" s="127"/>
      <c r="J23" s="134">
        <v>1</v>
      </c>
      <c r="K23" s="134">
        <v>1</v>
      </c>
      <c r="L23" s="150" t="s">
        <v>60</v>
      </c>
      <c r="M23" s="151" t="s">
        <v>61</v>
      </c>
      <c r="N23" s="134" t="s">
        <v>64</v>
      </c>
      <c r="O23" s="152">
        <v>43773.4969328704</v>
      </c>
    </row>
    <row r="24" ht="30" customHeight="1" spans="1:15">
      <c r="A24" s="128">
        <v>14</v>
      </c>
      <c r="B24" s="129" t="s">
        <v>86</v>
      </c>
      <c r="C24" s="130" t="s">
        <v>50</v>
      </c>
      <c r="D24" s="34" t="s">
        <v>87</v>
      </c>
      <c r="E24" s="131" t="s">
        <v>52</v>
      </c>
      <c r="F24" s="131"/>
      <c r="G24" s="131"/>
      <c r="H24" s="131"/>
      <c r="I24" s="131"/>
      <c r="J24" s="130">
        <v>1</v>
      </c>
      <c r="K24" s="130">
        <v>1</v>
      </c>
      <c r="L24" s="147" t="s">
        <v>60</v>
      </c>
      <c r="M24" s="148" t="s">
        <v>61</v>
      </c>
      <c r="N24" s="130" t="s">
        <v>64</v>
      </c>
      <c r="O24" s="149">
        <v>43774.4969328704</v>
      </c>
    </row>
    <row r="25" ht="30" customHeight="1" spans="1:15">
      <c r="A25" s="132">
        <v>15</v>
      </c>
      <c r="B25" s="133" t="s">
        <v>88</v>
      </c>
      <c r="C25" s="134" t="s">
        <v>50</v>
      </c>
      <c r="D25" s="32" t="s">
        <v>89</v>
      </c>
      <c r="E25" s="127" t="s">
        <v>52</v>
      </c>
      <c r="F25" s="127"/>
      <c r="G25" s="127"/>
      <c r="H25" s="127"/>
      <c r="I25" s="127"/>
      <c r="J25" s="134">
        <v>1</v>
      </c>
      <c r="K25" s="134">
        <v>1</v>
      </c>
      <c r="L25" s="150" t="s">
        <v>60</v>
      </c>
      <c r="M25" s="151" t="s">
        <v>61</v>
      </c>
      <c r="N25" s="134" t="s">
        <v>64</v>
      </c>
      <c r="O25" s="152">
        <v>43775.4969328704</v>
      </c>
    </row>
    <row r="26" ht="30" customHeight="1" spans="1:15">
      <c r="A26" s="128">
        <v>16</v>
      </c>
      <c r="B26" s="129" t="s">
        <v>90</v>
      </c>
      <c r="C26" s="130" t="s">
        <v>50</v>
      </c>
      <c r="D26" s="34" t="s">
        <v>91</v>
      </c>
      <c r="E26" s="131" t="s">
        <v>52</v>
      </c>
      <c r="F26" s="131"/>
      <c r="G26" s="131"/>
      <c r="H26" s="131"/>
      <c r="I26" s="131"/>
      <c r="J26" s="130">
        <v>1</v>
      </c>
      <c r="K26" s="130">
        <v>1</v>
      </c>
      <c r="L26" s="147" t="s">
        <v>60</v>
      </c>
      <c r="M26" s="148" t="s">
        <v>61</v>
      </c>
      <c r="N26" s="130" t="s">
        <v>64</v>
      </c>
      <c r="O26" s="149">
        <v>43776.4969328704</v>
      </c>
    </row>
    <row r="27" ht="30" customHeight="1" spans="1:15">
      <c r="A27" s="132">
        <v>17</v>
      </c>
      <c r="B27" s="133" t="s">
        <v>92</v>
      </c>
      <c r="C27" s="134" t="s">
        <v>50</v>
      </c>
      <c r="D27" s="32" t="s">
        <v>93</v>
      </c>
      <c r="E27" s="127" t="s">
        <v>52</v>
      </c>
      <c r="F27" s="127"/>
      <c r="G27" s="127"/>
      <c r="H27" s="127"/>
      <c r="I27" s="127"/>
      <c r="J27" s="134">
        <v>1</v>
      </c>
      <c r="K27" s="134">
        <v>1</v>
      </c>
      <c r="L27" s="150" t="s">
        <v>60</v>
      </c>
      <c r="M27" s="151" t="s">
        <v>61</v>
      </c>
      <c r="N27" s="134" t="s">
        <v>64</v>
      </c>
      <c r="O27" s="152">
        <v>43777.4969328704</v>
      </c>
    </row>
    <row r="28" ht="30" customHeight="1" spans="1:15">
      <c r="A28" s="128">
        <v>18</v>
      </c>
      <c r="B28" s="129" t="s">
        <v>94</v>
      </c>
      <c r="C28" s="130" t="s">
        <v>50</v>
      </c>
      <c r="D28" s="34" t="s">
        <v>95</v>
      </c>
      <c r="E28" s="131" t="s">
        <v>52</v>
      </c>
      <c r="F28" s="131"/>
      <c r="G28" s="131"/>
      <c r="H28" s="131"/>
      <c r="I28" s="131"/>
      <c r="J28" s="130">
        <v>1</v>
      </c>
      <c r="K28" s="130">
        <v>1</v>
      </c>
      <c r="L28" s="147" t="s">
        <v>60</v>
      </c>
      <c r="M28" s="148" t="s">
        <v>61</v>
      </c>
      <c r="N28" s="130" t="s">
        <v>64</v>
      </c>
      <c r="O28" s="149">
        <v>43778.4969328704</v>
      </c>
    </row>
    <row r="29" ht="30" customHeight="1" spans="1:15">
      <c r="A29" s="132">
        <v>19</v>
      </c>
      <c r="B29" s="133" t="s">
        <v>96</v>
      </c>
      <c r="C29" s="134" t="s">
        <v>50</v>
      </c>
      <c r="D29" s="32" t="s">
        <v>97</v>
      </c>
      <c r="E29" s="127" t="s">
        <v>52</v>
      </c>
      <c r="F29" s="127"/>
      <c r="G29" s="127"/>
      <c r="H29" s="127"/>
      <c r="I29" s="127"/>
      <c r="J29" s="134">
        <v>1</v>
      </c>
      <c r="K29" s="134">
        <v>1</v>
      </c>
      <c r="L29" s="150" t="s">
        <v>60</v>
      </c>
      <c r="M29" s="151" t="s">
        <v>61</v>
      </c>
      <c r="N29" s="134" t="s">
        <v>64</v>
      </c>
      <c r="O29" s="152">
        <v>43779.4969328704</v>
      </c>
    </row>
    <row r="30" ht="30" customHeight="1" spans="1:15">
      <c r="A30" s="128">
        <v>20</v>
      </c>
      <c r="B30" s="129" t="s">
        <v>98</v>
      </c>
      <c r="C30" s="130" t="s">
        <v>50</v>
      </c>
      <c r="D30" s="34" t="s">
        <v>99</v>
      </c>
      <c r="E30" s="131" t="s">
        <v>52</v>
      </c>
      <c r="F30" s="131"/>
      <c r="G30" s="131"/>
      <c r="H30" s="131"/>
      <c r="I30" s="131"/>
      <c r="J30" s="130">
        <v>1</v>
      </c>
      <c r="K30" s="130">
        <v>1</v>
      </c>
      <c r="L30" s="147" t="s">
        <v>60</v>
      </c>
      <c r="M30" s="148" t="s">
        <v>61</v>
      </c>
      <c r="N30" s="130" t="s">
        <v>64</v>
      </c>
      <c r="O30" s="149">
        <v>43780.4969328704</v>
      </c>
    </row>
    <row r="31" ht="30" customHeight="1" spans="1:15">
      <c r="A31" s="135"/>
      <c r="B31" s="136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6"/>
      <c r="N31" s="137"/>
      <c r="O31" s="153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K18"/>
  <sheetViews>
    <sheetView workbookViewId="0">
      <selection activeCell="B25" sqref="B25"/>
    </sheetView>
  </sheetViews>
  <sheetFormatPr defaultColWidth="9" defaultRowHeight="13.5"/>
  <cols>
    <col min="1" max="2" width="15.625" customWidth="1"/>
    <col min="3" max="3" width="20.625" customWidth="1"/>
    <col min="4" max="5" width="15.625" customWidth="1"/>
    <col min="6" max="6" width="20.625" customWidth="1"/>
    <col min="7" max="7" width="15.625" customWidth="1"/>
    <col min="8" max="11" width="15.625" style="3" customWidth="1"/>
  </cols>
  <sheetData>
    <row r="5" s="66" customFormat="1" ht="30" customHeight="1" spans="1:11">
      <c r="A5" s="68" t="s">
        <v>100</v>
      </c>
      <c r="B5" s="70"/>
      <c r="C5" s="70"/>
      <c r="D5" s="70"/>
      <c r="E5" s="70"/>
      <c r="F5" s="70"/>
      <c r="G5" s="70"/>
      <c r="H5" s="71"/>
      <c r="I5" s="71"/>
      <c r="J5" s="71"/>
      <c r="K5" s="71"/>
    </row>
    <row r="6" s="66" customFormat="1" ht="30" customHeight="1" spans="1:11">
      <c r="A6" s="91" t="s">
        <v>101</v>
      </c>
      <c r="B6" s="92" t="s">
        <v>102</v>
      </c>
      <c r="C6" s="92" t="s">
        <v>103</v>
      </c>
      <c r="D6" s="93"/>
      <c r="E6" s="93"/>
      <c r="F6" s="93"/>
      <c r="G6" s="93"/>
      <c r="H6" s="94"/>
      <c r="I6" s="94"/>
      <c r="J6" s="94"/>
      <c r="K6" s="98"/>
    </row>
    <row r="7" s="67" customFormat="1" ht="30" customHeight="1" spans="1:11">
      <c r="A7" s="95" t="s">
        <v>39</v>
      </c>
      <c r="B7" s="73" t="s">
        <v>104</v>
      </c>
      <c r="C7" s="74" t="s">
        <v>42</v>
      </c>
      <c r="D7" s="74" t="s">
        <v>105</v>
      </c>
      <c r="E7" s="74" t="s">
        <v>106</v>
      </c>
      <c r="F7" s="74" t="s">
        <v>40</v>
      </c>
      <c r="G7" s="74" t="s">
        <v>44</v>
      </c>
      <c r="H7" s="74" t="s">
        <v>107</v>
      </c>
      <c r="I7" s="9" t="s">
        <v>108</v>
      </c>
      <c r="J7" s="9" t="s">
        <v>109</v>
      </c>
      <c r="K7" s="31" t="s">
        <v>110</v>
      </c>
    </row>
    <row r="8" ht="30" customHeight="1" spans="1:11">
      <c r="A8" s="96" t="s">
        <v>111</v>
      </c>
      <c r="B8" s="13" t="s">
        <v>112</v>
      </c>
      <c r="C8" s="12" t="s">
        <v>113</v>
      </c>
      <c r="D8" s="12" t="s">
        <v>114</v>
      </c>
      <c r="E8" s="12" t="s">
        <v>115</v>
      </c>
      <c r="F8" s="14" t="s">
        <v>116</v>
      </c>
      <c r="G8" s="14">
        <v>1</v>
      </c>
      <c r="H8" s="32" t="s">
        <v>117</v>
      </c>
      <c r="I8" s="84">
        <v>1</v>
      </c>
      <c r="J8" s="84">
        <v>167</v>
      </c>
      <c r="K8" s="99">
        <v>200</v>
      </c>
    </row>
    <row r="9" ht="30" customHeight="1" spans="1:11">
      <c r="A9" s="8"/>
      <c r="B9" s="16" t="s">
        <v>112</v>
      </c>
      <c r="C9" s="17" t="s">
        <v>113</v>
      </c>
      <c r="D9" s="17" t="s">
        <v>114</v>
      </c>
      <c r="E9" s="17" t="s">
        <v>115</v>
      </c>
      <c r="F9" s="18" t="s">
        <v>116</v>
      </c>
      <c r="G9" s="18">
        <v>1</v>
      </c>
      <c r="H9" s="34" t="s">
        <v>117</v>
      </c>
      <c r="I9" s="100">
        <v>1</v>
      </c>
      <c r="J9" s="100">
        <v>167</v>
      </c>
      <c r="K9" s="101">
        <v>200</v>
      </c>
    </row>
    <row r="10" ht="30" customHeight="1" spans="1:11">
      <c r="A10" s="8"/>
      <c r="B10" s="13" t="s">
        <v>112</v>
      </c>
      <c r="C10" s="12" t="s">
        <v>113</v>
      </c>
      <c r="D10" s="12" t="s">
        <v>114</v>
      </c>
      <c r="E10" s="12" t="s">
        <v>115</v>
      </c>
      <c r="F10" s="14" t="s">
        <v>116</v>
      </c>
      <c r="G10" s="14">
        <v>1</v>
      </c>
      <c r="H10" s="32" t="s">
        <v>117</v>
      </c>
      <c r="I10" s="84">
        <v>1</v>
      </c>
      <c r="J10" s="84">
        <v>167</v>
      </c>
      <c r="K10" s="99">
        <v>200</v>
      </c>
    </row>
    <row r="11" ht="30" customHeight="1" spans="1:11">
      <c r="A11" s="8"/>
      <c r="B11" s="16" t="s">
        <v>118</v>
      </c>
      <c r="C11" s="17" t="s">
        <v>113</v>
      </c>
      <c r="D11" s="17" t="s">
        <v>114</v>
      </c>
      <c r="E11" s="17" t="s">
        <v>115</v>
      </c>
      <c r="F11" s="18" t="s">
        <v>116</v>
      </c>
      <c r="G11" s="18">
        <v>1</v>
      </c>
      <c r="H11" s="34" t="s">
        <v>117</v>
      </c>
      <c r="I11" s="100">
        <v>1</v>
      </c>
      <c r="J11" s="100">
        <v>167</v>
      </c>
      <c r="K11" s="101">
        <v>200</v>
      </c>
    </row>
    <row r="12" ht="30" customHeight="1" spans="1:11">
      <c r="A12" s="8"/>
      <c r="B12" s="13" t="s">
        <v>118</v>
      </c>
      <c r="C12" s="12" t="s">
        <v>113</v>
      </c>
      <c r="D12" s="12" t="s">
        <v>114</v>
      </c>
      <c r="E12" s="12" t="s">
        <v>115</v>
      </c>
      <c r="F12" s="14" t="s">
        <v>116</v>
      </c>
      <c r="G12" s="14">
        <v>1</v>
      </c>
      <c r="H12" s="32" t="s">
        <v>117</v>
      </c>
      <c r="I12" s="84">
        <v>1</v>
      </c>
      <c r="J12" s="84">
        <v>167</v>
      </c>
      <c r="K12" s="99">
        <v>200</v>
      </c>
    </row>
    <row r="13" ht="30" customHeight="1" spans="1:11">
      <c r="A13" s="8"/>
      <c r="B13" s="16" t="s">
        <v>118</v>
      </c>
      <c r="C13" s="17" t="s">
        <v>113</v>
      </c>
      <c r="D13" s="17" t="s">
        <v>114</v>
      </c>
      <c r="E13" s="17" t="s">
        <v>115</v>
      </c>
      <c r="F13" s="18" t="s">
        <v>116</v>
      </c>
      <c r="G13" s="18">
        <v>1</v>
      </c>
      <c r="H13" s="34" t="s">
        <v>117</v>
      </c>
      <c r="I13" s="100">
        <v>1</v>
      </c>
      <c r="J13" s="100">
        <v>167</v>
      </c>
      <c r="K13" s="101">
        <v>200</v>
      </c>
    </row>
    <row r="14" ht="30" customHeight="1" spans="1:11">
      <c r="A14" s="8"/>
      <c r="B14" s="13" t="s">
        <v>118</v>
      </c>
      <c r="C14" s="12" t="s">
        <v>113</v>
      </c>
      <c r="D14" s="12" t="s">
        <v>114</v>
      </c>
      <c r="E14" s="12" t="s">
        <v>115</v>
      </c>
      <c r="F14" s="14" t="s">
        <v>116</v>
      </c>
      <c r="G14" s="14">
        <v>1</v>
      </c>
      <c r="H14" s="32" t="s">
        <v>117</v>
      </c>
      <c r="I14" s="84">
        <v>1</v>
      </c>
      <c r="J14" s="84">
        <v>167</v>
      </c>
      <c r="K14" s="99">
        <v>200</v>
      </c>
    </row>
    <row r="15" ht="30" customHeight="1" spans="1:11">
      <c r="A15" s="8"/>
      <c r="B15" s="16" t="s">
        <v>119</v>
      </c>
      <c r="C15" s="17" t="s">
        <v>113</v>
      </c>
      <c r="D15" s="17" t="s">
        <v>114</v>
      </c>
      <c r="E15" s="17" t="s">
        <v>115</v>
      </c>
      <c r="F15" s="18" t="s">
        <v>116</v>
      </c>
      <c r="G15" s="18">
        <v>1</v>
      </c>
      <c r="H15" s="34" t="s">
        <v>117</v>
      </c>
      <c r="I15" s="100">
        <v>1</v>
      </c>
      <c r="J15" s="100">
        <v>167</v>
      </c>
      <c r="K15" s="101">
        <v>200</v>
      </c>
    </row>
    <row r="16" ht="30" customHeight="1" spans="1:11">
      <c r="A16" s="8"/>
      <c r="B16" s="13" t="s">
        <v>120</v>
      </c>
      <c r="C16" s="12" t="s">
        <v>113</v>
      </c>
      <c r="D16" s="12" t="s">
        <v>114</v>
      </c>
      <c r="E16" s="12" t="s">
        <v>115</v>
      </c>
      <c r="F16" s="14" t="s">
        <v>116</v>
      </c>
      <c r="G16" s="14">
        <v>1</v>
      </c>
      <c r="H16" s="32" t="s">
        <v>117</v>
      </c>
      <c r="I16" s="84">
        <v>1</v>
      </c>
      <c r="J16" s="84">
        <v>167</v>
      </c>
      <c r="K16" s="99">
        <v>200</v>
      </c>
    </row>
    <row r="17" ht="30" customHeight="1" spans="1:11">
      <c r="A17" s="97"/>
      <c r="B17" s="78"/>
      <c r="C17" s="78"/>
      <c r="D17" s="78"/>
      <c r="E17" s="78"/>
      <c r="F17" s="18"/>
      <c r="G17" s="79">
        <f>SUM(G8:G16)</f>
        <v>9</v>
      </c>
      <c r="H17" s="79"/>
      <c r="I17" s="87">
        <f>SUM(I8:I16)</f>
        <v>9</v>
      </c>
      <c r="J17" s="87">
        <f>SUM(J8:J16)</f>
        <v>1503</v>
      </c>
      <c r="K17" s="88">
        <f>SUM(K8:K16)</f>
        <v>1800</v>
      </c>
    </row>
    <row r="18" s="66" customFormat="1" ht="30" customHeight="1" spans="1:11">
      <c r="A18" s="80" t="s">
        <v>121</v>
      </c>
      <c r="B18" s="82"/>
      <c r="C18" s="82"/>
      <c r="D18" s="82"/>
      <c r="E18" s="82"/>
      <c r="F18" s="82"/>
      <c r="G18" s="82"/>
      <c r="H18" s="82"/>
      <c r="I18" s="82"/>
      <c r="J18" s="82"/>
      <c r="K18" s="90"/>
    </row>
  </sheetData>
  <mergeCells count="2">
    <mergeCell ref="A18:K18"/>
    <mergeCell ref="A8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L17"/>
  <sheetViews>
    <sheetView workbookViewId="0">
      <selection activeCell="C14" sqref="C14"/>
    </sheetView>
  </sheetViews>
  <sheetFormatPr defaultColWidth="9" defaultRowHeight="13.5"/>
  <cols>
    <col min="1" max="1" width="10.625" customWidth="1"/>
    <col min="2" max="2" width="15.625" customWidth="1"/>
    <col min="3" max="3" width="20.625" customWidth="1"/>
    <col min="4" max="5" width="15.625" customWidth="1"/>
    <col min="6" max="6" width="20.625" customWidth="1"/>
    <col min="7" max="7" width="15.625" customWidth="1"/>
    <col min="8" max="12" width="15.625" style="3" customWidth="1"/>
  </cols>
  <sheetData>
    <row r="5" s="66" customFormat="1" ht="30" customHeight="1" spans="1:12">
      <c r="A5" s="68" t="s">
        <v>122</v>
      </c>
      <c r="B5" s="69"/>
      <c r="C5" s="70"/>
      <c r="D5" s="70"/>
      <c r="E5" s="70"/>
      <c r="F5" s="70"/>
      <c r="G5" s="70"/>
      <c r="H5" s="71"/>
      <c r="I5" s="71"/>
      <c r="J5" s="71"/>
      <c r="K5" s="71"/>
      <c r="L5" s="83"/>
    </row>
    <row r="6" s="67" customFormat="1" ht="30" customHeight="1" spans="1:12">
      <c r="A6" s="72" t="s">
        <v>38</v>
      </c>
      <c r="B6" s="73" t="s">
        <v>41</v>
      </c>
      <c r="C6" s="74" t="s">
        <v>42</v>
      </c>
      <c r="D6" s="74" t="s">
        <v>105</v>
      </c>
      <c r="E6" s="74" t="s">
        <v>106</v>
      </c>
      <c r="F6" s="74" t="s">
        <v>40</v>
      </c>
      <c r="G6" s="74" t="s">
        <v>44</v>
      </c>
      <c r="H6" s="74" t="s">
        <v>107</v>
      </c>
      <c r="I6" s="9" t="s">
        <v>108</v>
      </c>
      <c r="J6" s="9" t="s">
        <v>109</v>
      </c>
      <c r="K6" s="9" t="s">
        <v>110</v>
      </c>
      <c r="L6" s="31" t="s">
        <v>123</v>
      </c>
    </row>
    <row r="7" ht="30" customHeight="1" spans="1:12">
      <c r="A7" s="75">
        <v>1</v>
      </c>
      <c r="B7" s="13" t="s">
        <v>112</v>
      </c>
      <c r="C7" s="12">
        <v>191021000022</v>
      </c>
      <c r="D7" s="12" t="s">
        <v>114</v>
      </c>
      <c r="E7" s="12" t="s">
        <v>115</v>
      </c>
      <c r="F7" s="14" t="s">
        <v>116</v>
      </c>
      <c r="G7" s="14">
        <v>1</v>
      </c>
      <c r="H7" s="32" t="s">
        <v>117</v>
      </c>
      <c r="I7" s="84">
        <v>1</v>
      </c>
      <c r="J7" s="84">
        <v>167</v>
      </c>
      <c r="K7" s="85">
        <v>200</v>
      </c>
      <c r="L7" s="86" t="s">
        <v>124</v>
      </c>
    </row>
    <row r="8" ht="30" customHeight="1" spans="1:12">
      <c r="A8" s="75">
        <v>2</v>
      </c>
      <c r="B8" s="13" t="s">
        <v>112</v>
      </c>
      <c r="C8" s="12">
        <v>191021000022</v>
      </c>
      <c r="D8" s="12" t="s">
        <v>114</v>
      </c>
      <c r="E8" s="12" t="s">
        <v>115</v>
      </c>
      <c r="F8" s="14" t="s">
        <v>116</v>
      </c>
      <c r="G8" s="14">
        <v>1</v>
      </c>
      <c r="H8" s="32" t="s">
        <v>117</v>
      </c>
      <c r="I8" s="84">
        <v>1</v>
      </c>
      <c r="J8" s="84">
        <v>167</v>
      </c>
      <c r="K8" s="85">
        <v>200</v>
      </c>
      <c r="L8" s="86" t="s">
        <v>124</v>
      </c>
    </row>
    <row r="9" ht="30" customHeight="1" spans="1:12">
      <c r="A9" s="75">
        <v>3</v>
      </c>
      <c r="B9" s="13" t="s">
        <v>112</v>
      </c>
      <c r="C9" s="12">
        <v>191021000022</v>
      </c>
      <c r="D9" s="12" t="s">
        <v>114</v>
      </c>
      <c r="E9" s="12" t="s">
        <v>115</v>
      </c>
      <c r="F9" s="14" t="s">
        <v>116</v>
      </c>
      <c r="G9" s="14">
        <v>1</v>
      </c>
      <c r="H9" s="32" t="s">
        <v>117</v>
      </c>
      <c r="I9" s="84">
        <v>1</v>
      </c>
      <c r="J9" s="84">
        <v>167</v>
      </c>
      <c r="K9" s="85">
        <v>200</v>
      </c>
      <c r="L9" s="86" t="s">
        <v>124</v>
      </c>
    </row>
    <row r="10" ht="30" customHeight="1" spans="1:12">
      <c r="A10" s="75">
        <v>4</v>
      </c>
      <c r="B10" s="13" t="s">
        <v>118</v>
      </c>
      <c r="C10" s="12">
        <v>191021000022</v>
      </c>
      <c r="D10" s="12" t="s">
        <v>114</v>
      </c>
      <c r="E10" s="12" t="s">
        <v>115</v>
      </c>
      <c r="F10" s="14" t="s">
        <v>116</v>
      </c>
      <c r="G10" s="14">
        <v>1</v>
      </c>
      <c r="H10" s="32" t="s">
        <v>117</v>
      </c>
      <c r="I10" s="84">
        <v>1</v>
      </c>
      <c r="J10" s="84">
        <v>167</v>
      </c>
      <c r="K10" s="85">
        <v>200</v>
      </c>
      <c r="L10" s="86" t="s">
        <v>124</v>
      </c>
    </row>
    <row r="11" ht="30" customHeight="1" spans="1:12">
      <c r="A11" s="75">
        <v>5</v>
      </c>
      <c r="B11" s="13" t="s">
        <v>118</v>
      </c>
      <c r="C11" s="12">
        <v>191021000022</v>
      </c>
      <c r="D11" s="12" t="s">
        <v>114</v>
      </c>
      <c r="E11" s="12" t="s">
        <v>115</v>
      </c>
      <c r="F11" s="14" t="s">
        <v>116</v>
      </c>
      <c r="G11" s="14">
        <v>1</v>
      </c>
      <c r="H11" s="32" t="s">
        <v>117</v>
      </c>
      <c r="I11" s="84">
        <v>1</v>
      </c>
      <c r="J11" s="84">
        <v>167</v>
      </c>
      <c r="K11" s="85">
        <v>200</v>
      </c>
      <c r="L11" s="86" t="s">
        <v>124</v>
      </c>
    </row>
    <row r="12" ht="30" customHeight="1" spans="1:12">
      <c r="A12" s="75">
        <v>6</v>
      </c>
      <c r="B12" s="13" t="s">
        <v>118</v>
      </c>
      <c r="C12" s="12">
        <v>191021000022</v>
      </c>
      <c r="D12" s="12" t="s">
        <v>114</v>
      </c>
      <c r="E12" s="12" t="s">
        <v>115</v>
      </c>
      <c r="F12" s="14" t="s">
        <v>116</v>
      </c>
      <c r="G12" s="14">
        <v>1</v>
      </c>
      <c r="H12" s="32" t="s">
        <v>117</v>
      </c>
      <c r="I12" s="84">
        <v>1</v>
      </c>
      <c r="J12" s="84">
        <v>167</v>
      </c>
      <c r="K12" s="85">
        <v>200</v>
      </c>
      <c r="L12" s="86" t="s">
        <v>124</v>
      </c>
    </row>
    <row r="13" ht="30" customHeight="1" spans="1:12">
      <c r="A13" s="75">
        <v>7</v>
      </c>
      <c r="B13" s="13" t="s">
        <v>118</v>
      </c>
      <c r="C13" s="12">
        <v>191021000022</v>
      </c>
      <c r="D13" s="12" t="s">
        <v>114</v>
      </c>
      <c r="E13" s="12" t="s">
        <v>115</v>
      </c>
      <c r="F13" s="14" t="s">
        <v>116</v>
      </c>
      <c r="G13" s="14">
        <v>1</v>
      </c>
      <c r="H13" s="32" t="s">
        <v>117</v>
      </c>
      <c r="I13" s="84">
        <v>1</v>
      </c>
      <c r="J13" s="84">
        <v>167</v>
      </c>
      <c r="K13" s="85">
        <v>200</v>
      </c>
      <c r="L13" s="86" t="s">
        <v>124</v>
      </c>
    </row>
    <row r="14" ht="30" customHeight="1" spans="1:12">
      <c r="A14" s="75">
        <v>8</v>
      </c>
      <c r="B14" s="13" t="s">
        <v>119</v>
      </c>
      <c r="C14" s="12">
        <v>191021000022</v>
      </c>
      <c r="D14" s="12" t="s">
        <v>114</v>
      </c>
      <c r="E14" s="12" t="s">
        <v>115</v>
      </c>
      <c r="F14" s="14" t="s">
        <v>116</v>
      </c>
      <c r="G14" s="14">
        <v>1</v>
      </c>
      <c r="H14" s="32" t="s">
        <v>117</v>
      </c>
      <c r="I14" s="84">
        <v>1</v>
      </c>
      <c r="J14" s="84">
        <v>167</v>
      </c>
      <c r="K14" s="85">
        <v>200</v>
      </c>
      <c r="L14" s="86" t="s">
        <v>124</v>
      </c>
    </row>
    <row r="15" ht="30" customHeight="1" spans="1:12">
      <c r="A15" s="75">
        <v>9</v>
      </c>
      <c r="B15" s="13" t="s">
        <v>120</v>
      </c>
      <c r="C15" s="12">
        <v>191021000022</v>
      </c>
      <c r="D15" s="12" t="s">
        <v>114</v>
      </c>
      <c r="E15" s="12" t="s">
        <v>115</v>
      </c>
      <c r="F15" s="14" t="s">
        <v>116</v>
      </c>
      <c r="G15" s="14">
        <v>1</v>
      </c>
      <c r="H15" s="32" t="s">
        <v>117</v>
      </c>
      <c r="I15" s="84">
        <v>1</v>
      </c>
      <c r="J15" s="84">
        <v>167</v>
      </c>
      <c r="K15" s="85">
        <v>200</v>
      </c>
      <c r="L15" s="86" t="s">
        <v>124</v>
      </c>
    </row>
    <row r="16" ht="30" customHeight="1" spans="1:12">
      <c r="A16" s="76"/>
      <c r="B16" s="77"/>
      <c r="C16" s="78"/>
      <c r="D16" s="78"/>
      <c r="E16" s="78"/>
      <c r="F16" s="18"/>
      <c r="G16" s="79">
        <f t="shared" ref="G16:K16" si="0">SUM(G7:G15)</f>
        <v>9</v>
      </c>
      <c r="H16" s="79"/>
      <c r="I16" s="87">
        <f t="shared" si="0"/>
        <v>9</v>
      </c>
      <c r="J16" s="87">
        <f t="shared" si="0"/>
        <v>1503</v>
      </c>
      <c r="K16" s="87">
        <f t="shared" si="0"/>
        <v>1800</v>
      </c>
      <c r="L16" s="88"/>
    </row>
    <row r="17" s="66" customFormat="1" ht="30" customHeight="1" spans="1:12">
      <c r="A17" s="80" t="s">
        <v>125</v>
      </c>
      <c r="B17" s="81"/>
      <c r="C17" s="82"/>
      <c r="D17" s="82"/>
      <c r="E17" s="82"/>
      <c r="F17" s="82"/>
      <c r="G17" s="82"/>
      <c r="H17" s="82"/>
      <c r="I17" s="82"/>
      <c r="J17" s="82"/>
      <c r="K17" s="89"/>
      <c r="L17" s="90"/>
    </row>
  </sheetData>
  <mergeCells count="1">
    <mergeCell ref="A17:L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3"/>
  <sheetViews>
    <sheetView workbookViewId="0">
      <selection activeCell="L9" sqref="L9"/>
    </sheetView>
  </sheetViews>
  <sheetFormatPr defaultColWidth="9" defaultRowHeight="13.5" outlineLevelCol="5"/>
  <cols>
    <col min="1" max="2" width="10.625" style="41" customWidth="1"/>
    <col min="3" max="3" width="50.625" style="42" customWidth="1"/>
    <col min="4" max="5" width="10.625" style="41" customWidth="1"/>
    <col min="6" max="6" width="50.625" style="42" customWidth="1"/>
    <col min="7" max="16358" width="9" style="41"/>
    <col min="16362" max="16374" width="9" style="41"/>
  </cols>
  <sheetData>
    <row r="2" ht="30" customHeight="1" spans="1:6">
      <c r="A2" s="43" t="s">
        <v>126</v>
      </c>
      <c r="B2" s="44"/>
      <c r="C2" s="44"/>
      <c r="D2" s="44"/>
      <c r="E2" s="44"/>
      <c r="F2" s="45"/>
    </row>
    <row r="3" customFormat="1" ht="30" customHeight="1" spans="1:6">
      <c r="A3" s="46" t="s">
        <v>39</v>
      </c>
      <c r="B3" s="47"/>
      <c r="C3" s="48" t="s">
        <v>127</v>
      </c>
      <c r="D3" s="49" t="s">
        <v>128</v>
      </c>
      <c r="E3" s="50" t="s">
        <v>129</v>
      </c>
      <c r="F3" s="51" t="s">
        <v>130</v>
      </c>
    </row>
    <row r="4" customFormat="1" ht="30" customHeight="1" spans="1:6">
      <c r="A4" s="52" t="s">
        <v>131</v>
      </c>
      <c r="B4" s="47"/>
      <c r="C4" s="53" t="s">
        <v>132</v>
      </c>
      <c r="D4" s="49"/>
      <c r="E4" s="50" t="s">
        <v>133</v>
      </c>
      <c r="F4" s="54" t="s">
        <v>134</v>
      </c>
    </row>
    <row r="5" s="40" customFormat="1" ht="30" customHeight="1" spans="1:6">
      <c r="A5" s="52" t="s">
        <v>135</v>
      </c>
      <c r="B5" s="47"/>
      <c r="C5" s="55" t="s">
        <v>136</v>
      </c>
      <c r="D5" s="49"/>
      <c r="E5" s="50" t="s">
        <v>137</v>
      </c>
      <c r="F5" s="51" t="s">
        <v>138</v>
      </c>
    </row>
    <row r="6" s="40" customFormat="1" ht="2" customHeight="1" spans="1:6">
      <c r="A6" s="52"/>
      <c r="B6" s="47"/>
      <c r="C6" s="48"/>
      <c r="D6" s="56"/>
      <c r="E6" s="57"/>
      <c r="F6" s="58"/>
    </row>
    <row r="7" s="40" customFormat="1" ht="30" customHeight="1" spans="1:6">
      <c r="A7" s="52" t="s">
        <v>139</v>
      </c>
      <c r="B7" s="47"/>
      <c r="C7" s="48" t="s">
        <v>140</v>
      </c>
      <c r="D7" s="49" t="s">
        <v>141</v>
      </c>
      <c r="E7" s="49"/>
      <c r="F7" s="51" t="s">
        <v>142</v>
      </c>
    </row>
    <row r="8" s="40" customFormat="1" ht="30" customHeight="1" spans="1:6">
      <c r="A8" s="52" t="s">
        <v>44</v>
      </c>
      <c r="B8" s="47"/>
      <c r="C8" s="48">
        <v>50</v>
      </c>
      <c r="D8" s="49" t="s">
        <v>143</v>
      </c>
      <c r="E8" s="49"/>
      <c r="F8" s="59" t="s">
        <v>144</v>
      </c>
    </row>
    <row r="9" s="40" customFormat="1" ht="30" customHeight="1" spans="1:6">
      <c r="A9" s="52" t="s">
        <v>145</v>
      </c>
      <c r="B9" s="47"/>
      <c r="C9" s="60" t="s">
        <v>146</v>
      </c>
      <c r="D9" s="49" t="s">
        <v>147</v>
      </c>
      <c r="E9" s="49"/>
      <c r="F9" s="51" t="s">
        <v>148</v>
      </c>
    </row>
    <row r="10" s="40" customFormat="1" ht="30" customHeight="1" spans="1:6">
      <c r="A10" s="52" t="s">
        <v>149</v>
      </c>
      <c r="B10" s="47"/>
      <c r="C10" s="60" t="s">
        <v>150</v>
      </c>
      <c r="D10" s="49" t="s">
        <v>151</v>
      </c>
      <c r="E10" s="49"/>
      <c r="F10" s="51" t="s">
        <v>148</v>
      </c>
    </row>
    <row r="11" s="40" customFormat="1" ht="30" customHeight="1" spans="1:6">
      <c r="A11" s="61" t="s">
        <v>152</v>
      </c>
      <c r="B11" s="49"/>
      <c r="C11" s="62" t="s">
        <v>144</v>
      </c>
      <c r="D11" s="49" t="s">
        <v>153</v>
      </c>
      <c r="E11" s="49"/>
      <c r="F11" s="51" t="s">
        <v>148</v>
      </c>
    </row>
    <row r="12" s="40" customFormat="1" ht="30" customHeight="1" spans="1:6">
      <c r="A12" s="61"/>
      <c r="B12" s="49"/>
      <c r="C12" s="55"/>
      <c r="D12" s="49" t="s">
        <v>154</v>
      </c>
      <c r="E12" s="49"/>
      <c r="F12" s="51" t="s">
        <v>148</v>
      </c>
    </row>
    <row r="13" s="40" customFormat="1" ht="30" customHeight="1" spans="1:6">
      <c r="A13" s="63" t="s">
        <v>155</v>
      </c>
      <c r="B13" s="64"/>
      <c r="C13" s="64"/>
      <c r="D13" s="64"/>
      <c r="E13" s="64"/>
      <c r="F13" s="65"/>
    </row>
  </sheetData>
  <mergeCells count="19">
    <mergeCell ref="A2:F2"/>
    <mergeCell ref="A3:B3"/>
    <mergeCell ref="A4:B4"/>
    <mergeCell ref="A5:B5"/>
    <mergeCell ref="A6:B6"/>
    <mergeCell ref="A7:B7"/>
    <mergeCell ref="D7:E7"/>
    <mergeCell ref="A8:B8"/>
    <mergeCell ref="D8:E8"/>
    <mergeCell ref="A9:B9"/>
    <mergeCell ref="D9:E9"/>
    <mergeCell ref="A10:B10"/>
    <mergeCell ref="D10:E10"/>
    <mergeCell ref="D11:E11"/>
    <mergeCell ref="D12:E12"/>
    <mergeCell ref="A13:F13"/>
    <mergeCell ref="C11:C12"/>
    <mergeCell ref="D3:D5"/>
    <mergeCell ref="A11:B1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3"/>
  <sheetViews>
    <sheetView workbookViewId="0">
      <selection activeCell="J11" sqref="J11"/>
    </sheetView>
  </sheetViews>
  <sheetFormatPr defaultColWidth="9" defaultRowHeight="13.5" outlineLevelCol="5"/>
  <cols>
    <col min="1" max="2" width="10.625" style="41" customWidth="1"/>
    <col min="3" max="3" width="50.625" style="42" customWidth="1"/>
    <col min="4" max="5" width="10.625" style="41" customWidth="1"/>
    <col min="6" max="6" width="50.625" style="42" customWidth="1"/>
    <col min="7" max="16358" width="9" style="41"/>
    <col min="16362" max="16374" width="9" style="41"/>
  </cols>
  <sheetData>
    <row r="2" ht="30" customHeight="1" spans="1:6">
      <c r="A2" s="43" t="s">
        <v>126</v>
      </c>
      <c r="B2" s="44"/>
      <c r="C2" s="44"/>
      <c r="D2" s="44"/>
      <c r="E2" s="44"/>
      <c r="F2" s="45"/>
    </row>
    <row r="3" customFormat="1" ht="30" customHeight="1" spans="1:6">
      <c r="A3" s="46" t="s">
        <v>39</v>
      </c>
      <c r="B3" s="47"/>
      <c r="C3" s="48" t="s">
        <v>127</v>
      </c>
      <c r="D3" s="49" t="s">
        <v>128</v>
      </c>
      <c r="E3" s="50" t="s">
        <v>129</v>
      </c>
      <c r="F3" s="51" t="s">
        <v>130</v>
      </c>
    </row>
    <row r="4" customFormat="1" ht="30" customHeight="1" spans="1:6">
      <c r="A4" s="52" t="s">
        <v>131</v>
      </c>
      <c r="B4" s="47"/>
      <c r="C4" s="53" t="s">
        <v>132</v>
      </c>
      <c r="D4" s="49"/>
      <c r="E4" s="50" t="s">
        <v>133</v>
      </c>
      <c r="F4" s="54" t="s">
        <v>134</v>
      </c>
    </row>
    <row r="5" s="40" customFormat="1" ht="30" customHeight="1" spans="1:6">
      <c r="A5" s="52" t="s">
        <v>135</v>
      </c>
      <c r="B5" s="47"/>
      <c r="C5" s="55" t="s">
        <v>136</v>
      </c>
      <c r="D5" s="49"/>
      <c r="E5" s="50" t="s">
        <v>137</v>
      </c>
      <c r="F5" s="51" t="s">
        <v>138</v>
      </c>
    </row>
    <row r="6" s="40" customFormat="1" ht="2" customHeight="1" spans="1:6">
      <c r="A6" s="52"/>
      <c r="B6" s="47"/>
      <c r="C6" s="48"/>
      <c r="D6" s="56"/>
      <c r="E6" s="57"/>
      <c r="F6" s="58"/>
    </row>
    <row r="7" s="40" customFormat="1" ht="30" customHeight="1" spans="1:6">
      <c r="A7" s="52" t="s">
        <v>139</v>
      </c>
      <c r="B7" s="47"/>
      <c r="C7" s="48" t="s">
        <v>140</v>
      </c>
      <c r="D7" s="49" t="s">
        <v>141</v>
      </c>
      <c r="E7" s="49"/>
      <c r="F7" s="51" t="s">
        <v>142</v>
      </c>
    </row>
    <row r="8" s="40" customFormat="1" ht="30" customHeight="1" spans="1:6">
      <c r="A8" s="52" t="s">
        <v>44</v>
      </c>
      <c r="B8" s="47"/>
      <c r="C8" s="48">
        <v>50</v>
      </c>
      <c r="D8" s="49" t="s">
        <v>143</v>
      </c>
      <c r="E8" s="49"/>
      <c r="F8" s="59" t="s">
        <v>156</v>
      </c>
    </row>
    <row r="9" s="40" customFormat="1" ht="30" customHeight="1" spans="1:6">
      <c r="A9" s="52" t="s">
        <v>145</v>
      </c>
      <c r="B9" s="47"/>
      <c r="C9" s="60" t="s">
        <v>146</v>
      </c>
      <c r="D9" s="49" t="s">
        <v>147</v>
      </c>
      <c r="E9" s="49"/>
      <c r="F9" s="51" t="s">
        <v>148</v>
      </c>
    </row>
    <row r="10" s="40" customFormat="1" ht="30" customHeight="1" spans="1:6">
      <c r="A10" s="52" t="s">
        <v>149</v>
      </c>
      <c r="B10" s="47"/>
      <c r="C10" s="60" t="s">
        <v>157</v>
      </c>
      <c r="D10" s="49" t="s">
        <v>151</v>
      </c>
      <c r="E10" s="49"/>
      <c r="F10" s="51" t="s">
        <v>148</v>
      </c>
    </row>
    <row r="11" s="40" customFormat="1" ht="30" customHeight="1" spans="1:6">
      <c r="A11" s="61" t="s">
        <v>152</v>
      </c>
      <c r="B11" s="49"/>
      <c r="C11" s="62" t="s">
        <v>144</v>
      </c>
      <c r="D11" s="49" t="s">
        <v>153</v>
      </c>
      <c r="E11" s="49"/>
      <c r="F11" s="51" t="s">
        <v>148</v>
      </c>
    </row>
    <row r="12" s="40" customFormat="1" ht="30" customHeight="1" spans="1:6">
      <c r="A12" s="61"/>
      <c r="B12" s="49"/>
      <c r="C12" s="55"/>
      <c r="D12" s="49" t="s">
        <v>154</v>
      </c>
      <c r="E12" s="49"/>
      <c r="F12" s="51" t="s">
        <v>148</v>
      </c>
    </row>
    <row r="13" s="40" customFormat="1" ht="30" customHeight="1" spans="1:6">
      <c r="A13" s="63" t="s">
        <v>158</v>
      </c>
      <c r="B13" s="64"/>
      <c r="C13" s="64"/>
      <c r="D13" s="64"/>
      <c r="E13" s="64"/>
      <c r="F13" s="65"/>
    </row>
  </sheetData>
  <mergeCells count="19">
    <mergeCell ref="A2:F2"/>
    <mergeCell ref="A3:B3"/>
    <mergeCell ref="A4:B4"/>
    <mergeCell ref="A5:B5"/>
    <mergeCell ref="A6:B6"/>
    <mergeCell ref="A7:B7"/>
    <mergeCell ref="D7:E7"/>
    <mergeCell ref="A8:B8"/>
    <mergeCell ref="D8:E8"/>
    <mergeCell ref="A9:B9"/>
    <mergeCell ref="D9:E9"/>
    <mergeCell ref="A10:B10"/>
    <mergeCell ref="D10:E10"/>
    <mergeCell ref="D11:E11"/>
    <mergeCell ref="D12:E12"/>
    <mergeCell ref="A13:F13"/>
    <mergeCell ref="C11:C12"/>
    <mergeCell ref="D3:D5"/>
    <mergeCell ref="A11:B1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G10" sqref="G10"/>
    </sheetView>
  </sheetViews>
  <sheetFormatPr defaultColWidth="9" defaultRowHeight="13.5"/>
  <cols>
    <col min="1" max="1" width="9" style="3"/>
    <col min="2" max="3" width="15.625" style="4" customWidth="1"/>
    <col min="4" max="4" width="18" style="3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159</v>
      </c>
      <c r="C3" s="6"/>
      <c r="D3" s="7"/>
      <c r="E3" s="7"/>
      <c r="F3" s="7"/>
      <c r="G3" s="7"/>
      <c r="H3" s="7"/>
      <c r="I3" s="7"/>
      <c r="J3" s="28"/>
      <c r="K3" s="28"/>
      <c r="L3" s="29"/>
    </row>
    <row r="4" s="1" customFormat="1" ht="30" customHeight="1" spans="2:12">
      <c r="B4" s="8" t="s">
        <v>39</v>
      </c>
      <c r="C4" s="9" t="s">
        <v>160</v>
      </c>
      <c r="D4" s="9" t="s">
        <v>161</v>
      </c>
      <c r="E4" s="9" t="s">
        <v>105</v>
      </c>
      <c r="F4" s="9" t="s">
        <v>162</v>
      </c>
      <c r="G4" s="9" t="s">
        <v>40</v>
      </c>
      <c r="H4" s="9" t="s">
        <v>44</v>
      </c>
      <c r="I4" s="9" t="s">
        <v>163</v>
      </c>
      <c r="J4" s="30" t="s">
        <v>164</v>
      </c>
      <c r="K4" s="30" t="s">
        <v>165</v>
      </c>
      <c r="L4" s="31" t="s">
        <v>43</v>
      </c>
    </row>
    <row r="5" ht="30" customHeight="1" spans="2:12">
      <c r="B5" s="10" t="s">
        <v>166</v>
      </c>
      <c r="C5" s="11" t="s">
        <v>167</v>
      </c>
      <c r="D5" s="12" t="s">
        <v>168</v>
      </c>
      <c r="E5" s="13" t="s">
        <v>169</v>
      </c>
      <c r="F5" s="13" t="s">
        <v>169</v>
      </c>
      <c r="G5" s="14" t="s">
        <v>116</v>
      </c>
      <c r="H5" s="13">
        <v>1</v>
      </c>
      <c r="I5" s="32" t="s">
        <v>117</v>
      </c>
      <c r="J5" s="13">
        <v>0.52</v>
      </c>
      <c r="K5" s="13">
        <v>0.52</v>
      </c>
      <c r="L5" s="33">
        <v>0.52</v>
      </c>
    </row>
    <row r="6" ht="30" customHeight="1" spans="2:12">
      <c r="B6" s="10"/>
      <c r="C6" s="15"/>
      <c r="D6" s="12" t="s">
        <v>170</v>
      </c>
      <c r="E6" s="13" t="s">
        <v>169</v>
      </c>
      <c r="F6" s="13" t="s">
        <v>169</v>
      </c>
      <c r="G6" s="14" t="s">
        <v>116</v>
      </c>
      <c r="H6" s="13">
        <v>1</v>
      </c>
      <c r="I6" s="32" t="s">
        <v>117</v>
      </c>
      <c r="J6" s="13">
        <v>0.92</v>
      </c>
      <c r="K6" s="13">
        <v>0.92</v>
      </c>
      <c r="L6" s="33">
        <v>0.92</v>
      </c>
    </row>
    <row r="7" ht="30" customHeight="1" spans="2:12">
      <c r="B7" s="10"/>
      <c r="C7" s="15"/>
      <c r="D7" s="12" t="s">
        <v>171</v>
      </c>
      <c r="E7" s="13" t="s">
        <v>169</v>
      </c>
      <c r="F7" s="13" t="s">
        <v>169</v>
      </c>
      <c r="G7" s="14" t="s">
        <v>116</v>
      </c>
      <c r="H7" s="13">
        <v>1</v>
      </c>
      <c r="I7" s="32" t="s">
        <v>117</v>
      </c>
      <c r="J7" s="13">
        <v>0.12</v>
      </c>
      <c r="K7" s="13">
        <v>0.12</v>
      </c>
      <c r="L7" s="33">
        <v>0.12</v>
      </c>
    </row>
    <row r="8" ht="30" customHeight="1" spans="2:12">
      <c r="B8" s="10"/>
      <c r="C8" s="15"/>
      <c r="D8" s="12" t="s">
        <v>172</v>
      </c>
      <c r="E8" s="13" t="s">
        <v>169</v>
      </c>
      <c r="F8" s="13" t="s">
        <v>169</v>
      </c>
      <c r="G8" s="14" t="s">
        <v>116</v>
      </c>
      <c r="H8" s="13">
        <v>1</v>
      </c>
      <c r="I8" s="32" t="s">
        <v>117</v>
      </c>
      <c r="J8" s="13">
        <v>2.2</v>
      </c>
      <c r="K8" s="13">
        <v>2.2</v>
      </c>
      <c r="L8" s="33">
        <v>2.2</v>
      </c>
    </row>
    <row r="9" ht="30" customHeight="1" spans="2:12">
      <c r="B9" s="10"/>
      <c r="C9" s="15"/>
      <c r="D9" s="12" t="s">
        <v>173</v>
      </c>
      <c r="E9" s="13" t="s">
        <v>174</v>
      </c>
      <c r="F9" s="13" t="s">
        <v>174</v>
      </c>
      <c r="G9" s="14" t="s">
        <v>116</v>
      </c>
      <c r="H9" s="13">
        <v>1</v>
      </c>
      <c r="I9" s="32" t="s">
        <v>117</v>
      </c>
      <c r="J9" s="13">
        <v>7.1</v>
      </c>
      <c r="K9" s="13">
        <v>7.1</v>
      </c>
      <c r="L9" s="33">
        <v>7.1</v>
      </c>
    </row>
    <row r="10" ht="30" customHeight="1" spans="2:12">
      <c r="B10" s="10"/>
      <c r="C10" s="16" t="s">
        <v>112</v>
      </c>
      <c r="D10" s="17" t="s">
        <v>175</v>
      </c>
      <c r="E10" s="16" t="s">
        <v>169</v>
      </c>
      <c r="F10" s="16" t="s">
        <v>169</v>
      </c>
      <c r="G10" s="18" t="s">
        <v>116</v>
      </c>
      <c r="H10" s="16">
        <v>1</v>
      </c>
      <c r="I10" s="34" t="s">
        <v>117</v>
      </c>
      <c r="J10" s="16">
        <v>1.14</v>
      </c>
      <c r="K10" s="16">
        <v>1.14</v>
      </c>
      <c r="L10" s="35">
        <v>1.14</v>
      </c>
    </row>
    <row r="11" ht="30" customHeight="1" spans="2:12">
      <c r="B11" s="10"/>
      <c r="C11" s="13" t="s">
        <v>112</v>
      </c>
      <c r="D11" s="12" t="s">
        <v>170</v>
      </c>
      <c r="E11" s="13" t="s">
        <v>169</v>
      </c>
      <c r="F11" s="13" t="s">
        <v>169</v>
      </c>
      <c r="G11" s="14" t="s">
        <v>116</v>
      </c>
      <c r="H11" s="13">
        <v>1</v>
      </c>
      <c r="I11" s="32" t="s">
        <v>117</v>
      </c>
      <c r="J11" s="13">
        <v>0.92</v>
      </c>
      <c r="K11" s="13">
        <v>0.92</v>
      </c>
      <c r="L11" s="33">
        <v>0.92</v>
      </c>
    </row>
    <row r="12" ht="30" customHeight="1" spans="2:12">
      <c r="B12" s="10"/>
      <c r="C12" s="16" t="s">
        <v>112</v>
      </c>
      <c r="D12" s="17" t="s">
        <v>171</v>
      </c>
      <c r="E12" s="16" t="s">
        <v>169</v>
      </c>
      <c r="F12" s="16" t="s">
        <v>169</v>
      </c>
      <c r="G12" s="18" t="s">
        <v>116</v>
      </c>
      <c r="H12" s="16">
        <v>1</v>
      </c>
      <c r="I12" s="34" t="s">
        <v>117</v>
      </c>
      <c r="J12" s="16">
        <v>0.12</v>
      </c>
      <c r="K12" s="16">
        <v>0.12</v>
      </c>
      <c r="L12" s="35">
        <v>0.12</v>
      </c>
    </row>
    <row r="13" ht="30" customHeight="1" spans="2:12">
      <c r="B13" s="10"/>
      <c r="C13" s="13" t="s">
        <v>118</v>
      </c>
      <c r="D13" s="12" t="s">
        <v>172</v>
      </c>
      <c r="E13" s="13" t="s">
        <v>169</v>
      </c>
      <c r="F13" s="13" t="s">
        <v>169</v>
      </c>
      <c r="G13" s="14" t="s">
        <v>116</v>
      </c>
      <c r="H13" s="13">
        <v>1</v>
      </c>
      <c r="I13" s="32" t="s">
        <v>117</v>
      </c>
      <c r="J13" s="13">
        <v>2.2</v>
      </c>
      <c r="K13" s="13">
        <v>2.2</v>
      </c>
      <c r="L13" s="33">
        <v>2.2</v>
      </c>
    </row>
    <row r="14" ht="30" customHeight="1" spans="2:12">
      <c r="B14" s="10"/>
      <c r="C14" s="16" t="s">
        <v>118</v>
      </c>
      <c r="D14" s="17" t="s">
        <v>173</v>
      </c>
      <c r="E14" s="16" t="s">
        <v>174</v>
      </c>
      <c r="F14" s="16" t="s">
        <v>174</v>
      </c>
      <c r="G14" s="18" t="s">
        <v>116</v>
      </c>
      <c r="H14" s="16">
        <v>1</v>
      </c>
      <c r="I14" s="34" t="s">
        <v>117</v>
      </c>
      <c r="J14" s="16">
        <v>7.1</v>
      </c>
      <c r="K14" s="16">
        <v>7.1</v>
      </c>
      <c r="L14" s="35">
        <v>7.1</v>
      </c>
    </row>
    <row r="15" ht="30" customHeight="1" spans="2:12">
      <c r="B15" s="10"/>
      <c r="C15" s="13" t="s">
        <v>118</v>
      </c>
      <c r="D15" s="12" t="s">
        <v>176</v>
      </c>
      <c r="E15" s="13" t="s">
        <v>169</v>
      </c>
      <c r="F15" s="13" t="s">
        <v>169</v>
      </c>
      <c r="G15" s="14" t="s">
        <v>116</v>
      </c>
      <c r="H15" s="13">
        <v>1</v>
      </c>
      <c r="I15" s="32" t="s">
        <v>117</v>
      </c>
      <c r="J15" s="13">
        <v>1.1</v>
      </c>
      <c r="K15" s="13">
        <v>1.1</v>
      </c>
      <c r="L15" s="33">
        <v>1.1</v>
      </c>
    </row>
    <row r="16" ht="30" customHeight="1" spans="2:12">
      <c r="B16" s="10"/>
      <c r="C16" s="16" t="s">
        <v>118</v>
      </c>
      <c r="D16" s="17" t="s">
        <v>177</v>
      </c>
      <c r="E16" s="16" t="s">
        <v>178</v>
      </c>
      <c r="F16" s="16" t="s">
        <v>178</v>
      </c>
      <c r="G16" s="18" t="s">
        <v>116</v>
      </c>
      <c r="H16" s="16">
        <v>1</v>
      </c>
      <c r="I16" s="34" t="s">
        <v>117</v>
      </c>
      <c r="J16" s="16">
        <v>0.94</v>
      </c>
      <c r="K16" s="16">
        <v>0.94</v>
      </c>
      <c r="L16" s="35">
        <v>0.94</v>
      </c>
    </row>
    <row r="17" ht="30" customHeight="1" spans="2:12">
      <c r="B17" s="19"/>
      <c r="C17" s="20"/>
      <c r="D17" s="21"/>
      <c r="E17" s="21"/>
      <c r="F17" s="21"/>
      <c r="G17" s="21"/>
      <c r="H17" s="22">
        <f t="shared" ref="H17:L17" si="0">SUM(H5:H16)</f>
        <v>12</v>
      </c>
      <c r="I17" s="22"/>
      <c r="J17" s="22">
        <f>SUM(J5:J16)</f>
        <v>24.38</v>
      </c>
      <c r="K17" s="22">
        <f t="shared" si="0"/>
        <v>24.38</v>
      </c>
      <c r="L17" s="37">
        <f t="shared" si="0"/>
        <v>24.38</v>
      </c>
    </row>
    <row r="18" s="2" customFormat="1" ht="30" customHeight="1" spans="2:12">
      <c r="B18" s="23" t="s">
        <v>179</v>
      </c>
      <c r="C18" s="24"/>
      <c r="D18" s="25"/>
      <c r="E18" s="25"/>
      <c r="F18" s="25"/>
      <c r="G18" s="25"/>
      <c r="H18" s="25"/>
      <c r="I18" s="25"/>
      <c r="J18" s="38"/>
      <c r="K18" s="38"/>
      <c r="L18" s="39"/>
    </row>
    <row r="19" spans="2:12">
      <c r="B19" s="26"/>
      <c r="C19" s="26"/>
      <c r="D19" s="27"/>
      <c r="E19" s="27"/>
      <c r="F19" s="27"/>
      <c r="G19" s="27"/>
      <c r="H19" s="27"/>
      <c r="I19" s="27"/>
      <c r="J19" s="27"/>
      <c r="K19" s="27"/>
      <c r="L19" s="27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H17" sqref="H17:L17"/>
    </sheetView>
  </sheetViews>
  <sheetFormatPr defaultColWidth="9" defaultRowHeight="13.5"/>
  <cols>
    <col min="1" max="1" width="9" style="3"/>
    <col min="2" max="3" width="15.625" style="4" customWidth="1"/>
    <col min="4" max="4" width="18" style="3" customWidth="1"/>
    <col min="5" max="6" width="15.625" style="3" customWidth="1"/>
    <col min="7" max="7" width="20.625" style="3" customWidth="1"/>
    <col min="8" max="12" width="15.625" style="3" customWidth="1"/>
    <col min="13" max="16384" width="9" style="3"/>
  </cols>
  <sheetData>
    <row r="3" ht="30" customHeight="1" spans="2:12">
      <c r="B3" s="5" t="s">
        <v>159</v>
      </c>
      <c r="C3" s="6"/>
      <c r="D3" s="7"/>
      <c r="E3" s="7"/>
      <c r="F3" s="7"/>
      <c r="G3" s="7"/>
      <c r="H3" s="7"/>
      <c r="I3" s="7"/>
      <c r="J3" s="28"/>
      <c r="K3" s="28"/>
      <c r="L3" s="29"/>
    </row>
    <row r="4" s="1" customFormat="1" ht="30" customHeight="1" spans="2:12">
      <c r="B4" s="8" t="s">
        <v>39</v>
      </c>
      <c r="C4" s="9" t="s">
        <v>160</v>
      </c>
      <c r="D4" s="9" t="s">
        <v>161</v>
      </c>
      <c r="E4" s="9" t="s">
        <v>105</v>
      </c>
      <c r="F4" s="9" t="s">
        <v>162</v>
      </c>
      <c r="G4" s="9" t="s">
        <v>40</v>
      </c>
      <c r="H4" s="9" t="s">
        <v>44</v>
      </c>
      <c r="I4" s="9" t="s">
        <v>180</v>
      </c>
      <c r="J4" s="30" t="s">
        <v>164</v>
      </c>
      <c r="K4" s="30" t="s">
        <v>181</v>
      </c>
      <c r="L4" s="31" t="s">
        <v>43</v>
      </c>
    </row>
    <row r="5" ht="30" customHeight="1" spans="2:12">
      <c r="B5" s="10" t="s">
        <v>166</v>
      </c>
      <c r="C5" s="11" t="s">
        <v>167</v>
      </c>
      <c r="D5" s="12" t="s">
        <v>168</v>
      </c>
      <c r="E5" s="13" t="s">
        <v>169</v>
      </c>
      <c r="F5" s="13" t="s">
        <v>169</v>
      </c>
      <c r="G5" s="14" t="s">
        <v>116</v>
      </c>
      <c r="H5" s="13">
        <v>1</v>
      </c>
      <c r="I5" s="32" t="s">
        <v>117</v>
      </c>
      <c r="J5" s="13">
        <v>0.52</v>
      </c>
      <c r="K5" s="13">
        <v>0.52</v>
      </c>
      <c r="L5" s="33">
        <v>0.52</v>
      </c>
    </row>
    <row r="6" ht="30" customHeight="1" spans="2:12">
      <c r="B6" s="10"/>
      <c r="C6" s="15"/>
      <c r="D6" s="12" t="s">
        <v>170</v>
      </c>
      <c r="E6" s="13" t="s">
        <v>169</v>
      </c>
      <c r="F6" s="13" t="s">
        <v>169</v>
      </c>
      <c r="G6" s="14" t="s">
        <v>116</v>
      </c>
      <c r="H6" s="13">
        <v>1</v>
      </c>
      <c r="I6" s="32" t="s">
        <v>117</v>
      </c>
      <c r="J6" s="13">
        <v>0.92</v>
      </c>
      <c r="K6" s="13">
        <v>0.92</v>
      </c>
      <c r="L6" s="33">
        <v>0.92</v>
      </c>
    </row>
    <row r="7" ht="30" customHeight="1" spans="2:12">
      <c r="B7" s="10"/>
      <c r="C7" s="15"/>
      <c r="D7" s="12" t="s">
        <v>171</v>
      </c>
      <c r="E7" s="13" t="s">
        <v>169</v>
      </c>
      <c r="F7" s="13" t="s">
        <v>169</v>
      </c>
      <c r="G7" s="14" t="s">
        <v>116</v>
      </c>
      <c r="H7" s="13">
        <v>1</v>
      </c>
      <c r="I7" s="32" t="s">
        <v>117</v>
      </c>
      <c r="J7" s="13">
        <v>0.12</v>
      </c>
      <c r="K7" s="13">
        <v>0.12</v>
      </c>
      <c r="L7" s="33">
        <v>0.12</v>
      </c>
    </row>
    <row r="8" ht="30" customHeight="1" spans="2:12">
      <c r="B8" s="10"/>
      <c r="C8" s="15"/>
      <c r="D8" s="12" t="s">
        <v>172</v>
      </c>
      <c r="E8" s="13" t="s">
        <v>169</v>
      </c>
      <c r="F8" s="13" t="s">
        <v>169</v>
      </c>
      <c r="G8" s="14" t="s">
        <v>116</v>
      </c>
      <c r="H8" s="13">
        <v>1</v>
      </c>
      <c r="I8" s="32" t="s">
        <v>117</v>
      </c>
      <c r="J8" s="13">
        <v>2.2</v>
      </c>
      <c r="K8" s="13">
        <v>2.2</v>
      </c>
      <c r="L8" s="33">
        <v>2.2</v>
      </c>
    </row>
    <row r="9" ht="30" customHeight="1" spans="2:12">
      <c r="B9" s="10"/>
      <c r="C9" s="15"/>
      <c r="D9" s="12" t="s">
        <v>173</v>
      </c>
      <c r="E9" s="13" t="s">
        <v>174</v>
      </c>
      <c r="F9" s="13" t="s">
        <v>174</v>
      </c>
      <c r="G9" s="14" t="s">
        <v>116</v>
      </c>
      <c r="H9" s="13">
        <v>1</v>
      </c>
      <c r="I9" s="32" t="s">
        <v>117</v>
      </c>
      <c r="J9" s="13">
        <v>7.1</v>
      </c>
      <c r="K9" s="13">
        <v>7.1</v>
      </c>
      <c r="L9" s="33">
        <v>7.1</v>
      </c>
    </row>
    <row r="10" ht="30" customHeight="1" spans="2:12">
      <c r="B10" s="10"/>
      <c r="C10" s="16" t="s">
        <v>112</v>
      </c>
      <c r="D10" s="17" t="s">
        <v>175</v>
      </c>
      <c r="E10" s="16" t="s">
        <v>169</v>
      </c>
      <c r="F10" s="16" t="s">
        <v>169</v>
      </c>
      <c r="G10" s="18" t="s">
        <v>116</v>
      </c>
      <c r="H10" s="16">
        <v>1</v>
      </c>
      <c r="I10" s="34" t="s">
        <v>117</v>
      </c>
      <c r="J10" s="16">
        <v>1.14</v>
      </c>
      <c r="K10" s="16">
        <v>1.14</v>
      </c>
      <c r="L10" s="35">
        <v>1.14</v>
      </c>
    </row>
    <row r="11" ht="30" customHeight="1" spans="2:12">
      <c r="B11" s="10"/>
      <c r="C11" s="13" t="s">
        <v>112</v>
      </c>
      <c r="D11" s="12" t="s">
        <v>170</v>
      </c>
      <c r="E11" s="13" t="s">
        <v>169</v>
      </c>
      <c r="F11" s="13" t="s">
        <v>169</v>
      </c>
      <c r="G11" s="14" t="s">
        <v>116</v>
      </c>
      <c r="H11" s="13">
        <v>1</v>
      </c>
      <c r="I11" s="32" t="s">
        <v>117</v>
      </c>
      <c r="J11" s="13">
        <v>0.92</v>
      </c>
      <c r="K11" s="13">
        <v>0.92</v>
      </c>
      <c r="L11" s="33">
        <v>0.92</v>
      </c>
    </row>
    <row r="12" ht="30" customHeight="1" spans="2:12">
      <c r="B12" s="10"/>
      <c r="C12" s="16" t="s">
        <v>112</v>
      </c>
      <c r="D12" s="17" t="s">
        <v>171</v>
      </c>
      <c r="E12" s="16" t="s">
        <v>169</v>
      </c>
      <c r="F12" s="16" t="s">
        <v>169</v>
      </c>
      <c r="G12" s="18" t="s">
        <v>116</v>
      </c>
      <c r="H12" s="16">
        <v>1</v>
      </c>
      <c r="I12" s="34" t="s">
        <v>117</v>
      </c>
      <c r="J12" s="16">
        <v>0.12</v>
      </c>
      <c r="K12" s="16">
        <v>0.12</v>
      </c>
      <c r="L12" s="35">
        <v>0.12</v>
      </c>
    </row>
    <row r="13" ht="30" customHeight="1" spans="2:12">
      <c r="B13" s="10"/>
      <c r="C13" s="13" t="s">
        <v>118</v>
      </c>
      <c r="D13" s="12" t="s">
        <v>172</v>
      </c>
      <c r="E13" s="13" t="s">
        <v>169</v>
      </c>
      <c r="F13" s="13" t="s">
        <v>169</v>
      </c>
      <c r="G13" s="14" t="s">
        <v>116</v>
      </c>
      <c r="H13" s="13">
        <v>1</v>
      </c>
      <c r="I13" s="32" t="s">
        <v>117</v>
      </c>
      <c r="J13" s="13">
        <v>2.2</v>
      </c>
      <c r="K13" s="13">
        <v>2.2</v>
      </c>
      <c r="L13" s="33">
        <v>2.2</v>
      </c>
    </row>
    <row r="14" ht="30" customHeight="1" spans="2:12">
      <c r="B14" s="10"/>
      <c r="C14" s="16" t="s">
        <v>118</v>
      </c>
      <c r="D14" s="17" t="s">
        <v>173</v>
      </c>
      <c r="E14" s="16" t="s">
        <v>174</v>
      </c>
      <c r="F14" s="16" t="s">
        <v>174</v>
      </c>
      <c r="G14" s="18" t="s">
        <v>116</v>
      </c>
      <c r="H14" s="16">
        <v>1</v>
      </c>
      <c r="I14" s="34" t="s">
        <v>117</v>
      </c>
      <c r="J14" s="16">
        <v>7.1</v>
      </c>
      <c r="K14" s="16">
        <v>7.1</v>
      </c>
      <c r="L14" s="35">
        <v>7.1</v>
      </c>
    </row>
    <row r="15" ht="30" customHeight="1" spans="2:12">
      <c r="B15" s="10"/>
      <c r="C15" s="13" t="s">
        <v>118</v>
      </c>
      <c r="D15" s="12" t="s">
        <v>176</v>
      </c>
      <c r="E15" s="13" t="s">
        <v>169</v>
      </c>
      <c r="F15" s="13" t="s">
        <v>169</v>
      </c>
      <c r="G15" s="14" t="s">
        <v>116</v>
      </c>
      <c r="H15" s="13">
        <v>1</v>
      </c>
      <c r="I15" s="32" t="s">
        <v>117</v>
      </c>
      <c r="J15" s="13">
        <v>1.1</v>
      </c>
      <c r="K15" s="13">
        <v>1.1</v>
      </c>
      <c r="L15" s="33">
        <v>1.1</v>
      </c>
    </row>
    <row r="16" ht="30" customHeight="1" spans="2:12">
      <c r="B16" s="10"/>
      <c r="C16" s="16" t="s">
        <v>118</v>
      </c>
      <c r="D16" s="17" t="s">
        <v>177</v>
      </c>
      <c r="E16" s="16" t="s">
        <v>178</v>
      </c>
      <c r="F16" s="16" t="s">
        <v>178</v>
      </c>
      <c r="G16" s="18" t="s">
        <v>116</v>
      </c>
      <c r="H16" s="16">
        <v>1</v>
      </c>
      <c r="I16" s="34" t="s">
        <v>117</v>
      </c>
      <c r="J16" s="16">
        <v>0.94</v>
      </c>
      <c r="K16" s="16">
        <v>0.94</v>
      </c>
      <c r="L16" s="35">
        <v>0.94</v>
      </c>
    </row>
    <row r="17" ht="30" customHeight="1" spans="2:12">
      <c r="B17" s="19"/>
      <c r="C17" s="20"/>
      <c r="D17" s="21"/>
      <c r="E17" s="21"/>
      <c r="F17" s="21"/>
      <c r="G17" s="21"/>
      <c r="H17" s="22">
        <f t="shared" ref="H17:K17" si="0">SUM(H5:H16)</f>
        <v>12</v>
      </c>
      <c r="I17" s="22"/>
      <c r="J17" s="36">
        <f>SUM(J5:J16)</f>
        <v>24.38</v>
      </c>
      <c r="K17" s="22">
        <f t="shared" si="0"/>
        <v>24.38</v>
      </c>
      <c r="L17" s="37">
        <f>SUM(L5:L16)</f>
        <v>24.38</v>
      </c>
    </row>
    <row r="18" s="2" customFormat="1" ht="30" customHeight="1" spans="2:12">
      <c r="B18" s="23" t="s">
        <v>179</v>
      </c>
      <c r="C18" s="24"/>
      <c r="D18" s="25"/>
      <c r="E18" s="25"/>
      <c r="F18" s="25"/>
      <c r="G18" s="25"/>
      <c r="H18" s="25"/>
      <c r="I18" s="25"/>
      <c r="J18" s="38"/>
      <c r="K18" s="38"/>
      <c r="L18" s="39"/>
    </row>
    <row r="19" spans="2:12">
      <c r="B19" s="26"/>
      <c r="C19" s="26"/>
      <c r="D19" s="27"/>
      <c r="E19" s="27"/>
      <c r="F19" s="27"/>
      <c r="G19" s="27"/>
      <c r="H19" s="27"/>
      <c r="I19" s="27"/>
      <c r="J19" s="27"/>
      <c r="K19" s="27"/>
      <c r="L19" s="27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执行DPN任务</vt:lpstr>
      <vt:lpstr>手动添加</vt:lpstr>
      <vt:lpstr>创建DPN1</vt:lpstr>
      <vt:lpstr>编辑DPN</vt:lpstr>
      <vt:lpstr>DPN详情 </vt:lpstr>
      <vt:lpstr>点击订单号或更多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2022-05-17T03:29:05Z</dcterms:created>
  <dcterms:modified xsi:type="dcterms:W3CDTF">2022-05-17T14:23:55Z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B3591DE545544DA18E9B633ED388BF66</vt:lpwstr>
  </property>
  <property fmtid="{D5CDD505-2E9C-101B-9397-08002B2CF9AE}" pid="3" name="KSOProductBuildVer">
    <vt:lpwstr>2052-11.1.0.11691</vt:lpwstr>
  </property>
</Properties>
</file>