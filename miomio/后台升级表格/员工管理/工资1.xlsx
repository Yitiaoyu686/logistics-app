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2" r:id="rId1"/>
    <sheet name="调整" sheetId="4" r:id="rId2"/>
    <sheet name="支付 (2)" sheetId="5" r:id="rId3"/>
  </sheets>
  <calcPr calcId="144525"/>
</workbook>
</file>

<file path=xl/sharedStrings.xml><?xml version="1.0" encoding="utf-8"?>
<sst xmlns="http://schemas.openxmlformats.org/spreadsheetml/2006/main" count="337" uniqueCount="126">
  <si>
    <t>尼日利亚</t>
  </si>
  <si>
    <t>加纳</t>
  </si>
  <si>
    <t>几内亚</t>
  </si>
  <si>
    <t>罗马尼亚</t>
  </si>
  <si>
    <t>泰国</t>
  </si>
  <si>
    <t>拉各斯</t>
  </si>
  <si>
    <t>阿布贾</t>
  </si>
  <si>
    <t>卡诺</t>
  </si>
  <si>
    <t>IKEJA</t>
  </si>
  <si>
    <t>VI</t>
  </si>
  <si>
    <t>FESTAC</t>
  </si>
  <si>
    <t>2019年</t>
  </si>
  <si>
    <t>2020年</t>
  </si>
  <si>
    <t>2021年</t>
  </si>
  <si>
    <t>2022年</t>
  </si>
  <si>
    <t>2023年</t>
  </si>
  <si>
    <t>2024年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</si>
  <si>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</si>
  <si>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</si>
  <si>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</si>
  <si>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</si>
  <si>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</si>
  <si>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</si>
  <si>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</si>
  <si>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</si>
  <si>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</si>
  <si>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</si>
  <si>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</si>
  <si>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</si>
  <si>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</si>
  <si>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</si>
  <si>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11月</t>
  </si>
  <si>
    <t>12月</t>
  </si>
  <si>
    <t>选择部门</t>
  </si>
  <si>
    <t>序号</t>
  </si>
  <si>
    <r>
      <rPr>
        <sz val="9"/>
        <color theme="0"/>
        <rFont val="宋体"/>
        <charset val="134"/>
      </rPr>
      <t>部门</t>
    </r>
  </si>
  <si>
    <r>
      <rPr>
        <sz val="9"/>
        <color theme="0"/>
        <rFont val="宋体"/>
        <charset val="134"/>
      </rPr>
      <t>姓名</t>
    </r>
  </si>
  <si>
    <t>出勤状态</t>
  </si>
  <si>
    <r>
      <rPr>
        <b/>
        <sz val="9"/>
        <color theme="0"/>
        <rFont val="宋体"/>
        <charset val="134"/>
      </rPr>
      <t>应发工资</t>
    </r>
    <r>
      <rPr>
        <b/>
        <sz val="9"/>
        <color theme="0"/>
        <rFont val="Arial"/>
        <charset val="134"/>
      </rPr>
      <t xml:space="preserve"> CNY</t>
    </r>
  </si>
  <si>
    <r>
      <rPr>
        <b/>
        <sz val="9"/>
        <color theme="0"/>
        <rFont val="宋体"/>
        <charset val="134"/>
      </rPr>
      <t>扣除</t>
    </r>
    <r>
      <rPr>
        <b/>
        <sz val="9"/>
        <color theme="0"/>
        <rFont val="Arial"/>
        <charset val="134"/>
      </rPr>
      <t xml:space="preserve"> CNY</t>
    </r>
  </si>
  <si>
    <r>
      <rPr>
        <sz val="9"/>
        <color theme="0"/>
        <rFont val="宋体"/>
        <charset val="134"/>
      </rPr>
      <t>实发工资</t>
    </r>
  </si>
  <si>
    <t>支付状态</t>
  </si>
  <si>
    <t>支付途径</t>
  </si>
  <si>
    <t>审核状态</t>
  </si>
  <si>
    <t>操作</t>
  </si>
  <si>
    <t>岗位工资</t>
  </si>
  <si>
    <r>
      <rPr>
        <sz val="9"/>
        <color theme="0"/>
        <rFont val="宋体"/>
        <charset val="134"/>
      </rPr>
      <t>绩效工资</t>
    </r>
  </si>
  <si>
    <t>全勤奖金</t>
  </si>
  <si>
    <t>津贴补贴</t>
  </si>
  <si>
    <r>
      <rPr>
        <sz val="9"/>
        <color theme="0"/>
        <rFont val="宋体"/>
        <charset val="134"/>
      </rPr>
      <t>加班工资</t>
    </r>
  </si>
  <si>
    <r>
      <rPr>
        <sz val="9"/>
        <color theme="0"/>
        <rFont val="宋体"/>
        <charset val="134"/>
      </rPr>
      <t>其他</t>
    </r>
  </si>
  <si>
    <r>
      <rPr>
        <sz val="9"/>
        <color theme="0"/>
        <rFont val="宋体"/>
        <charset val="134"/>
      </rPr>
      <t>合计</t>
    </r>
  </si>
  <si>
    <t>迟到早退</t>
  </si>
  <si>
    <r>
      <rPr>
        <sz val="9"/>
        <color theme="0"/>
        <rFont val="宋体"/>
        <charset val="134"/>
      </rPr>
      <t>病事假</t>
    </r>
  </si>
  <si>
    <r>
      <rPr>
        <sz val="9"/>
        <color theme="0"/>
        <rFont val="宋体"/>
        <charset val="134"/>
      </rPr>
      <t>旷工</t>
    </r>
  </si>
  <si>
    <r>
      <rPr>
        <sz val="9"/>
        <color theme="0"/>
        <rFont val="宋体"/>
        <charset val="134"/>
      </rPr>
      <t>社保</t>
    </r>
  </si>
  <si>
    <r>
      <rPr>
        <sz val="9"/>
        <color theme="0"/>
        <rFont val="宋体"/>
        <charset val="134"/>
      </rPr>
      <t>个税</t>
    </r>
  </si>
  <si>
    <r>
      <rPr>
        <sz val="9"/>
        <color theme="0"/>
        <rFont val="宋体"/>
        <charset val="134"/>
      </rPr>
      <t>其它</t>
    </r>
  </si>
  <si>
    <t>公账</t>
  </si>
  <si>
    <t>其它</t>
  </si>
  <si>
    <t>财务部</t>
  </si>
  <si>
    <r>
      <rPr>
        <sz val="8"/>
        <color theme="1"/>
        <rFont val="宋体"/>
        <charset val="134"/>
      </rPr>
      <t>浦海森</t>
    </r>
    <r>
      <rPr>
        <sz val="8"/>
        <color theme="1"/>
        <rFont val="Arial"/>
        <charset val="134"/>
      </rPr>
      <t>CAN124563</t>
    </r>
  </si>
  <si>
    <t>25/23</t>
  </si>
  <si>
    <t>未付</t>
  </si>
  <si>
    <r>
      <rPr>
        <sz val="7.5"/>
        <color theme="1"/>
        <rFont val="Arial"/>
        <charset val="134"/>
      </rPr>
      <t xml:space="preserve">COMPANY ACC 02765    2019/8/28 15:01:17  </t>
    </r>
    <r>
      <rPr>
        <sz val="7.5"/>
        <color rgb="FF0070C0"/>
        <rFont val="宋体"/>
        <charset val="134"/>
      </rPr>
      <t>查看</t>
    </r>
  </si>
  <si>
    <r>
      <rPr>
        <sz val="7.5"/>
        <color theme="1"/>
        <rFont val="Arial"/>
        <charset val="134"/>
      </rPr>
      <t xml:space="preserve">WECHAT PAY 02765       2019/8/28 15:01:17  </t>
    </r>
    <r>
      <rPr>
        <sz val="7.5"/>
        <color rgb="FF0070C0"/>
        <rFont val="宋体"/>
        <charset val="134"/>
      </rPr>
      <t>查看</t>
    </r>
  </si>
  <si>
    <t>未审核</t>
  </si>
  <si>
    <r>
      <rPr>
        <sz val="8"/>
        <color rgb="FF0070C0"/>
        <rFont val="宋体"/>
        <charset val="134"/>
      </rPr>
      <t>调整</t>
    </r>
    <r>
      <rPr>
        <sz val="8"/>
        <color rgb="FF0070C0"/>
        <rFont val="Arial"/>
        <charset val="134"/>
      </rPr>
      <t xml:space="preserve"> </t>
    </r>
    <r>
      <rPr>
        <sz val="8"/>
        <color rgb="FF0070C0"/>
        <rFont val="宋体"/>
        <charset val="134"/>
      </rPr>
      <t>支付</t>
    </r>
  </si>
  <si>
    <t>业务部</t>
  </si>
  <si>
    <t>操作部</t>
  </si>
  <si>
    <t>已付</t>
  </si>
  <si>
    <r>
      <rPr>
        <sz val="7.5"/>
        <color theme="1"/>
        <rFont val="宋体"/>
        <charset val="134"/>
      </rPr>
      <t>已审核</t>
    </r>
    <r>
      <rPr>
        <sz val="7.5"/>
        <color theme="1"/>
        <rFont val="Arial"/>
        <charset val="134"/>
      </rPr>
      <t xml:space="preserve">   CANSAMAO             2019/10/25 23:51:17</t>
    </r>
  </si>
  <si>
    <t>查看</t>
  </si>
  <si>
    <t>仓管部</t>
  </si>
  <si>
    <t>客服部</t>
  </si>
  <si>
    <t>调整</t>
  </si>
  <si>
    <t>姓名:李天王                                                 工号:LOS2304</t>
  </si>
  <si>
    <t>入职日期</t>
  </si>
  <si>
    <t>工资月份</t>
  </si>
  <si>
    <t>离职日期</t>
  </si>
  <si>
    <t>无</t>
  </si>
  <si>
    <t>状态</t>
  </si>
  <si>
    <t>在职</t>
  </si>
  <si>
    <t>审核账号</t>
  </si>
  <si>
    <t>出勤统计</t>
  </si>
  <si>
    <t>应出勤（天）</t>
  </si>
  <si>
    <t>实际出勤（天）</t>
  </si>
  <si>
    <t>出差（天）</t>
  </si>
  <si>
    <t>迟到早退（天）</t>
  </si>
  <si>
    <t>病事假（天）</t>
  </si>
  <si>
    <t>旷工（天）</t>
  </si>
  <si>
    <t>调休（天）</t>
  </si>
  <si>
    <t>产/婚/丧（天）</t>
  </si>
  <si>
    <t>年假（天）</t>
  </si>
  <si>
    <r>
      <rPr>
        <sz val="9"/>
        <color rgb="FF333333"/>
        <rFont val="宋体"/>
        <charset val="0"/>
      </rPr>
      <t>应发工资</t>
    </r>
    <r>
      <rPr>
        <sz val="9"/>
        <color rgb="FF333333"/>
        <rFont val="Arial"/>
        <charset val="0"/>
      </rPr>
      <t>CNY</t>
    </r>
  </si>
  <si>
    <r>
      <rPr>
        <sz val="9"/>
        <color rgb="FF333333"/>
        <rFont val="宋体"/>
        <charset val="0"/>
      </rPr>
      <t>岗位工资</t>
    </r>
    <r>
      <rPr>
        <sz val="9"/>
        <color rgb="FF393939"/>
        <rFont val="Arial"/>
        <charset val="0"/>
      </rPr>
      <t>CNY</t>
    </r>
  </si>
  <si>
    <r>
      <rPr>
        <sz val="9"/>
        <color indexed="63"/>
        <rFont val="宋体"/>
        <charset val="134"/>
      </rPr>
      <t>绩效工资</t>
    </r>
    <r>
      <rPr>
        <sz val="9"/>
        <color rgb="FF393939"/>
        <rFont val="Arial"/>
        <charset val="0"/>
      </rPr>
      <t>CNY</t>
    </r>
  </si>
  <si>
    <r>
      <rPr>
        <sz val="9"/>
        <color rgb="FF393939"/>
        <rFont val="宋体"/>
        <charset val="0"/>
      </rPr>
      <t>全勤奖金</t>
    </r>
    <r>
      <rPr>
        <sz val="9"/>
        <color rgb="FF393939"/>
        <rFont val="Arial"/>
        <charset val="0"/>
      </rPr>
      <t>CNY</t>
    </r>
  </si>
  <si>
    <t>津贴补贴CNY</t>
  </si>
  <si>
    <r>
      <rPr>
        <sz val="9"/>
        <color rgb="FF393939"/>
        <rFont val="宋体"/>
        <charset val="0"/>
      </rPr>
      <t>加班工资</t>
    </r>
    <r>
      <rPr>
        <sz val="9"/>
        <color rgb="FF393939"/>
        <rFont val="Arial"/>
        <charset val="0"/>
      </rPr>
      <t>CNY</t>
    </r>
  </si>
  <si>
    <t>其它CNY</t>
  </si>
  <si>
    <r>
      <rPr>
        <sz val="9"/>
        <color indexed="8"/>
        <rFont val="宋体"/>
        <charset val="134"/>
      </rPr>
      <t>合计</t>
    </r>
    <r>
      <rPr>
        <sz val="9"/>
        <color theme="1"/>
        <rFont val="Arial"/>
        <charset val="0"/>
      </rPr>
      <t>CNY</t>
    </r>
  </si>
  <si>
    <r>
      <rPr>
        <sz val="9"/>
        <color rgb="FF393939"/>
        <rFont val="宋体"/>
        <charset val="0"/>
      </rPr>
      <t>扣除项目</t>
    </r>
    <r>
      <rPr>
        <sz val="9"/>
        <color rgb="FF393939"/>
        <rFont val="Arial"/>
        <charset val="0"/>
      </rPr>
      <t>CNY</t>
    </r>
  </si>
  <si>
    <r>
      <rPr>
        <sz val="9"/>
        <color rgb="FF333333"/>
        <rFont val="宋体"/>
        <charset val="0"/>
      </rPr>
      <t>迟到早退</t>
    </r>
    <r>
      <rPr>
        <sz val="9"/>
        <color rgb="FF393939"/>
        <rFont val="Arial"/>
        <charset val="0"/>
      </rPr>
      <t>CNY</t>
    </r>
  </si>
  <si>
    <r>
      <rPr>
        <sz val="9"/>
        <color rgb="FF333333"/>
        <rFont val="宋体"/>
        <charset val="0"/>
      </rPr>
      <t>病事假</t>
    </r>
    <r>
      <rPr>
        <sz val="9"/>
        <color rgb="FF393939"/>
        <rFont val="Arial"/>
        <charset val="0"/>
      </rPr>
      <t>CNY</t>
    </r>
  </si>
  <si>
    <r>
      <rPr>
        <sz val="9"/>
        <color rgb="FF333333"/>
        <rFont val="宋体"/>
        <charset val="0"/>
      </rPr>
      <t>旷工</t>
    </r>
    <r>
      <rPr>
        <sz val="9"/>
        <color rgb="FF393939"/>
        <rFont val="Arial"/>
        <charset val="0"/>
      </rPr>
      <t>CNY</t>
    </r>
  </si>
  <si>
    <r>
      <rPr>
        <sz val="9"/>
        <color rgb="FF393939"/>
        <rFont val="宋体"/>
        <charset val="0"/>
      </rPr>
      <t>社保</t>
    </r>
    <r>
      <rPr>
        <sz val="9"/>
        <color rgb="FF393939"/>
        <rFont val="Arial"/>
        <charset val="0"/>
      </rPr>
      <t>CNY</t>
    </r>
  </si>
  <si>
    <r>
      <rPr>
        <sz val="9"/>
        <color rgb="FF333333"/>
        <rFont val="宋体"/>
        <charset val="0"/>
      </rPr>
      <t>个税</t>
    </r>
    <r>
      <rPr>
        <sz val="9"/>
        <color rgb="FF393939"/>
        <rFont val="Arial"/>
        <charset val="0"/>
      </rPr>
      <t>CNY</t>
    </r>
  </si>
  <si>
    <r>
      <rPr>
        <sz val="9"/>
        <color rgb="FF393939"/>
        <rFont val="宋体"/>
        <charset val="0"/>
      </rPr>
      <t>其它</t>
    </r>
    <r>
      <rPr>
        <sz val="9"/>
        <color rgb="FF393939"/>
        <rFont val="Arial"/>
        <charset val="0"/>
      </rPr>
      <t>CNY</t>
    </r>
  </si>
  <si>
    <r>
      <rPr>
        <sz val="9"/>
        <color theme="1"/>
        <rFont val="宋体"/>
        <charset val="0"/>
      </rPr>
      <t>合计</t>
    </r>
    <r>
      <rPr>
        <sz val="9"/>
        <color theme="1"/>
        <rFont val="Arial"/>
        <charset val="0"/>
      </rPr>
      <t>CNY</t>
    </r>
  </si>
  <si>
    <r>
      <rPr>
        <sz val="9"/>
        <color rgb="FF393939"/>
        <rFont val="宋体"/>
        <charset val="0"/>
      </rPr>
      <t>实发工资</t>
    </r>
    <r>
      <rPr>
        <sz val="9"/>
        <color rgb="FF393939"/>
        <rFont val="Arial"/>
        <charset val="0"/>
      </rPr>
      <t>CNY</t>
    </r>
  </si>
  <si>
    <r>
      <rPr>
        <sz val="9"/>
        <color rgb="FF393939"/>
        <rFont val="宋体"/>
        <charset val="0"/>
      </rPr>
      <t>支付状态</t>
    </r>
  </si>
  <si>
    <r>
      <rPr>
        <sz val="9"/>
        <color rgb="FF393939"/>
        <rFont val="宋体"/>
        <charset val="0"/>
      </rPr>
      <t>支付途径</t>
    </r>
  </si>
  <si>
    <r>
      <rPr>
        <sz val="9"/>
        <color rgb="FF393939"/>
        <rFont val="宋体"/>
        <charset val="0"/>
      </rPr>
      <t>公账</t>
    </r>
  </si>
  <si>
    <r>
      <rPr>
        <sz val="9"/>
        <color rgb="FF393939"/>
        <rFont val="宋体"/>
        <charset val="0"/>
      </rPr>
      <t>其它</t>
    </r>
  </si>
  <si>
    <t>操作账号</t>
  </si>
  <si>
    <t>CANSAMPAO 2019/8/28 15:01:17</t>
  </si>
  <si>
    <t>返回 确认</t>
  </si>
  <si>
    <t>支付</t>
  </si>
  <si>
    <r>
      <rPr>
        <sz val="9"/>
        <color theme="1"/>
        <rFont val="Arial"/>
        <charset val="0"/>
      </rPr>
      <t>8</t>
    </r>
    <r>
      <rPr>
        <sz val="9"/>
        <color theme="1"/>
        <rFont val="宋体"/>
        <charset val="0"/>
      </rPr>
      <t>月</t>
    </r>
  </si>
  <si>
    <r>
      <rPr>
        <sz val="9"/>
        <color theme="1"/>
        <rFont val="宋体"/>
        <charset val="0"/>
      </rPr>
      <t>已审核</t>
    </r>
    <r>
      <rPr>
        <sz val="9"/>
        <color theme="1"/>
        <rFont val="Arial"/>
        <charset val="0"/>
      </rPr>
      <t xml:space="preserve"> 2019/10/25 23:51:17</t>
    </r>
  </si>
  <si>
    <t>CANSAMPAO</t>
  </si>
  <si>
    <t>确认</t>
  </si>
  <si>
    <t>COMPANY ACC 02765</t>
  </si>
  <si>
    <t>选择</t>
  </si>
  <si>
    <t>上传凭证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</si>
</sst>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0_ "/>
    <numFmt numFmtId="178" formatCode="0.00_ "/>
    <numFmt numFmtId="179" formatCode="yyyy/m/d\ h:mm;@"/>
  </numFmts>
  <fonts count="5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4"/>
      <color theme="0"/>
      <name val="Microsoft JhengHei"/>
      <charset val="134"/>
    </font>
    <font>
      <b/>
      <sz val="10"/>
      <color theme="1"/>
      <name val="Microsoft JhengHei"/>
      <charset val="134"/>
    </font>
    <font>
      <sz val="9"/>
      <color theme="1"/>
      <name val="Microsoft JhengHei"/>
      <charset val="134"/>
    </font>
    <font>
      <sz val="9"/>
      <color theme="1"/>
      <name val="Arial"/>
      <charset val="0"/>
    </font>
    <font>
      <sz val="9"/>
      <color theme="1"/>
      <name val="宋体"/>
      <charset val="0"/>
    </font>
    <font>
      <sz val="9"/>
      <color rgb="FF333333"/>
      <name val="宋体"/>
      <charset val="0"/>
    </font>
    <font>
      <sz val="9"/>
      <color rgb="FF393939"/>
      <name val="Arial"/>
      <charset val="0"/>
    </font>
    <font>
      <sz val="9"/>
      <color rgb="FF393939"/>
      <name val="宋体"/>
      <charset val="0"/>
    </font>
    <font>
      <sz val="8"/>
      <color rgb="FF0070C0"/>
      <name val="宋体"/>
      <charset val="0"/>
    </font>
    <font>
      <sz val="8"/>
      <color rgb="FF0070C0"/>
      <name val="Arial"/>
      <charset val="0"/>
    </font>
    <font>
      <sz val="9"/>
      <color rgb="FF0070C0"/>
      <name val="宋体"/>
      <charset val="0"/>
    </font>
    <font>
      <sz val="8"/>
      <color rgb="FF393939"/>
      <name val="Arial"/>
      <charset val="0"/>
    </font>
    <font>
      <sz val="8"/>
      <color rgb="FF393939"/>
      <name val="宋体"/>
      <charset val="0"/>
    </font>
    <font>
      <sz val="8"/>
      <color theme="1"/>
      <name val="Arial"/>
      <charset val="0"/>
    </font>
    <font>
      <b/>
      <sz val="14"/>
      <color theme="0"/>
      <name val="宋体"/>
      <charset val="134"/>
      <scheme val="minor"/>
    </font>
    <font>
      <sz val="8"/>
      <color theme="1"/>
      <name val="Microsoft JhengHei"/>
      <charset val="134"/>
    </font>
    <font>
      <b/>
      <sz val="9"/>
      <name val="Microsoft JhengHei"/>
      <charset val="134"/>
    </font>
    <font>
      <sz val="9"/>
      <name val="Microsoft JhengHei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9"/>
      <color theme="1"/>
      <name val="Microsoft JhengHei"/>
      <charset val="134"/>
    </font>
    <font>
      <sz val="10"/>
      <color theme="1"/>
      <name val="Microsoft JhengHei"/>
      <charset val="134"/>
    </font>
    <font>
      <sz val="9"/>
      <color theme="0"/>
      <name val="宋体"/>
      <charset val="134"/>
    </font>
    <font>
      <sz val="9"/>
      <color theme="0"/>
      <name val="Arial"/>
      <charset val="134"/>
    </font>
    <font>
      <b/>
      <sz val="9"/>
      <color theme="0"/>
      <name val="宋体"/>
      <charset val="134"/>
    </font>
    <font>
      <b/>
      <sz val="9"/>
      <color theme="0"/>
      <name val="Arial"/>
      <charset val="134"/>
    </font>
    <font>
      <sz val="8"/>
      <color theme="1"/>
      <name val="Arial"/>
      <charset val="134"/>
    </font>
    <font>
      <sz val="8"/>
      <color theme="1"/>
      <name val="宋体"/>
      <charset val="134"/>
    </font>
    <font>
      <sz val="7.5"/>
      <color theme="1"/>
      <name val="Arial"/>
      <charset val="134"/>
    </font>
    <font>
      <sz val="7.5"/>
      <color theme="1"/>
      <name val="宋体"/>
      <charset val="134"/>
    </font>
    <font>
      <sz val="8"/>
      <color rgb="FF0070C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333333"/>
      <name val="Arial"/>
      <charset val="0"/>
    </font>
    <font>
      <sz val="9"/>
      <color indexed="63"/>
      <name val="宋体"/>
      <charset val="134"/>
    </font>
    <font>
      <sz val="9"/>
      <color indexed="8"/>
      <name val="宋体"/>
      <charset val="134"/>
    </font>
    <font>
      <sz val="7.5"/>
      <color rgb="FF0070C0"/>
      <name val="宋体"/>
      <charset val="134"/>
    </font>
    <font>
      <sz val="8"/>
      <color rgb="FF0070C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2" tint="-0.1"/>
      </right>
      <top/>
      <bottom/>
      <diagonal/>
    </border>
    <border>
      <left style="thin">
        <color theme="2" tint="-0.1"/>
      </left>
      <right/>
      <top/>
      <bottom/>
      <diagonal/>
    </border>
    <border>
      <left style="thin">
        <color theme="2" tint="-0.1"/>
      </left>
      <right style="thin">
        <color theme="2" tint="-0.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2" tint="-0.1"/>
      </right>
      <top/>
      <bottom style="thin">
        <color theme="2" tint="-0.1"/>
      </bottom>
      <diagonal/>
    </border>
    <border>
      <left style="thin">
        <color theme="2" tint="-0.1"/>
      </left>
      <right/>
      <top/>
      <bottom style="thin">
        <color theme="2" tint="-0.1"/>
      </bottom>
      <diagonal/>
    </border>
    <border>
      <left/>
      <right/>
      <top/>
      <bottom style="thin">
        <color theme="2" tint="-0.1"/>
      </bottom>
      <diagonal/>
    </border>
    <border>
      <left style="thin">
        <color theme="2" tint="-0.1"/>
      </left>
      <right style="thin">
        <color theme="2" tint="-0.1"/>
      </right>
      <top/>
      <bottom style="thin">
        <color theme="2" tint="-0.1"/>
      </bottom>
      <diagonal/>
    </border>
    <border>
      <left/>
      <right style="thin">
        <color auto="1"/>
      </right>
      <top/>
      <bottom style="thin">
        <color theme="2" tint="-0.1"/>
      </bottom>
      <diagonal/>
    </border>
    <border>
      <left style="thin">
        <color auto="1"/>
      </left>
      <right style="thin">
        <color theme="2" tint="-0.1"/>
      </right>
      <top/>
      <bottom style="thin">
        <color theme="2" tint="-0.0999786370433668"/>
      </bottom>
      <diagonal/>
    </border>
    <border>
      <left/>
      <right/>
      <top/>
      <bottom style="thin">
        <color theme="2" tint="-0.0999786370433668"/>
      </bottom>
      <diagonal/>
    </border>
    <border>
      <left/>
      <right style="thin">
        <color auto="1"/>
      </right>
      <top/>
      <bottom style="thin">
        <color theme="2" tint="-0.0999786370433668"/>
      </bottom>
      <diagonal/>
    </border>
    <border>
      <left style="thin">
        <color auto="1"/>
      </left>
      <right style="thin">
        <color theme="2" tint="-0.0999786370433668"/>
      </right>
      <top/>
      <bottom/>
      <diagonal/>
    </border>
    <border>
      <left/>
      <right/>
      <top style="thin">
        <color theme="2" tint="-0.0999786370433668"/>
      </top>
      <bottom/>
      <diagonal/>
    </border>
    <border>
      <left style="thin">
        <color auto="1"/>
      </left>
      <right/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/>
      <right style="thin">
        <color auto="1"/>
      </right>
      <top style="thin">
        <color theme="2" tint="-0.1"/>
      </top>
      <bottom/>
      <diagonal/>
    </border>
    <border>
      <left/>
      <right/>
      <top style="thin">
        <color theme="2" tint="-0.1"/>
      </top>
      <bottom style="thin">
        <color theme="2" tint="-0.1"/>
      </bottom>
      <diagonal/>
    </border>
    <border>
      <left/>
      <right style="thin">
        <color auto="1"/>
      </right>
      <top style="thin">
        <color theme="2" tint="-0.1"/>
      </top>
      <bottom style="thin">
        <color theme="2" tint="-0.1"/>
      </bottom>
      <diagonal/>
    </border>
    <border>
      <left style="thin">
        <color auto="1"/>
      </left>
      <right style="thin">
        <color theme="2" tint="-0.1"/>
      </right>
      <top style="thin">
        <color theme="2" tint="-0.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2" tint="-0.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2" tint="-0.1"/>
      </right>
      <top style="thin">
        <color auto="1"/>
      </top>
      <bottom/>
      <diagonal/>
    </border>
    <border>
      <left/>
      <right style="thin">
        <color theme="2" tint="-0.1"/>
      </right>
      <top/>
      <bottom/>
      <diagonal/>
    </border>
    <border>
      <left style="thin">
        <color theme="2" tint="-0.1"/>
      </left>
      <right style="thin">
        <color theme="2" tint="-0.1"/>
      </right>
      <top style="thin">
        <color auto="1"/>
      </top>
      <bottom/>
      <diagonal/>
    </border>
    <border>
      <left style="thin">
        <color theme="2" tint="-0.1"/>
      </left>
      <right style="thin">
        <color auto="1"/>
      </right>
      <top style="thin">
        <color auto="1"/>
      </top>
      <bottom/>
      <diagonal/>
    </border>
    <border>
      <left style="thin">
        <color theme="2" tint="-0.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1" borderId="3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4" borderId="35" applyNumberFormat="0" applyFont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36" applyNumberFormat="0" applyFill="0" applyAlignment="0" applyProtection="0">
      <alignment vertical="center"/>
    </xf>
    <xf numFmtId="0" fontId="44" fillId="0" borderId="36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5" fillId="17" borderId="38" applyNumberFormat="0" applyAlignment="0" applyProtection="0">
      <alignment vertical="center"/>
    </xf>
    <xf numFmtId="0" fontId="46" fillId="17" borderId="34" applyNumberFormat="0" applyAlignment="0" applyProtection="0">
      <alignment vertical="center"/>
    </xf>
    <xf numFmtId="0" fontId="47" fillId="18" borderId="39" applyNumberFormat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48" fillId="0" borderId="40" applyNumberFormat="0" applyFill="0" applyAlignment="0" applyProtection="0">
      <alignment vertical="center"/>
    </xf>
    <xf numFmtId="0" fontId="49" fillId="0" borderId="41" applyNumberFormat="0" applyFill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22" fontId="5" fillId="4" borderId="0" xfId="0" applyNumberFormat="1" applyFont="1" applyFill="1" applyAlignment="1">
      <alignment horizontal="left" vertical="center"/>
    </xf>
    <xf numFmtId="22" fontId="6" fillId="3" borderId="6" xfId="0" applyNumberFormat="1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57" fontId="6" fillId="4" borderId="7" xfId="0" applyNumberFormat="1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center" vertical="center"/>
    </xf>
    <xf numFmtId="57" fontId="5" fillId="4" borderId="12" xfId="0" applyNumberFormat="1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/>
    </xf>
    <xf numFmtId="177" fontId="4" fillId="4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77" fontId="4" fillId="4" borderId="10" xfId="0" applyNumberFormat="1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center" vertical="center"/>
    </xf>
    <xf numFmtId="178" fontId="7" fillId="3" borderId="4" xfId="0" applyNumberFormat="1" applyFont="1" applyFill="1" applyBorder="1" applyAlignment="1">
      <alignment horizontal="center" vertical="center" wrapText="1"/>
    </xf>
    <xf numFmtId="178" fontId="7" fillId="3" borderId="0" xfId="0" applyNumberFormat="1" applyFont="1" applyFill="1" applyBorder="1" applyAlignment="1">
      <alignment horizontal="center" vertical="center"/>
    </xf>
    <xf numFmtId="177" fontId="8" fillId="4" borderId="0" xfId="0" applyNumberFormat="1" applyFont="1" applyFill="1" applyAlignment="1">
      <alignment horizontal="left" vertical="center"/>
    </xf>
    <xf numFmtId="177" fontId="8" fillId="4" borderId="7" xfId="0" applyNumberFormat="1" applyFont="1" applyFill="1" applyBorder="1" applyAlignment="1">
      <alignment horizontal="center" vertical="center"/>
    </xf>
    <xf numFmtId="178" fontId="8" fillId="3" borderId="4" xfId="0" applyNumberFormat="1" applyFont="1" applyFill="1" applyBorder="1" applyAlignment="1">
      <alignment horizontal="center" vertical="center" wrapText="1"/>
    </xf>
    <xf numFmtId="178" fontId="8" fillId="3" borderId="0" xfId="0" applyNumberFormat="1" applyFont="1" applyFill="1" applyBorder="1" applyAlignment="1">
      <alignment horizontal="center" vertical="center"/>
    </xf>
    <xf numFmtId="178" fontId="9" fillId="3" borderId="0" xfId="0" applyNumberFormat="1" applyFont="1" applyFill="1" applyBorder="1" applyAlignment="1">
      <alignment horizontal="center" vertical="center"/>
    </xf>
    <xf numFmtId="177" fontId="10" fillId="4" borderId="7" xfId="0" applyNumberFormat="1" applyFont="1" applyFill="1" applyBorder="1" applyAlignment="1">
      <alignment horizontal="center" vertical="center"/>
    </xf>
    <xf numFmtId="178" fontId="8" fillId="3" borderId="13" xfId="0" applyNumberFormat="1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77" fontId="8" fillId="4" borderId="14" xfId="0" applyNumberFormat="1" applyFont="1" applyFill="1" applyBorder="1" applyAlignment="1">
      <alignment horizontal="left" vertical="center"/>
    </xf>
    <xf numFmtId="177" fontId="11" fillId="4" borderId="15" xfId="0" applyNumberFormat="1" applyFont="1" applyFill="1" applyBorder="1" applyAlignment="1">
      <alignment horizontal="center" vertical="center"/>
    </xf>
    <xf numFmtId="178" fontId="9" fillId="3" borderId="16" xfId="0" applyNumberFormat="1" applyFont="1" applyFill="1" applyBorder="1" applyAlignment="1">
      <alignment horizontal="center" vertical="center" wrapText="1"/>
    </xf>
    <xf numFmtId="178" fontId="7" fillId="3" borderId="17" xfId="0" applyNumberFormat="1" applyFont="1" applyFill="1" applyBorder="1" applyAlignment="1">
      <alignment horizontal="center" vertical="center"/>
    </xf>
    <xf numFmtId="177" fontId="8" fillId="4" borderId="17" xfId="0" applyNumberFormat="1" applyFont="1" applyFill="1" applyBorder="1" applyAlignment="1">
      <alignment horizontal="left" vertical="center"/>
    </xf>
    <xf numFmtId="178" fontId="8" fillId="3" borderId="16" xfId="0" applyNumberFormat="1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178" fontId="8" fillId="3" borderId="18" xfId="0" applyNumberFormat="1" applyFont="1" applyFill="1" applyBorder="1" applyAlignment="1">
      <alignment horizontal="center" vertical="center" wrapText="1"/>
    </xf>
    <xf numFmtId="178" fontId="8" fillId="3" borderId="19" xfId="0" applyNumberFormat="1" applyFont="1" applyFill="1" applyBorder="1" applyAlignment="1">
      <alignment horizontal="center" vertical="center" wrapText="1"/>
    </xf>
    <xf numFmtId="177" fontId="8" fillId="4" borderId="19" xfId="0" applyNumberFormat="1" applyFont="1" applyFill="1" applyBorder="1" applyAlignment="1">
      <alignment horizontal="left" vertical="center"/>
    </xf>
    <xf numFmtId="177" fontId="8" fillId="4" borderId="20" xfId="0" applyNumberFormat="1" applyFont="1" applyFill="1" applyBorder="1" applyAlignment="1">
      <alignment horizontal="center" vertical="center"/>
    </xf>
    <xf numFmtId="177" fontId="6" fillId="4" borderId="21" xfId="0" applyNumberFormat="1" applyFont="1" applyFill="1" applyBorder="1" applyAlignment="1">
      <alignment horizontal="left" vertical="center"/>
    </xf>
    <xf numFmtId="177" fontId="12" fillId="4" borderId="21" xfId="0" applyNumberFormat="1" applyFont="1" applyFill="1" applyBorder="1" applyAlignment="1">
      <alignment horizontal="left" vertical="center"/>
    </xf>
    <xf numFmtId="177" fontId="10" fillId="4" borderId="22" xfId="0" applyNumberFormat="1" applyFont="1" applyFill="1" applyBorder="1" applyAlignment="1">
      <alignment horizontal="center" vertical="center"/>
    </xf>
    <xf numFmtId="178" fontId="8" fillId="3" borderId="23" xfId="0" applyNumberFormat="1" applyFont="1" applyFill="1" applyBorder="1" applyAlignment="1">
      <alignment horizontal="center" vertical="center" wrapText="1"/>
    </xf>
    <xf numFmtId="177" fontId="13" fillId="4" borderId="0" xfId="0" applyNumberFormat="1" applyFont="1" applyFill="1" applyAlignment="1">
      <alignment horizontal="center" vertical="center"/>
    </xf>
    <xf numFmtId="179" fontId="13" fillId="4" borderId="0" xfId="0" applyNumberFormat="1" applyFont="1" applyFill="1" applyAlignment="1">
      <alignment horizontal="center" vertical="center"/>
    </xf>
    <xf numFmtId="178" fontId="8" fillId="3" borderId="0" xfId="0" applyNumberFormat="1" applyFont="1" applyFill="1" applyBorder="1" applyAlignment="1">
      <alignment horizontal="center" vertical="center" wrapText="1"/>
    </xf>
    <xf numFmtId="177" fontId="14" fillId="4" borderId="0" xfId="0" applyNumberFormat="1" applyFont="1" applyFill="1" applyAlignment="1">
      <alignment horizontal="center" vertical="center"/>
    </xf>
    <xf numFmtId="178" fontId="9" fillId="3" borderId="18" xfId="0" applyNumberFormat="1" applyFont="1" applyFill="1" applyBorder="1" applyAlignment="1">
      <alignment horizontal="center" vertical="center" wrapText="1"/>
    </xf>
    <xf numFmtId="177" fontId="15" fillId="4" borderId="21" xfId="0" applyNumberFormat="1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176" fontId="6" fillId="4" borderId="7" xfId="0" applyNumberFormat="1" applyFont="1" applyFill="1" applyBorder="1" applyAlignment="1">
      <alignment horizontal="left" vertical="center" wrapText="1"/>
    </xf>
    <xf numFmtId="57" fontId="6" fillId="4" borderId="12" xfId="0" applyNumberFormat="1" applyFont="1" applyFill="1" applyBorder="1" applyAlignment="1">
      <alignment horizontal="left" vertical="center" wrapText="1"/>
    </xf>
    <xf numFmtId="177" fontId="4" fillId="4" borderId="7" xfId="0" applyNumberFormat="1" applyFont="1" applyFill="1" applyBorder="1" applyAlignment="1">
      <alignment horizontal="center" vertical="center"/>
    </xf>
    <xf numFmtId="177" fontId="17" fillId="4" borderId="0" xfId="0" applyNumberFormat="1" applyFont="1" applyFill="1" applyAlignment="1">
      <alignment horizontal="center" vertical="center"/>
    </xf>
    <xf numFmtId="177" fontId="17" fillId="4" borderId="7" xfId="0" applyNumberFormat="1" applyFont="1" applyFill="1" applyBorder="1" applyAlignment="1">
      <alignment horizontal="center" vertical="center"/>
    </xf>
    <xf numFmtId="177" fontId="4" fillId="4" borderId="0" xfId="0" applyNumberFormat="1" applyFont="1" applyFill="1" applyAlignment="1">
      <alignment horizontal="center" vertical="center"/>
    </xf>
    <xf numFmtId="177" fontId="4" fillId="4" borderId="10" xfId="0" applyNumberFormat="1" applyFont="1" applyFill="1" applyBorder="1" applyAlignment="1">
      <alignment horizontal="center" vertical="center"/>
    </xf>
    <xf numFmtId="177" fontId="4" fillId="4" borderId="12" xfId="0" applyNumberFormat="1" applyFont="1" applyFill="1" applyBorder="1" applyAlignment="1">
      <alignment horizontal="center" vertical="center"/>
    </xf>
    <xf numFmtId="179" fontId="14" fillId="4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5" borderId="0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7" borderId="0" xfId="0" applyFont="1" applyFill="1" applyBorder="1" applyAlignment="1">
      <alignment horizontal="center" vertical="center"/>
    </xf>
    <xf numFmtId="0" fontId="18" fillId="7" borderId="0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9" fillId="9" borderId="0" xfId="0" applyFont="1" applyFill="1" applyBorder="1" applyAlignment="1">
      <alignment horizontal="center" vertical="center"/>
    </xf>
    <xf numFmtId="0" fontId="18" fillId="9" borderId="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 wrapText="1"/>
    </xf>
    <xf numFmtId="0" fontId="26" fillId="2" borderId="27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5" fillId="2" borderId="28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28" fillId="4" borderId="28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center" vertical="center" wrapText="1"/>
    </xf>
    <xf numFmtId="0" fontId="28" fillId="4" borderId="0" xfId="0" applyFont="1" applyFill="1" applyBorder="1" applyAlignment="1">
      <alignment horizontal="center" vertical="center"/>
    </xf>
    <xf numFmtId="177" fontId="28" fillId="4" borderId="5" xfId="0" applyNumberFormat="1" applyFont="1" applyFill="1" applyBorder="1" applyAlignment="1">
      <alignment horizontal="center" vertical="center"/>
    </xf>
    <xf numFmtId="177" fontId="28" fillId="4" borderId="0" xfId="0" applyNumberFormat="1" applyFont="1" applyFill="1" applyBorder="1" applyAlignment="1">
      <alignment horizontal="center" vertical="center"/>
    </xf>
    <xf numFmtId="0" fontId="28" fillId="3" borderId="28" xfId="0" applyFont="1" applyFill="1" applyBorder="1" applyAlignment="1">
      <alignment horizontal="center" vertical="center"/>
    </xf>
    <xf numFmtId="0" fontId="29" fillId="3" borderId="0" xfId="0" applyFont="1" applyFill="1" applyBorder="1" applyAlignment="1">
      <alignment horizontal="center" vertical="center"/>
    </xf>
    <xf numFmtId="0" fontId="29" fillId="3" borderId="0" xfId="0" applyFont="1" applyFill="1" applyBorder="1" applyAlignment="1">
      <alignment horizontal="center" vertical="center" wrapText="1"/>
    </xf>
    <xf numFmtId="0" fontId="28" fillId="3" borderId="0" xfId="0" applyFont="1" applyFill="1" applyBorder="1" applyAlignment="1">
      <alignment horizontal="center" vertical="center"/>
    </xf>
    <xf numFmtId="177" fontId="28" fillId="3" borderId="5" xfId="0" applyNumberFormat="1" applyFont="1" applyFill="1" applyBorder="1" applyAlignment="1">
      <alignment horizontal="center" vertical="center"/>
    </xf>
    <xf numFmtId="177" fontId="28" fillId="3" borderId="0" xfId="0" applyNumberFormat="1" applyFont="1" applyFill="1" applyBorder="1" applyAlignment="1">
      <alignment horizontal="center" vertical="center"/>
    </xf>
    <xf numFmtId="177" fontId="21" fillId="4" borderId="5" xfId="0" applyNumberFormat="1" applyFont="1" applyFill="1" applyBorder="1" applyAlignment="1">
      <alignment horizontal="center" vertical="center"/>
    </xf>
    <xf numFmtId="177" fontId="21" fillId="4" borderId="0" xfId="0" applyNumberFormat="1" applyFont="1" applyFill="1" applyBorder="1" applyAlignment="1">
      <alignment horizontal="center" vertical="center"/>
    </xf>
    <xf numFmtId="0" fontId="0" fillId="2" borderId="24" xfId="0" applyFill="1" applyBorder="1">
      <alignment vertical="center"/>
    </xf>
    <xf numFmtId="0" fontId="0" fillId="2" borderId="25" xfId="0" applyFill="1" applyBorder="1">
      <alignment vertical="center"/>
    </xf>
    <xf numFmtId="0" fontId="27" fillId="2" borderId="29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5" fillId="2" borderId="30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/>
    </xf>
    <xf numFmtId="177" fontId="28" fillId="4" borderId="30" xfId="0" applyNumberFormat="1" applyFont="1" applyFill="1" applyBorder="1" applyAlignment="1">
      <alignment horizontal="center" vertical="center"/>
    </xf>
    <xf numFmtId="177" fontId="28" fillId="3" borderId="30" xfId="0" applyNumberFormat="1" applyFont="1" applyFill="1" applyBorder="1" applyAlignment="1">
      <alignment horizontal="center" vertical="center"/>
    </xf>
    <xf numFmtId="177" fontId="21" fillId="4" borderId="30" xfId="0" applyNumberFormat="1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4" fillId="2" borderId="27" xfId="0" applyFont="1" applyFill="1" applyBorder="1" applyAlignment="1">
      <alignment horizontal="center" vertical="center" wrapText="1"/>
    </xf>
    <xf numFmtId="0" fontId="24" fillId="2" borderId="32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30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177" fontId="28" fillId="4" borderId="6" xfId="0" applyNumberFormat="1" applyFont="1" applyFill="1" applyBorder="1" applyAlignment="1">
      <alignment horizontal="center" vertical="center"/>
    </xf>
    <xf numFmtId="177" fontId="29" fillId="4" borderId="30" xfId="0" applyNumberFormat="1" applyFont="1" applyFill="1" applyBorder="1" applyAlignment="1">
      <alignment horizontal="center" vertical="center"/>
    </xf>
    <xf numFmtId="177" fontId="30" fillId="4" borderId="0" xfId="0" applyNumberFormat="1" applyFont="1" applyFill="1" applyBorder="1" applyAlignment="1">
      <alignment horizontal="center" vertical="center" wrapText="1"/>
    </xf>
    <xf numFmtId="177" fontId="31" fillId="4" borderId="5" xfId="0" applyNumberFormat="1" applyFont="1" applyFill="1" applyBorder="1" applyAlignment="1">
      <alignment horizontal="center" vertical="center" wrapText="1"/>
    </xf>
    <xf numFmtId="177" fontId="32" fillId="4" borderId="33" xfId="0" applyNumberFormat="1" applyFont="1" applyFill="1" applyBorder="1" applyAlignment="1">
      <alignment horizontal="center" vertical="center"/>
    </xf>
    <xf numFmtId="177" fontId="28" fillId="3" borderId="6" xfId="0" applyNumberFormat="1" applyFont="1" applyFill="1" applyBorder="1" applyAlignment="1">
      <alignment horizontal="center" vertical="center"/>
    </xf>
    <xf numFmtId="177" fontId="29" fillId="3" borderId="30" xfId="0" applyNumberFormat="1" applyFont="1" applyFill="1" applyBorder="1" applyAlignment="1">
      <alignment horizontal="center" vertical="center"/>
    </xf>
    <xf numFmtId="177" fontId="30" fillId="3" borderId="0" xfId="0" applyNumberFormat="1" applyFont="1" applyFill="1" applyBorder="1" applyAlignment="1">
      <alignment horizontal="center" vertical="center" wrapText="1"/>
    </xf>
    <xf numFmtId="177" fontId="31" fillId="3" borderId="5" xfId="0" applyNumberFormat="1" applyFont="1" applyFill="1" applyBorder="1" applyAlignment="1">
      <alignment horizontal="center" vertical="center" wrapText="1"/>
    </xf>
    <xf numFmtId="177" fontId="32" fillId="3" borderId="33" xfId="0" applyNumberFormat="1" applyFont="1" applyFill="1" applyBorder="1" applyAlignment="1">
      <alignment horizontal="center" vertical="center"/>
    </xf>
    <xf numFmtId="177" fontId="29" fillId="3" borderId="0" xfId="0" applyNumberFormat="1" applyFont="1" applyFill="1" applyBorder="1" applyAlignment="1">
      <alignment horizontal="center" vertical="center"/>
    </xf>
    <xf numFmtId="177" fontId="30" fillId="3" borderId="5" xfId="0" applyNumberFormat="1" applyFont="1" applyFill="1" applyBorder="1" applyAlignment="1">
      <alignment horizontal="center" vertical="center" wrapText="1"/>
    </xf>
    <xf numFmtId="177" fontId="29" fillId="4" borderId="0" xfId="0" applyNumberFormat="1" applyFont="1" applyFill="1" applyBorder="1" applyAlignment="1">
      <alignment horizontal="center" vertical="center"/>
    </xf>
    <xf numFmtId="177" fontId="30" fillId="4" borderId="5" xfId="0" applyNumberFormat="1" applyFont="1" applyFill="1" applyBorder="1" applyAlignment="1">
      <alignment horizontal="center" vertical="center" wrapText="1"/>
    </xf>
    <xf numFmtId="177" fontId="21" fillId="4" borderId="6" xfId="0" applyNumberFormat="1" applyFont="1" applyFill="1" applyBorder="1" applyAlignment="1">
      <alignment horizontal="center" vertical="center"/>
    </xf>
    <xf numFmtId="177" fontId="28" fillId="4" borderId="33" xfId="0" applyNumberFormat="1" applyFont="1" applyFill="1" applyBorder="1" applyAlignment="1">
      <alignment horizontal="center" vertical="center"/>
    </xf>
    <xf numFmtId="0" fontId="0" fillId="2" borderId="26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E7E6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1"/>
  <sheetViews>
    <sheetView tabSelected="1" workbookViewId="0">
      <selection activeCell="L11" sqref="L11"/>
    </sheetView>
  </sheetViews>
  <sheetFormatPr defaultColWidth="9" defaultRowHeight="13.5"/>
  <cols>
    <col min="1" max="1" width="5.625" customWidth="1"/>
    <col min="11" max="11" width="9.5"/>
    <col min="21" max="23" width="18.625" customWidth="1"/>
  </cols>
  <sheetData>
    <row r="1" ht="25" customHeight="1" spans="1:6">
      <c r="A1" s="69" t="s">
        <v>0</v>
      </c>
      <c r="B1" s="69"/>
      <c r="C1" s="70" t="s">
        <v>1</v>
      </c>
      <c r="D1" s="70" t="s">
        <v>2</v>
      </c>
      <c r="E1" s="70" t="s">
        <v>3</v>
      </c>
      <c r="F1" s="70" t="s">
        <v>4</v>
      </c>
    </row>
    <row r="2" ht="25" customHeight="1" spans="1:6">
      <c r="A2" s="71" t="s">
        <v>5</v>
      </c>
      <c r="B2" s="71"/>
      <c r="C2" s="72" t="s">
        <v>6</v>
      </c>
      <c r="D2" s="72" t="s">
        <v>7</v>
      </c>
      <c r="E2" s="72"/>
      <c r="F2" s="73"/>
    </row>
    <row r="3" ht="25" customHeight="1" spans="1:6">
      <c r="A3" s="74" t="s">
        <v>8</v>
      </c>
      <c r="B3" s="74"/>
      <c r="C3" s="75" t="s">
        <v>9</v>
      </c>
      <c r="D3" s="75" t="s">
        <v>10</v>
      </c>
      <c r="E3" s="75"/>
      <c r="F3" s="76"/>
    </row>
    <row r="4" ht="25" customHeight="1" spans="1:6">
      <c r="A4" s="77"/>
      <c r="B4" s="78"/>
      <c r="C4" s="78"/>
      <c r="D4" s="79"/>
      <c r="E4" s="80"/>
      <c r="F4" s="80"/>
    </row>
    <row r="5" ht="25" customHeight="1" spans="1:11">
      <c r="A5" s="81" t="s">
        <v>11</v>
      </c>
      <c r="B5" s="82" t="s">
        <v>12</v>
      </c>
      <c r="C5" s="82" t="s">
        <v>13</v>
      </c>
      <c r="D5" s="82" t="s">
        <v>14</v>
      </c>
      <c r="E5" s="82" t="s">
        <v>15</v>
      </c>
      <c r="F5" s="82" t="s">
        <v>16</v>
      </c>
      <c r="G5" s="82" t="s">
        <v>17</v>
      </c>
      <c r="H5" s="82" t="s">
        <v>18</v>
      </c>
      <c r="I5" s="82" t="s">
        <v>19</v>
      </c>
      <c r="J5" s="82" t="s">
        <v>20</v>
      </c>
      <c r="K5" s="82" t="s">
        <v>21</v>
      </c>
    </row>
    <row r="6" ht="25" customHeight="1" spans="1:11">
      <c r="A6" s="81" t="s">
        <v>22</v>
      </c>
      <c r="B6" s="82" t="s">
        <v>23</v>
      </c>
      <c r="C6" s="82" t="s">
        <v>24</v>
      </c>
      <c r="D6" s="82" t="s">
        <v>25</v>
      </c>
      <c r="E6" s="82" t="s">
        <v>26</v>
      </c>
      <c r="F6" s="82" t="s">
        <v>27</v>
      </c>
      <c r="G6" s="82" t="s">
        <v>28</v>
      </c>
      <c r="H6" s="82" t="s">
        <v>29</v>
      </c>
      <c r="I6" s="82" t="s">
        <v>30</v>
      </c>
      <c r="J6" s="82" t="s">
        <v>31</v>
      </c>
      <c r="K6" s="82" t="s">
        <v>32</v>
      </c>
    </row>
    <row r="7" ht="25" customHeight="1" spans="1:6">
      <c r="A7" s="77" t="s">
        <v>33</v>
      </c>
      <c r="B7" s="77"/>
      <c r="C7" s="78"/>
      <c r="D7" s="79"/>
      <c r="E7" s="80"/>
      <c r="F7" s="80"/>
    </row>
    <row r="8" ht="25" customHeight="1" spans="1:24">
      <c r="A8" s="83" t="s">
        <v>34</v>
      </c>
      <c r="B8" s="84" t="s">
        <v>35</v>
      </c>
      <c r="C8" s="84" t="s">
        <v>36</v>
      </c>
      <c r="D8" s="85" t="s">
        <v>37</v>
      </c>
      <c r="E8" s="86" t="s">
        <v>38</v>
      </c>
      <c r="F8" s="87"/>
      <c r="G8" s="87"/>
      <c r="H8" s="87"/>
      <c r="I8" s="87"/>
      <c r="J8" s="87"/>
      <c r="K8" s="109"/>
      <c r="L8" s="110" t="s">
        <v>39</v>
      </c>
      <c r="M8" s="111"/>
      <c r="N8" s="111"/>
      <c r="O8" s="111"/>
      <c r="P8" s="111"/>
      <c r="Q8" s="111"/>
      <c r="R8" s="111"/>
      <c r="S8" s="117" t="s">
        <v>40</v>
      </c>
      <c r="T8" s="118" t="s">
        <v>41</v>
      </c>
      <c r="U8" s="85" t="s">
        <v>42</v>
      </c>
      <c r="V8" s="85"/>
      <c r="W8" s="119" t="s">
        <v>43</v>
      </c>
      <c r="X8" s="120" t="s">
        <v>44</v>
      </c>
    </row>
    <row r="9" ht="25" customHeight="1" spans="1:24">
      <c r="A9" s="88"/>
      <c r="B9" s="89"/>
      <c r="C9" s="89"/>
      <c r="D9" s="90"/>
      <c r="E9" s="91" t="s">
        <v>45</v>
      </c>
      <c r="F9" s="90" t="s">
        <v>46</v>
      </c>
      <c r="G9" s="92" t="s">
        <v>47</v>
      </c>
      <c r="H9" s="92" t="s">
        <v>48</v>
      </c>
      <c r="I9" s="90" t="s">
        <v>49</v>
      </c>
      <c r="J9" s="90" t="s">
        <v>50</v>
      </c>
      <c r="K9" s="112" t="s">
        <v>51</v>
      </c>
      <c r="L9" s="113" t="s">
        <v>52</v>
      </c>
      <c r="M9" s="89" t="s">
        <v>53</v>
      </c>
      <c r="N9" s="89" t="s">
        <v>54</v>
      </c>
      <c r="O9" s="89" t="s">
        <v>55</v>
      </c>
      <c r="P9" s="89" t="s">
        <v>56</v>
      </c>
      <c r="Q9" s="89" t="s">
        <v>57</v>
      </c>
      <c r="R9" s="89" t="s">
        <v>51</v>
      </c>
      <c r="S9" s="121"/>
      <c r="T9" s="122"/>
      <c r="U9" s="92" t="s">
        <v>58</v>
      </c>
      <c r="V9" s="92" t="s">
        <v>59</v>
      </c>
      <c r="W9" s="91"/>
      <c r="X9" s="123"/>
    </row>
    <row r="10" ht="25" customHeight="1" spans="1:24">
      <c r="A10" s="93">
        <v>1</v>
      </c>
      <c r="B10" s="94" t="s">
        <v>60</v>
      </c>
      <c r="C10" s="95" t="s">
        <v>61</v>
      </c>
      <c r="D10" s="96" t="s">
        <v>62</v>
      </c>
      <c r="E10" s="97">
        <v>3000</v>
      </c>
      <c r="F10" s="98">
        <v>4000</v>
      </c>
      <c r="G10" s="98">
        <v>80</v>
      </c>
      <c r="H10" s="98">
        <v>100</v>
      </c>
      <c r="I10" s="98">
        <v>300</v>
      </c>
      <c r="J10" s="98">
        <v>10</v>
      </c>
      <c r="K10" s="114">
        <v>7939</v>
      </c>
      <c r="L10" s="98">
        <v>100</v>
      </c>
      <c r="M10" s="98">
        <v>300</v>
      </c>
      <c r="N10" s="98">
        <v>100</v>
      </c>
      <c r="O10" s="98">
        <v>299</v>
      </c>
      <c r="P10" s="98">
        <v>50</v>
      </c>
      <c r="Q10" s="98">
        <v>80</v>
      </c>
      <c r="R10" s="98">
        <v>849</v>
      </c>
      <c r="S10" s="124">
        <v>3000</v>
      </c>
      <c r="T10" s="125" t="s">
        <v>63</v>
      </c>
      <c r="U10" s="126" t="s">
        <v>64</v>
      </c>
      <c r="V10" s="126" t="s">
        <v>65</v>
      </c>
      <c r="W10" s="127" t="s">
        <v>66</v>
      </c>
      <c r="X10" s="128" t="s">
        <v>67</v>
      </c>
    </row>
    <row r="11" ht="25" customHeight="1" spans="1:24">
      <c r="A11" s="99">
        <v>2</v>
      </c>
      <c r="B11" s="100" t="s">
        <v>68</v>
      </c>
      <c r="C11" s="101" t="s">
        <v>61</v>
      </c>
      <c r="D11" s="102" t="s">
        <v>62</v>
      </c>
      <c r="E11" s="103">
        <v>3000</v>
      </c>
      <c r="F11" s="104">
        <v>4000</v>
      </c>
      <c r="G11" s="104">
        <v>80</v>
      </c>
      <c r="H11" s="104">
        <v>100</v>
      </c>
      <c r="I11" s="104">
        <v>300</v>
      </c>
      <c r="J11" s="104">
        <v>10</v>
      </c>
      <c r="K11" s="115">
        <v>7939</v>
      </c>
      <c r="L11" s="104">
        <v>100</v>
      </c>
      <c r="M11" s="104">
        <v>300</v>
      </c>
      <c r="N11" s="104">
        <v>100</v>
      </c>
      <c r="O11" s="104">
        <v>299</v>
      </c>
      <c r="P11" s="104">
        <v>50</v>
      </c>
      <c r="Q11" s="104">
        <v>80</v>
      </c>
      <c r="R11" s="104">
        <v>849</v>
      </c>
      <c r="S11" s="129">
        <v>3000</v>
      </c>
      <c r="T11" s="130" t="s">
        <v>63</v>
      </c>
      <c r="U11" s="131" t="s">
        <v>64</v>
      </c>
      <c r="V11" s="131" t="s">
        <v>65</v>
      </c>
      <c r="W11" s="132" t="s">
        <v>66</v>
      </c>
      <c r="X11" s="133" t="s">
        <v>67</v>
      </c>
    </row>
    <row r="12" ht="25" customHeight="1" spans="1:24">
      <c r="A12" s="93">
        <v>3</v>
      </c>
      <c r="B12" s="94" t="s">
        <v>69</v>
      </c>
      <c r="C12" s="95" t="s">
        <v>61</v>
      </c>
      <c r="D12" s="96" t="s">
        <v>62</v>
      </c>
      <c r="E12" s="97">
        <v>3000</v>
      </c>
      <c r="F12" s="98">
        <v>4000</v>
      </c>
      <c r="G12" s="98">
        <v>80</v>
      </c>
      <c r="H12" s="98">
        <v>100</v>
      </c>
      <c r="I12" s="98">
        <v>300</v>
      </c>
      <c r="J12" s="98">
        <v>10</v>
      </c>
      <c r="K12" s="114">
        <v>7939</v>
      </c>
      <c r="L12" s="98">
        <v>100</v>
      </c>
      <c r="M12" s="98">
        <v>300</v>
      </c>
      <c r="N12" s="98">
        <v>100</v>
      </c>
      <c r="O12" s="98">
        <v>299</v>
      </c>
      <c r="P12" s="98">
        <v>50</v>
      </c>
      <c r="Q12" s="98">
        <v>80</v>
      </c>
      <c r="R12" s="98">
        <v>849</v>
      </c>
      <c r="S12" s="124">
        <v>3000</v>
      </c>
      <c r="T12" s="125" t="s">
        <v>70</v>
      </c>
      <c r="U12" s="126" t="s">
        <v>64</v>
      </c>
      <c r="V12" s="126" t="s">
        <v>65</v>
      </c>
      <c r="W12" s="127" t="s">
        <v>71</v>
      </c>
      <c r="X12" s="128" t="s">
        <v>72</v>
      </c>
    </row>
    <row r="13" ht="25" customHeight="1" spans="1:24">
      <c r="A13" s="99">
        <v>4</v>
      </c>
      <c r="B13" s="100" t="s">
        <v>73</v>
      </c>
      <c r="C13" s="101" t="s">
        <v>61</v>
      </c>
      <c r="D13" s="102" t="s">
        <v>62</v>
      </c>
      <c r="E13" s="103">
        <v>3000</v>
      </c>
      <c r="F13" s="104">
        <v>4000</v>
      </c>
      <c r="G13" s="104">
        <v>80</v>
      </c>
      <c r="H13" s="104">
        <v>100</v>
      </c>
      <c r="I13" s="104">
        <v>300</v>
      </c>
      <c r="J13" s="104">
        <v>10</v>
      </c>
      <c r="K13" s="115">
        <v>7939</v>
      </c>
      <c r="L13" s="104">
        <v>100</v>
      </c>
      <c r="M13" s="104">
        <v>300</v>
      </c>
      <c r="N13" s="104">
        <v>100</v>
      </c>
      <c r="O13" s="104">
        <v>299</v>
      </c>
      <c r="P13" s="104">
        <v>50</v>
      </c>
      <c r="Q13" s="104">
        <v>80</v>
      </c>
      <c r="R13" s="104">
        <v>849</v>
      </c>
      <c r="S13" s="129">
        <v>3000</v>
      </c>
      <c r="T13" s="130" t="s">
        <v>70</v>
      </c>
      <c r="U13" s="131" t="s">
        <v>64</v>
      </c>
      <c r="V13" s="131" t="s">
        <v>65</v>
      </c>
      <c r="W13" s="132" t="s">
        <v>71</v>
      </c>
      <c r="X13" s="133" t="s">
        <v>72</v>
      </c>
    </row>
    <row r="14" ht="25" customHeight="1" spans="1:24">
      <c r="A14" s="93">
        <v>5</v>
      </c>
      <c r="B14" s="94" t="s">
        <v>74</v>
      </c>
      <c r="C14" s="95" t="s">
        <v>61</v>
      </c>
      <c r="D14" s="96" t="s">
        <v>62</v>
      </c>
      <c r="E14" s="97">
        <v>3000</v>
      </c>
      <c r="F14" s="98">
        <v>4000</v>
      </c>
      <c r="G14" s="98">
        <v>80</v>
      </c>
      <c r="H14" s="98">
        <v>100</v>
      </c>
      <c r="I14" s="98">
        <v>300</v>
      </c>
      <c r="J14" s="98">
        <v>10</v>
      </c>
      <c r="K14" s="114">
        <v>7939</v>
      </c>
      <c r="L14" s="98">
        <v>100</v>
      </c>
      <c r="M14" s="98">
        <v>300</v>
      </c>
      <c r="N14" s="98">
        <v>100</v>
      </c>
      <c r="O14" s="98">
        <v>299</v>
      </c>
      <c r="P14" s="98">
        <v>50</v>
      </c>
      <c r="Q14" s="98">
        <v>80</v>
      </c>
      <c r="R14" s="98">
        <v>849</v>
      </c>
      <c r="S14" s="124">
        <v>3000</v>
      </c>
      <c r="T14" s="125" t="s">
        <v>70</v>
      </c>
      <c r="U14" s="126" t="s">
        <v>64</v>
      </c>
      <c r="V14" s="126" t="s">
        <v>65</v>
      </c>
      <c r="W14" s="127" t="s">
        <v>71</v>
      </c>
      <c r="X14" s="128" t="s">
        <v>72</v>
      </c>
    </row>
    <row r="15" ht="25" customHeight="1" spans="1:24">
      <c r="A15" s="99">
        <v>6</v>
      </c>
      <c r="B15" s="100" t="s">
        <v>60</v>
      </c>
      <c r="C15" s="101" t="s">
        <v>61</v>
      </c>
      <c r="D15" s="102" t="s">
        <v>62</v>
      </c>
      <c r="E15" s="103">
        <v>3000</v>
      </c>
      <c r="F15" s="104">
        <v>4000</v>
      </c>
      <c r="G15" s="104">
        <v>80</v>
      </c>
      <c r="H15" s="104">
        <v>100</v>
      </c>
      <c r="I15" s="104">
        <v>300</v>
      </c>
      <c r="J15" s="104">
        <v>10</v>
      </c>
      <c r="K15" s="115">
        <v>7939</v>
      </c>
      <c r="L15" s="104">
        <v>100</v>
      </c>
      <c r="M15" s="104">
        <v>300</v>
      </c>
      <c r="N15" s="104">
        <v>100</v>
      </c>
      <c r="O15" s="104">
        <v>299</v>
      </c>
      <c r="P15" s="104">
        <v>50</v>
      </c>
      <c r="Q15" s="104">
        <v>80</v>
      </c>
      <c r="R15" s="104">
        <v>849</v>
      </c>
      <c r="S15" s="129">
        <v>3000</v>
      </c>
      <c r="T15" s="130" t="s">
        <v>70</v>
      </c>
      <c r="U15" s="131" t="s">
        <v>64</v>
      </c>
      <c r="V15" s="131" t="s">
        <v>65</v>
      </c>
      <c r="W15" s="132" t="s">
        <v>71</v>
      </c>
      <c r="X15" s="133" t="s">
        <v>72</v>
      </c>
    </row>
    <row r="16" ht="25" customHeight="1" spans="1:24">
      <c r="A16" s="93">
        <v>7</v>
      </c>
      <c r="B16" s="94" t="s">
        <v>68</v>
      </c>
      <c r="C16" s="95" t="s">
        <v>61</v>
      </c>
      <c r="D16" s="96" t="s">
        <v>62</v>
      </c>
      <c r="E16" s="97">
        <v>3000</v>
      </c>
      <c r="F16" s="98">
        <v>4000</v>
      </c>
      <c r="G16" s="98">
        <v>80</v>
      </c>
      <c r="H16" s="98">
        <v>100</v>
      </c>
      <c r="I16" s="98">
        <v>300</v>
      </c>
      <c r="J16" s="98">
        <v>10</v>
      </c>
      <c r="K16" s="114">
        <v>7939</v>
      </c>
      <c r="L16" s="98">
        <v>100</v>
      </c>
      <c r="M16" s="98">
        <v>300</v>
      </c>
      <c r="N16" s="98">
        <v>100</v>
      </c>
      <c r="O16" s="98">
        <v>299</v>
      </c>
      <c r="P16" s="98">
        <v>50</v>
      </c>
      <c r="Q16" s="98">
        <v>80</v>
      </c>
      <c r="R16" s="98">
        <v>849</v>
      </c>
      <c r="S16" s="124">
        <v>3000</v>
      </c>
      <c r="T16" s="125" t="s">
        <v>70</v>
      </c>
      <c r="U16" s="126" t="s">
        <v>64</v>
      </c>
      <c r="V16" s="126" t="s">
        <v>65</v>
      </c>
      <c r="W16" s="127" t="s">
        <v>71</v>
      </c>
      <c r="X16" s="128" t="s">
        <v>72</v>
      </c>
    </row>
    <row r="17" ht="25" customHeight="1" spans="1:24">
      <c r="A17" s="99">
        <v>8</v>
      </c>
      <c r="B17" s="100" t="s">
        <v>69</v>
      </c>
      <c r="C17" s="101" t="s">
        <v>61</v>
      </c>
      <c r="D17" s="102" t="s">
        <v>62</v>
      </c>
      <c r="E17" s="103">
        <v>3000</v>
      </c>
      <c r="F17" s="104">
        <v>4000</v>
      </c>
      <c r="G17" s="104">
        <v>80</v>
      </c>
      <c r="H17" s="104">
        <v>100</v>
      </c>
      <c r="I17" s="104">
        <v>300</v>
      </c>
      <c r="J17" s="104">
        <v>10</v>
      </c>
      <c r="K17" s="115">
        <v>7939</v>
      </c>
      <c r="L17" s="104">
        <v>100</v>
      </c>
      <c r="M17" s="104">
        <v>300</v>
      </c>
      <c r="N17" s="104">
        <v>100</v>
      </c>
      <c r="O17" s="104">
        <v>299</v>
      </c>
      <c r="P17" s="104">
        <v>50</v>
      </c>
      <c r="Q17" s="104">
        <v>80</v>
      </c>
      <c r="R17" s="104">
        <v>849</v>
      </c>
      <c r="S17" s="129">
        <v>3000</v>
      </c>
      <c r="T17" s="130" t="s">
        <v>70</v>
      </c>
      <c r="U17" s="131" t="s">
        <v>64</v>
      </c>
      <c r="V17" s="131" t="s">
        <v>65</v>
      </c>
      <c r="W17" s="132" t="s">
        <v>71</v>
      </c>
      <c r="X17" s="133" t="s">
        <v>72</v>
      </c>
    </row>
    <row r="18" ht="25" customHeight="1" spans="1:24">
      <c r="A18" s="93">
        <v>9</v>
      </c>
      <c r="B18" s="94" t="s">
        <v>73</v>
      </c>
      <c r="C18" s="95" t="s">
        <v>61</v>
      </c>
      <c r="D18" s="96" t="s">
        <v>62</v>
      </c>
      <c r="E18" s="97">
        <v>3000</v>
      </c>
      <c r="F18" s="98">
        <v>4000</v>
      </c>
      <c r="G18" s="98">
        <v>80</v>
      </c>
      <c r="H18" s="98">
        <v>100</v>
      </c>
      <c r="I18" s="98">
        <v>300</v>
      </c>
      <c r="J18" s="98">
        <v>10</v>
      </c>
      <c r="K18" s="114">
        <v>7939</v>
      </c>
      <c r="L18" s="98">
        <v>100</v>
      </c>
      <c r="M18" s="98">
        <v>300</v>
      </c>
      <c r="N18" s="98">
        <v>100</v>
      </c>
      <c r="O18" s="98">
        <v>299</v>
      </c>
      <c r="P18" s="98">
        <v>50</v>
      </c>
      <c r="Q18" s="98">
        <v>80</v>
      </c>
      <c r="R18" s="98">
        <v>849</v>
      </c>
      <c r="S18" s="124">
        <v>3000</v>
      </c>
      <c r="T18" s="125" t="s">
        <v>70</v>
      </c>
      <c r="U18" s="126" t="s">
        <v>64</v>
      </c>
      <c r="V18" s="126" t="s">
        <v>65</v>
      </c>
      <c r="W18" s="127" t="s">
        <v>71</v>
      </c>
      <c r="X18" s="128" t="s">
        <v>72</v>
      </c>
    </row>
    <row r="19" ht="25" customHeight="1" spans="1:24">
      <c r="A19" s="99">
        <v>10</v>
      </c>
      <c r="B19" s="100" t="s">
        <v>74</v>
      </c>
      <c r="C19" s="101" t="s">
        <v>61</v>
      </c>
      <c r="D19" s="102" t="s">
        <v>62</v>
      </c>
      <c r="E19" s="103">
        <v>3000</v>
      </c>
      <c r="F19" s="104">
        <v>4000</v>
      </c>
      <c r="G19" s="104">
        <v>80</v>
      </c>
      <c r="H19" s="104">
        <v>100</v>
      </c>
      <c r="I19" s="104">
        <v>300</v>
      </c>
      <c r="J19" s="104">
        <v>10</v>
      </c>
      <c r="K19" s="115">
        <v>7939</v>
      </c>
      <c r="L19" s="104">
        <v>100</v>
      </c>
      <c r="M19" s="104">
        <v>300</v>
      </c>
      <c r="N19" s="104">
        <v>100</v>
      </c>
      <c r="O19" s="104">
        <v>299</v>
      </c>
      <c r="P19" s="104">
        <v>50</v>
      </c>
      <c r="Q19" s="104">
        <v>80</v>
      </c>
      <c r="R19" s="104">
        <v>849</v>
      </c>
      <c r="S19" s="129">
        <v>3000</v>
      </c>
      <c r="T19" s="130" t="s">
        <v>70</v>
      </c>
      <c r="U19" s="131" t="s">
        <v>64</v>
      </c>
      <c r="V19" s="131" t="s">
        <v>65</v>
      </c>
      <c r="W19" s="132" t="s">
        <v>71</v>
      </c>
      <c r="X19" s="133" t="s">
        <v>72</v>
      </c>
    </row>
    <row r="20" ht="25" customHeight="1" spans="1:24">
      <c r="A20" s="93">
        <v>11</v>
      </c>
      <c r="B20" s="94" t="s">
        <v>60</v>
      </c>
      <c r="C20" s="95" t="s">
        <v>61</v>
      </c>
      <c r="D20" s="96" t="s">
        <v>62</v>
      </c>
      <c r="E20" s="97">
        <v>3000</v>
      </c>
      <c r="F20" s="98">
        <v>4000</v>
      </c>
      <c r="G20" s="98">
        <v>80</v>
      </c>
      <c r="H20" s="98">
        <v>100</v>
      </c>
      <c r="I20" s="98">
        <v>300</v>
      </c>
      <c r="J20" s="98">
        <v>10</v>
      </c>
      <c r="K20" s="114">
        <v>7939</v>
      </c>
      <c r="L20" s="98">
        <v>100</v>
      </c>
      <c r="M20" s="98">
        <v>300</v>
      </c>
      <c r="N20" s="98">
        <v>100</v>
      </c>
      <c r="O20" s="98">
        <v>299</v>
      </c>
      <c r="P20" s="98">
        <v>50</v>
      </c>
      <c r="Q20" s="98">
        <v>80</v>
      </c>
      <c r="R20" s="98">
        <v>849</v>
      </c>
      <c r="S20" s="124">
        <v>3000</v>
      </c>
      <c r="T20" s="125" t="s">
        <v>70</v>
      </c>
      <c r="U20" s="126" t="s">
        <v>64</v>
      </c>
      <c r="V20" s="126" t="s">
        <v>65</v>
      </c>
      <c r="W20" s="127" t="s">
        <v>71</v>
      </c>
      <c r="X20" s="128" t="s">
        <v>72</v>
      </c>
    </row>
    <row r="21" ht="25" customHeight="1" spans="1:24">
      <c r="A21" s="99">
        <v>12</v>
      </c>
      <c r="B21" s="100" t="s">
        <v>68</v>
      </c>
      <c r="C21" s="101" t="s">
        <v>61</v>
      </c>
      <c r="D21" s="102" t="s">
        <v>62</v>
      </c>
      <c r="E21" s="103">
        <v>3000</v>
      </c>
      <c r="F21" s="104">
        <v>4000</v>
      </c>
      <c r="G21" s="104">
        <v>80</v>
      </c>
      <c r="H21" s="104">
        <v>100</v>
      </c>
      <c r="I21" s="104">
        <v>300</v>
      </c>
      <c r="J21" s="104">
        <v>10</v>
      </c>
      <c r="K21" s="115">
        <v>7939</v>
      </c>
      <c r="L21" s="104">
        <v>100</v>
      </c>
      <c r="M21" s="104">
        <v>300</v>
      </c>
      <c r="N21" s="104">
        <v>100</v>
      </c>
      <c r="O21" s="104">
        <v>299</v>
      </c>
      <c r="P21" s="104">
        <v>50</v>
      </c>
      <c r="Q21" s="104">
        <v>80</v>
      </c>
      <c r="R21" s="104">
        <v>849</v>
      </c>
      <c r="S21" s="129">
        <v>3000</v>
      </c>
      <c r="T21" s="130" t="s">
        <v>70</v>
      </c>
      <c r="U21" s="131" t="s">
        <v>64</v>
      </c>
      <c r="V21" s="131" t="s">
        <v>65</v>
      </c>
      <c r="W21" s="132" t="s">
        <v>71</v>
      </c>
      <c r="X21" s="133" t="s">
        <v>72</v>
      </c>
    </row>
    <row r="22" ht="25" customHeight="1" spans="1:24">
      <c r="A22" s="93">
        <v>13</v>
      </c>
      <c r="B22" s="94" t="s">
        <v>69</v>
      </c>
      <c r="C22" s="95" t="s">
        <v>61</v>
      </c>
      <c r="D22" s="96" t="s">
        <v>62</v>
      </c>
      <c r="E22" s="97">
        <v>3000</v>
      </c>
      <c r="F22" s="98">
        <v>4000</v>
      </c>
      <c r="G22" s="98">
        <v>80</v>
      </c>
      <c r="H22" s="98">
        <v>100</v>
      </c>
      <c r="I22" s="98">
        <v>300</v>
      </c>
      <c r="J22" s="98">
        <v>10</v>
      </c>
      <c r="K22" s="114">
        <v>7939</v>
      </c>
      <c r="L22" s="98">
        <v>100</v>
      </c>
      <c r="M22" s="98">
        <v>300</v>
      </c>
      <c r="N22" s="98">
        <v>100</v>
      </c>
      <c r="O22" s="98">
        <v>299</v>
      </c>
      <c r="P22" s="98">
        <v>50</v>
      </c>
      <c r="Q22" s="98">
        <v>80</v>
      </c>
      <c r="R22" s="98">
        <v>849</v>
      </c>
      <c r="S22" s="124">
        <v>3000</v>
      </c>
      <c r="T22" s="125" t="s">
        <v>70</v>
      </c>
      <c r="U22" s="126" t="s">
        <v>64</v>
      </c>
      <c r="V22" s="126" t="s">
        <v>65</v>
      </c>
      <c r="W22" s="127" t="s">
        <v>71</v>
      </c>
      <c r="X22" s="128" t="s">
        <v>72</v>
      </c>
    </row>
    <row r="23" ht="25" customHeight="1" spans="1:24">
      <c r="A23" s="99">
        <v>14</v>
      </c>
      <c r="B23" s="100" t="s">
        <v>73</v>
      </c>
      <c r="C23" s="101" t="s">
        <v>61</v>
      </c>
      <c r="D23" s="102" t="s">
        <v>62</v>
      </c>
      <c r="E23" s="103">
        <v>3000</v>
      </c>
      <c r="F23" s="104">
        <v>4000</v>
      </c>
      <c r="G23" s="104">
        <v>80</v>
      </c>
      <c r="H23" s="104">
        <v>100</v>
      </c>
      <c r="I23" s="104">
        <v>300</v>
      </c>
      <c r="J23" s="104">
        <v>10</v>
      </c>
      <c r="K23" s="115">
        <v>7939</v>
      </c>
      <c r="L23" s="104">
        <v>100</v>
      </c>
      <c r="M23" s="104">
        <v>300</v>
      </c>
      <c r="N23" s="104">
        <v>100</v>
      </c>
      <c r="O23" s="104">
        <v>299</v>
      </c>
      <c r="P23" s="104">
        <v>50</v>
      </c>
      <c r="Q23" s="104">
        <v>80</v>
      </c>
      <c r="R23" s="104">
        <v>849</v>
      </c>
      <c r="S23" s="129">
        <v>3000</v>
      </c>
      <c r="T23" s="130" t="s">
        <v>70</v>
      </c>
      <c r="U23" s="131" t="s">
        <v>64</v>
      </c>
      <c r="V23" s="131" t="s">
        <v>65</v>
      </c>
      <c r="W23" s="132" t="s">
        <v>71</v>
      </c>
      <c r="X23" s="133" t="s">
        <v>72</v>
      </c>
    </row>
    <row r="24" ht="25" customHeight="1" spans="1:24">
      <c r="A24" s="93">
        <v>15</v>
      </c>
      <c r="B24" s="94" t="s">
        <v>74</v>
      </c>
      <c r="C24" s="95" t="s">
        <v>61</v>
      </c>
      <c r="D24" s="96" t="s">
        <v>62</v>
      </c>
      <c r="E24" s="97">
        <v>3000</v>
      </c>
      <c r="F24" s="98">
        <v>4000</v>
      </c>
      <c r="G24" s="98">
        <v>80</v>
      </c>
      <c r="H24" s="98">
        <v>100</v>
      </c>
      <c r="I24" s="98">
        <v>300</v>
      </c>
      <c r="J24" s="98">
        <v>10</v>
      </c>
      <c r="K24" s="114">
        <v>7939</v>
      </c>
      <c r="L24" s="98">
        <v>100</v>
      </c>
      <c r="M24" s="98">
        <v>300</v>
      </c>
      <c r="N24" s="98">
        <v>100</v>
      </c>
      <c r="O24" s="98">
        <v>299</v>
      </c>
      <c r="P24" s="98">
        <v>50</v>
      </c>
      <c r="Q24" s="98">
        <v>80</v>
      </c>
      <c r="R24" s="98">
        <v>849</v>
      </c>
      <c r="S24" s="124">
        <v>3000</v>
      </c>
      <c r="T24" s="125" t="s">
        <v>70</v>
      </c>
      <c r="U24" s="126" t="s">
        <v>64</v>
      </c>
      <c r="V24" s="126" t="s">
        <v>65</v>
      </c>
      <c r="W24" s="127" t="s">
        <v>71</v>
      </c>
      <c r="X24" s="128" t="s">
        <v>72</v>
      </c>
    </row>
    <row r="25" ht="25" customHeight="1" spans="1:24">
      <c r="A25" s="99">
        <v>16</v>
      </c>
      <c r="B25" s="100" t="s">
        <v>60</v>
      </c>
      <c r="C25" s="101" t="s">
        <v>61</v>
      </c>
      <c r="D25" s="102" t="s">
        <v>62</v>
      </c>
      <c r="E25" s="103">
        <v>3000</v>
      </c>
      <c r="F25" s="104">
        <v>4000</v>
      </c>
      <c r="G25" s="104">
        <v>80</v>
      </c>
      <c r="H25" s="104">
        <v>100</v>
      </c>
      <c r="I25" s="104">
        <v>300</v>
      </c>
      <c r="J25" s="104">
        <v>10</v>
      </c>
      <c r="K25" s="115">
        <v>7939</v>
      </c>
      <c r="L25" s="104">
        <v>100</v>
      </c>
      <c r="M25" s="104">
        <v>300</v>
      </c>
      <c r="N25" s="104">
        <v>100</v>
      </c>
      <c r="O25" s="104">
        <v>299</v>
      </c>
      <c r="P25" s="104">
        <v>50</v>
      </c>
      <c r="Q25" s="104">
        <v>80</v>
      </c>
      <c r="R25" s="104">
        <v>849</v>
      </c>
      <c r="S25" s="129">
        <v>3000</v>
      </c>
      <c r="T25" s="134" t="s">
        <v>70</v>
      </c>
      <c r="U25" s="135" t="s">
        <v>64</v>
      </c>
      <c r="V25" s="131" t="s">
        <v>65</v>
      </c>
      <c r="W25" s="132" t="s">
        <v>71</v>
      </c>
      <c r="X25" s="133" t="s">
        <v>72</v>
      </c>
    </row>
    <row r="26" ht="25" customHeight="1" spans="1:24">
      <c r="A26" s="93">
        <v>17</v>
      </c>
      <c r="B26" s="94" t="s">
        <v>68</v>
      </c>
      <c r="C26" s="95" t="s">
        <v>61</v>
      </c>
      <c r="D26" s="96" t="s">
        <v>62</v>
      </c>
      <c r="E26" s="97">
        <v>3000</v>
      </c>
      <c r="F26" s="98">
        <v>4000</v>
      </c>
      <c r="G26" s="98">
        <v>80</v>
      </c>
      <c r="H26" s="98">
        <v>100</v>
      </c>
      <c r="I26" s="98">
        <v>300</v>
      </c>
      <c r="J26" s="98">
        <v>10</v>
      </c>
      <c r="K26" s="114">
        <v>7939</v>
      </c>
      <c r="L26" s="98">
        <v>100</v>
      </c>
      <c r="M26" s="98">
        <v>300</v>
      </c>
      <c r="N26" s="98">
        <v>100</v>
      </c>
      <c r="O26" s="98">
        <v>299</v>
      </c>
      <c r="P26" s="98">
        <v>50</v>
      </c>
      <c r="Q26" s="98">
        <v>80</v>
      </c>
      <c r="R26" s="98">
        <v>849</v>
      </c>
      <c r="S26" s="124">
        <v>3000</v>
      </c>
      <c r="T26" s="136" t="s">
        <v>70</v>
      </c>
      <c r="U26" s="137" t="s">
        <v>64</v>
      </c>
      <c r="V26" s="126" t="s">
        <v>65</v>
      </c>
      <c r="W26" s="127" t="s">
        <v>71</v>
      </c>
      <c r="X26" s="128" t="s">
        <v>72</v>
      </c>
    </row>
    <row r="27" ht="25" customHeight="1" spans="1:24">
      <c r="A27" s="99">
        <v>18</v>
      </c>
      <c r="B27" s="100" t="s">
        <v>69</v>
      </c>
      <c r="C27" s="101" t="s">
        <v>61</v>
      </c>
      <c r="D27" s="102" t="s">
        <v>62</v>
      </c>
      <c r="E27" s="103">
        <v>3000</v>
      </c>
      <c r="F27" s="104">
        <v>4000</v>
      </c>
      <c r="G27" s="104">
        <v>80</v>
      </c>
      <c r="H27" s="104">
        <v>100</v>
      </c>
      <c r="I27" s="104">
        <v>300</v>
      </c>
      <c r="J27" s="104">
        <v>10</v>
      </c>
      <c r="K27" s="115">
        <v>7939</v>
      </c>
      <c r="L27" s="104">
        <v>100</v>
      </c>
      <c r="M27" s="104">
        <v>300</v>
      </c>
      <c r="N27" s="104">
        <v>100</v>
      </c>
      <c r="O27" s="104">
        <v>299</v>
      </c>
      <c r="P27" s="104">
        <v>50</v>
      </c>
      <c r="Q27" s="104">
        <v>80</v>
      </c>
      <c r="R27" s="104">
        <v>849</v>
      </c>
      <c r="S27" s="129">
        <v>3000</v>
      </c>
      <c r="T27" s="134" t="s">
        <v>70</v>
      </c>
      <c r="U27" s="135" t="s">
        <v>64</v>
      </c>
      <c r="V27" s="131" t="s">
        <v>65</v>
      </c>
      <c r="W27" s="132" t="s">
        <v>71</v>
      </c>
      <c r="X27" s="133" t="s">
        <v>72</v>
      </c>
    </row>
    <row r="28" ht="25" customHeight="1" spans="1:24">
      <c r="A28" s="93">
        <v>19</v>
      </c>
      <c r="B28" s="94" t="s">
        <v>73</v>
      </c>
      <c r="C28" s="95" t="s">
        <v>61</v>
      </c>
      <c r="D28" s="96" t="s">
        <v>62</v>
      </c>
      <c r="E28" s="97">
        <v>3000</v>
      </c>
      <c r="F28" s="98">
        <v>4000</v>
      </c>
      <c r="G28" s="98">
        <v>80</v>
      </c>
      <c r="H28" s="98">
        <v>100</v>
      </c>
      <c r="I28" s="98">
        <v>300</v>
      </c>
      <c r="J28" s="98">
        <v>10</v>
      </c>
      <c r="K28" s="114">
        <v>7939</v>
      </c>
      <c r="L28" s="98">
        <v>100</v>
      </c>
      <c r="M28" s="98">
        <v>300</v>
      </c>
      <c r="N28" s="98">
        <v>100</v>
      </c>
      <c r="O28" s="98">
        <v>299</v>
      </c>
      <c r="P28" s="98">
        <v>50</v>
      </c>
      <c r="Q28" s="98">
        <v>80</v>
      </c>
      <c r="R28" s="98">
        <v>849</v>
      </c>
      <c r="S28" s="124">
        <v>3000</v>
      </c>
      <c r="T28" s="136" t="s">
        <v>70</v>
      </c>
      <c r="U28" s="137" t="s">
        <v>64</v>
      </c>
      <c r="V28" s="126" t="s">
        <v>65</v>
      </c>
      <c r="W28" s="127" t="s">
        <v>71</v>
      </c>
      <c r="X28" s="128" t="s">
        <v>72</v>
      </c>
    </row>
    <row r="29" ht="25" customHeight="1" spans="1:24">
      <c r="A29" s="99">
        <v>20</v>
      </c>
      <c r="B29" s="100" t="s">
        <v>74</v>
      </c>
      <c r="C29" s="101" t="s">
        <v>61</v>
      </c>
      <c r="D29" s="102" t="s">
        <v>62</v>
      </c>
      <c r="E29" s="103">
        <v>3000</v>
      </c>
      <c r="F29" s="104">
        <v>4000</v>
      </c>
      <c r="G29" s="104">
        <v>80</v>
      </c>
      <c r="H29" s="104">
        <v>100</v>
      </c>
      <c r="I29" s="104">
        <v>300</v>
      </c>
      <c r="J29" s="104">
        <v>10</v>
      </c>
      <c r="K29" s="115">
        <v>7939</v>
      </c>
      <c r="L29" s="104">
        <v>100</v>
      </c>
      <c r="M29" s="104">
        <v>300</v>
      </c>
      <c r="N29" s="104">
        <v>100</v>
      </c>
      <c r="O29" s="104">
        <v>299</v>
      </c>
      <c r="P29" s="104">
        <v>50</v>
      </c>
      <c r="Q29" s="104">
        <v>80</v>
      </c>
      <c r="R29" s="104">
        <v>849</v>
      </c>
      <c r="S29" s="129">
        <v>3000</v>
      </c>
      <c r="T29" s="134" t="s">
        <v>70</v>
      </c>
      <c r="U29" s="135" t="s">
        <v>64</v>
      </c>
      <c r="V29" s="131" t="s">
        <v>65</v>
      </c>
      <c r="W29" s="132" t="s">
        <v>71</v>
      </c>
      <c r="X29" s="133" t="s">
        <v>72</v>
      </c>
    </row>
    <row r="30" ht="25" customHeight="1" spans="1:24">
      <c r="A30" s="93"/>
      <c r="B30" s="96"/>
      <c r="C30" s="94"/>
      <c r="D30" s="96"/>
      <c r="E30" s="105">
        <f t="shared" ref="E30:S30" si="0">SUM(E10:E29)</f>
        <v>60000</v>
      </c>
      <c r="F30" s="106">
        <f t="shared" si="0"/>
        <v>80000</v>
      </c>
      <c r="G30" s="106">
        <f t="shared" si="0"/>
        <v>1600</v>
      </c>
      <c r="H30" s="106">
        <f t="shared" si="0"/>
        <v>2000</v>
      </c>
      <c r="I30" s="106">
        <f t="shared" si="0"/>
        <v>6000</v>
      </c>
      <c r="J30" s="106">
        <f t="shared" si="0"/>
        <v>200</v>
      </c>
      <c r="K30" s="116">
        <f t="shared" si="0"/>
        <v>158780</v>
      </c>
      <c r="L30" s="106">
        <f t="shared" si="0"/>
        <v>2000</v>
      </c>
      <c r="M30" s="106">
        <f t="shared" si="0"/>
        <v>6000</v>
      </c>
      <c r="N30" s="106">
        <f t="shared" si="0"/>
        <v>2000</v>
      </c>
      <c r="O30" s="106">
        <f t="shared" si="0"/>
        <v>5980</v>
      </c>
      <c r="P30" s="106">
        <f t="shared" si="0"/>
        <v>1000</v>
      </c>
      <c r="Q30" s="106">
        <f t="shared" si="0"/>
        <v>1600</v>
      </c>
      <c r="R30" s="106">
        <f t="shared" si="0"/>
        <v>16980</v>
      </c>
      <c r="S30" s="138">
        <f t="shared" si="0"/>
        <v>60000</v>
      </c>
      <c r="T30" s="106"/>
      <c r="U30" s="105"/>
      <c r="V30" s="106"/>
      <c r="W30" s="105"/>
      <c r="X30" s="139"/>
    </row>
    <row r="31" ht="25" customHeight="1" spans="1:24">
      <c r="A31" s="107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40"/>
    </row>
  </sheetData>
  <mergeCells count="16">
    <mergeCell ref="A1:B1"/>
    <mergeCell ref="A2:B2"/>
    <mergeCell ref="A3:B3"/>
    <mergeCell ref="A4:C4"/>
    <mergeCell ref="A7:B7"/>
    <mergeCell ref="E8:K8"/>
    <mergeCell ref="L8:R8"/>
    <mergeCell ref="U8:V8"/>
    <mergeCell ref="A8:A9"/>
    <mergeCell ref="B8:B9"/>
    <mergeCell ref="C8:C9"/>
    <mergeCell ref="D8:D9"/>
    <mergeCell ref="S8:S9"/>
    <mergeCell ref="T8:T9"/>
    <mergeCell ref="W8:W9"/>
    <mergeCell ref="X8:X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4"/>
  <sheetViews>
    <sheetView topLeftCell="A11" workbookViewId="0">
      <selection activeCell="I9" sqref="I9"/>
    </sheetView>
  </sheetViews>
  <sheetFormatPr defaultColWidth="9" defaultRowHeight="14.25" outlineLevelCol="5"/>
  <cols>
    <col min="1" max="1" width="9" style="1"/>
    <col min="2" max="6" width="20.625" style="1" customWidth="1"/>
    <col min="7" max="16369" width="9" style="1"/>
  </cols>
  <sheetData>
    <row r="2" ht="30" customHeight="1" spans="2:6">
      <c r="B2" s="2" t="s">
        <v>75</v>
      </c>
      <c r="C2" s="3"/>
      <c r="D2" s="3"/>
      <c r="E2" s="3"/>
      <c r="F2" s="4"/>
    </row>
    <row r="3" ht="20" customHeight="1" spans="2:6">
      <c r="B3" s="5" t="s">
        <v>76</v>
      </c>
      <c r="C3" s="6" t="s">
        <v>77</v>
      </c>
      <c r="D3" s="7">
        <v>44049.9373611111</v>
      </c>
      <c r="E3" s="8" t="s">
        <v>78</v>
      </c>
      <c r="F3" s="60" t="s">
        <v>28</v>
      </c>
    </row>
    <row r="4" ht="20" customHeight="1" spans="2:6">
      <c r="B4" s="5"/>
      <c r="C4" s="6" t="s">
        <v>79</v>
      </c>
      <c r="D4" s="10" t="s">
        <v>80</v>
      </c>
      <c r="E4" s="11" t="s">
        <v>43</v>
      </c>
      <c r="F4" s="12" t="s">
        <v>66</v>
      </c>
    </row>
    <row r="5" ht="20" customHeight="1" spans="2:6">
      <c r="B5" s="13"/>
      <c r="C5" s="14" t="s">
        <v>81</v>
      </c>
      <c r="D5" s="15" t="s">
        <v>82</v>
      </c>
      <c r="E5" s="16" t="s">
        <v>83</v>
      </c>
      <c r="F5" s="61" t="s">
        <v>80</v>
      </c>
    </row>
    <row r="6" ht="20" customHeight="1" spans="2:6">
      <c r="B6" s="5" t="s">
        <v>84</v>
      </c>
      <c r="C6" s="18" t="s">
        <v>85</v>
      </c>
      <c r="D6" s="19">
        <v>23</v>
      </c>
      <c r="E6" s="19"/>
      <c r="F6" s="62"/>
    </row>
    <row r="7" ht="20" customHeight="1" spans="2:6">
      <c r="B7" s="5"/>
      <c r="C7" s="18" t="s">
        <v>86</v>
      </c>
      <c r="D7" s="19">
        <v>19.5</v>
      </c>
      <c r="E7" s="19"/>
      <c r="F7" s="62"/>
    </row>
    <row r="8" ht="20" customHeight="1" spans="2:6">
      <c r="B8" s="5"/>
      <c r="C8" s="18" t="s">
        <v>87</v>
      </c>
      <c r="D8" s="19">
        <v>0</v>
      </c>
      <c r="E8" s="19"/>
      <c r="F8" s="62"/>
    </row>
    <row r="9" ht="20" customHeight="1" spans="2:6">
      <c r="B9" s="5"/>
      <c r="C9" s="18" t="s">
        <v>88</v>
      </c>
      <c r="D9" s="19">
        <v>0.5</v>
      </c>
      <c r="E9" s="63"/>
      <c r="F9" s="64"/>
    </row>
    <row r="10" ht="20" customHeight="1" spans="2:6">
      <c r="B10" s="5"/>
      <c r="C10" s="18" t="s">
        <v>89</v>
      </c>
      <c r="D10" s="19">
        <v>1</v>
      </c>
      <c r="E10" s="65"/>
      <c r="F10" s="62"/>
    </row>
    <row r="11" ht="20" customHeight="1" spans="2:6">
      <c r="B11" s="5"/>
      <c r="C11" s="18" t="s">
        <v>90</v>
      </c>
      <c r="D11" s="19">
        <v>1</v>
      </c>
      <c r="E11" s="65"/>
      <c r="F11" s="62"/>
    </row>
    <row r="12" ht="20" customHeight="1" spans="2:6">
      <c r="B12" s="5"/>
      <c r="C12" s="18" t="s">
        <v>91</v>
      </c>
      <c r="D12" s="19">
        <v>1</v>
      </c>
      <c r="E12" s="65"/>
      <c r="F12" s="62"/>
    </row>
    <row r="13" ht="20" customHeight="1" spans="2:6">
      <c r="B13" s="5"/>
      <c r="C13" s="18" t="s">
        <v>92</v>
      </c>
      <c r="D13" s="19">
        <v>0</v>
      </c>
      <c r="E13" s="65"/>
      <c r="F13" s="62"/>
    </row>
    <row r="14" ht="20" customHeight="1" spans="2:6">
      <c r="B14" s="13"/>
      <c r="C14" s="22" t="s">
        <v>93</v>
      </c>
      <c r="D14" s="23">
        <v>1</v>
      </c>
      <c r="E14" s="66"/>
      <c r="F14" s="67"/>
    </row>
    <row r="15" ht="20" customHeight="1" spans="2:6">
      <c r="B15" s="26" t="s">
        <v>94</v>
      </c>
      <c r="C15" s="27" t="s">
        <v>95</v>
      </c>
      <c r="D15" s="28">
        <v>5000</v>
      </c>
      <c r="E15" s="28"/>
      <c r="F15" s="29"/>
    </row>
    <row r="16" ht="20" customHeight="1" spans="2:6">
      <c r="B16" s="30"/>
      <c r="C16" s="31" t="s">
        <v>96</v>
      </c>
      <c r="D16" s="28">
        <v>3000</v>
      </c>
      <c r="E16" s="28"/>
      <c r="F16" s="29"/>
    </row>
    <row r="17" ht="20" customHeight="1" spans="2:6">
      <c r="B17" s="30"/>
      <c r="C17" s="32" t="s">
        <v>97</v>
      </c>
      <c r="D17" s="28">
        <v>0</v>
      </c>
      <c r="E17" s="28"/>
      <c r="F17" s="33" t="s">
        <v>75</v>
      </c>
    </row>
    <row r="18" ht="20" customHeight="1" spans="2:6">
      <c r="B18" s="30"/>
      <c r="C18" s="31" t="s">
        <v>98</v>
      </c>
      <c r="D18" s="28">
        <v>0</v>
      </c>
      <c r="E18" s="28"/>
      <c r="F18" s="33" t="s">
        <v>75</v>
      </c>
    </row>
    <row r="19" ht="20" customHeight="1" spans="2:6">
      <c r="B19" s="30"/>
      <c r="C19" s="32" t="s">
        <v>99</v>
      </c>
      <c r="D19" s="28">
        <v>0</v>
      </c>
      <c r="E19" s="28"/>
      <c r="F19" s="33" t="s">
        <v>75</v>
      </c>
    </row>
    <row r="20" ht="20" customHeight="1" spans="2:6">
      <c r="B20" s="30"/>
      <c r="C20" s="31" t="s">
        <v>100</v>
      </c>
      <c r="D20" s="28">
        <v>0</v>
      </c>
      <c r="E20" s="28"/>
      <c r="F20" s="33" t="s">
        <v>75</v>
      </c>
    </row>
    <row r="21" ht="20" customHeight="1" spans="2:6">
      <c r="B21" s="34"/>
      <c r="C21" s="35" t="s">
        <v>101</v>
      </c>
      <c r="D21" s="36">
        <v>8000</v>
      </c>
      <c r="E21" s="36"/>
      <c r="F21" s="37"/>
    </row>
    <row r="22" ht="20" customHeight="1" spans="2:6">
      <c r="B22" s="38" t="s">
        <v>102</v>
      </c>
      <c r="C22" s="39" t="s">
        <v>103</v>
      </c>
      <c r="D22" s="40">
        <v>0</v>
      </c>
      <c r="E22" s="28"/>
      <c r="F22" s="33" t="s">
        <v>75</v>
      </c>
    </row>
    <row r="23" ht="20" customHeight="1" spans="2:6">
      <c r="B23" s="41"/>
      <c r="C23" s="27" t="s">
        <v>104</v>
      </c>
      <c r="D23" s="28">
        <v>0</v>
      </c>
      <c r="E23" s="28"/>
      <c r="F23" s="33" t="s">
        <v>75</v>
      </c>
    </row>
    <row r="24" ht="20" customHeight="1" spans="2:6">
      <c r="B24" s="41"/>
      <c r="C24" s="27" t="s">
        <v>105</v>
      </c>
      <c r="D24" s="28">
        <v>0</v>
      </c>
      <c r="E24" s="28"/>
      <c r="F24" s="33" t="s">
        <v>75</v>
      </c>
    </row>
    <row r="25" ht="20" customHeight="1" spans="2:6">
      <c r="B25" s="41"/>
      <c r="C25" s="32" t="s">
        <v>106</v>
      </c>
      <c r="D25" s="28">
        <v>0</v>
      </c>
      <c r="E25" s="28"/>
      <c r="F25" s="33" t="s">
        <v>75</v>
      </c>
    </row>
    <row r="26" ht="20" customHeight="1" spans="2:6">
      <c r="B26" s="41"/>
      <c r="C26" s="27" t="s">
        <v>107</v>
      </c>
      <c r="D26" s="28">
        <v>0</v>
      </c>
      <c r="E26" s="28"/>
      <c r="F26" s="33" t="s">
        <v>75</v>
      </c>
    </row>
    <row r="27" ht="20" customHeight="1" spans="2:6">
      <c r="B27" s="41"/>
      <c r="C27" s="32" t="s">
        <v>108</v>
      </c>
      <c r="D27" s="28">
        <v>0</v>
      </c>
      <c r="E27" s="28"/>
      <c r="F27" s="33" t="s">
        <v>75</v>
      </c>
    </row>
    <row r="28" ht="20" customHeight="1" spans="2:6">
      <c r="B28" s="41"/>
      <c r="C28" s="42" t="s">
        <v>109</v>
      </c>
      <c r="D28" s="28">
        <v>0</v>
      </c>
      <c r="E28" s="28"/>
      <c r="F28" s="29"/>
    </row>
    <row r="29" ht="20" customHeight="1" spans="2:6">
      <c r="B29" s="43" t="s">
        <v>110</v>
      </c>
      <c r="C29" s="44"/>
      <c r="D29" s="45">
        <v>8000</v>
      </c>
      <c r="E29" s="45"/>
      <c r="F29" s="46"/>
    </row>
    <row r="30" ht="20" customHeight="1" spans="2:6">
      <c r="B30" s="43" t="s">
        <v>111</v>
      </c>
      <c r="C30" s="44"/>
      <c r="D30" s="47" t="s">
        <v>63</v>
      </c>
      <c r="E30" s="48"/>
      <c r="F30" s="49"/>
    </row>
    <row r="31" ht="20" customHeight="1" spans="2:6">
      <c r="B31" s="50" t="s">
        <v>112</v>
      </c>
      <c r="C31" s="44" t="s">
        <v>113</v>
      </c>
      <c r="D31" s="54" t="s">
        <v>80</v>
      </c>
      <c r="E31" s="68" t="s">
        <v>80</v>
      </c>
      <c r="F31" s="33" t="s">
        <v>80</v>
      </c>
    </row>
    <row r="32" ht="20" customHeight="1" spans="2:6">
      <c r="B32" s="30"/>
      <c r="C32" s="53" t="s">
        <v>114</v>
      </c>
      <c r="D32" s="54" t="s">
        <v>80</v>
      </c>
      <c r="E32" s="54" t="s">
        <v>80</v>
      </c>
      <c r="F32" s="33" t="s">
        <v>80</v>
      </c>
    </row>
    <row r="33" ht="20" customHeight="1" spans="2:6">
      <c r="B33" s="55" t="s">
        <v>115</v>
      </c>
      <c r="C33" s="44"/>
      <c r="D33" s="56" t="s">
        <v>116</v>
      </c>
      <c r="E33" s="48"/>
      <c r="F33" s="49"/>
    </row>
    <row r="34" ht="30" customHeight="1" spans="2:6">
      <c r="B34" s="57" t="s">
        <v>117</v>
      </c>
      <c r="C34" s="58"/>
      <c r="D34" s="58"/>
      <c r="E34" s="58"/>
      <c r="F34" s="59"/>
    </row>
  </sheetData>
  <mergeCells count="13">
    <mergeCell ref="E9:F9"/>
    <mergeCell ref="E10:F10"/>
    <mergeCell ref="E12:F12"/>
    <mergeCell ref="E14:F14"/>
    <mergeCell ref="B29:C29"/>
    <mergeCell ref="B30:C30"/>
    <mergeCell ref="B33:C33"/>
    <mergeCell ref="B34:F34"/>
    <mergeCell ref="B3:B5"/>
    <mergeCell ref="B6:B14"/>
    <mergeCell ref="B15:B21"/>
    <mergeCell ref="B22:B28"/>
    <mergeCell ref="B31:B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2"/>
  <sheetViews>
    <sheetView topLeftCell="A3" workbookViewId="0">
      <selection activeCell="D17" sqref="D17"/>
    </sheetView>
  </sheetViews>
  <sheetFormatPr defaultColWidth="9" defaultRowHeight="14.25" outlineLevelCol="5"/>
  <cols>
    <col min="1" max="1" width="9" style="1"/>
    <col min="2" max="6" width="20.625" style="1" customWidth="1"/>
    <col min="7" max="16369" width="9" style="1"/>
  </cols>
  <sheetData>
    <row r="2" ht="30" customHeight="1" spans="2:6">
      <c r="B2" s="2" t="s">
        <v>118</v>
      </c>
      <c r="C2" s="3"/>
      <c r="D2" s="3"/>
      <c r="E2" s="3"/>
      <c r="F2" s="4"/>
    </row>
    <row r="3" ht="20" customHeight="1" spans="2:6">
      <c r="B3" s="5" t="s">
        <v>76</v>
      </c>
      <c r="C3" s="6" t="s">
        <v>77</v>
      </c>
      <c r="D3" s="7">
        <v>44049.9373611111</v>
      </c>
      <c r="E3" s="8" t="s">
        <v>78</v>
      </c>
      <c r="F3" s="9" t="s">
        <v>119</v>
      </c>
    </row>
    <row r="4" ht="20" customHeight="1" spans="2:6">
      <c r="B4" s="5"/>
      <c r="C4" s="6" t="s">
        <v>79</v>
      </c>
      <c r="D4" s="10" t="s">
        <v>80</v>
      </c>
      <c r="E4" s="11" t="s">
        <v>43</v>
      </c>
      <c r="F4" s="12" t="s">
        <v>120</v>
      </c>
    </row>
    <row r="5" ht="20" customHeight="1" spans="2:6">
      <c r="B5" s="13"/>
      <c r="C5" s="14" t="s">
        <v>81</v>
      </c>
      <c r="D5" s="15" t="s">
        <v>82</v>
      </c>
      <c r="E5" s="16" t="s">
        <v>83</v>
      </c>
      <c r="F5" s="17" t="s">
        <v>121</v>
      </c>
    </row>
    <row r="6" ht="20" customHeight="1" spans="2:6">
      <c r="B6" s="5" t="s">
        <v>84</v>
      </c>
      <c r="C6" s="18" t="s">
        <v>85</v>
      </c>
      <c r="D6" s="19">
        <v>23</v>
      </c>
      <c r="E6" s="20"/>
      <c r="F6" s="21"/>
    </row>
    <row r="7" ht="20" customHeight="1" spans="2:6">
      <c r="B7" s="5"/>
      <c r="C7" s="18" t="s">
        <v>86</v>
      </c>
      <c r="D7" s="19">
        <v>19.5</v>
      </c>
      <c r="E7" s="20"/>
      <c r="F7" s="21"/>
    </row>
    <row r="8" ht="20" customHeight="1" spans="2:6">
      <c r="B8" s="5"/>
      <c r="C8" s="18" t="s">
        <v>88</v>
      </c>
      <c r="D8" s="19">
        <v>0.5</v>
      </c>
      <c r="E8" s="20"/>
      <c r="F8" s="21"/>
    </row>
    <row r="9" ht="20" customHeight="1" spans="2:6">
      <c r="B9" s="5"/>
      <c r="C9" s="18" t="s">
        <v>89</v>
      </c>
      <c r="D9" s="19">
        <v>1</v>
      </c>
      <c r="E9" s="20"/>
      <c r="F9" s="21"/>
    </row>
    <row r="10" ht="20" customHeight="1" spans="2:6">
      <c r="B10" s="5"/>
      <c r="C10" s="18" t="s">
        <v>90</v>
      </c>
      <c r="D10" s="19">
        <v>1</v>
      </c>
      <c r="E10" s="20"/>
      <c r="F10" s="21"/>
    </row>
    <row r="11" ht="20" customHeight="1" spans="2:6">
      <c r="B11" s="5"/>
      <c r="C11" s="18" t="s">
        <v>91</v>
      </c>
      <c r="D11" s="19">
        <v>1</v>
      </c>
      <c r="E11" s="20"/>
      <c r="F11" s="21"/>
    </row>
    <row r="12" ht="20" customHeight="1" spans="2:6">
      <c r="B12" s="13"/>
      <c r="C12" s="22" t="s">
        <v>93</v>
      </c>
      <c r="D12" s="23">
        <v>1</v>
      </c>
      <c r="E12" s="24"/>
      <c r="F12" s="25"/>
    </row>
    <row r="13" ht="20" customHeight="1" spans="2:6">
      <c r="B13" s="26" t="s">
        <v>94</v>
      </c>
      <c r="C13" s="27" t="s">
        <v>95</v>
      </c>
      <c r="D13" s="28">
        <v>5000</v>
      </c>
      <c r="E13" s="28"/>
      <c r="F13" s="29"/>
    </row>
    <row r="14" ht="20" customHeight="1" spans="2:6">
      <c r="B14" s="30"/>
      <c r="C14" s="31" t="s">
        <v>96</v>
      </c>
      <c r="D14" s="28">
        <v>3000</v>
      </c>
      <c r="E14" s="28"/>
      <c r="F14" s="29"/>
    </row>
    <row r="15" ht="20" customHeight="1" spans="2:6">
      <c r="B15" s="30"/>
      <c r="C15" s="32" t="s">
        <v>97</v>
      </c>
      <c r="D15" s="28">
        <v>3000</v>
      </c>
      <c r="E15" s="28"/>
      <c r="F15" s="33"/>
    </row>
    <row r="16" ht="20" customHeight="1" spans="2:6">
      <c r="B16" s="30"/>
      <c r="C16" s="31" t="s">
        <v>98</v>
      </c>
      <c r="D16" s="28">
        <v>300</v>
      </c>
      <c r="E16" s="28"/>
      <c r="F16" s="33"/>
    </row>
    <row r="17" ht="20" customHeight="1" spans="2:6">
      <c r="B17" s="30"/>
      <c r="C17" s="32" t="s">
        <v>99</v>
      </c>
      <c r="D17" s="28">
        <v>1200</v>
      </c>
      <c r="E17" s="28"/>
      <c r="F17" s="33"/>
    </row>
    <row r="18" ht="20" customHeight="1" spans="2:6">
      <c r="B18" s="30"/>
      <c r="C18" s="31" t="s">
        <v>100</v>
      </c>
      <c r="D18" s="28">
        <v>100</v>
      </c>
      <c r="E18" s="28"/>
      <c r="F18" s="33"/>
    </row>
    <row r="19" ht="20" customHeight="1" spans="2:6">
      <c r="B19" s="34"/>
      <c r="C19" s="35" t="s">
        <v>101</v>
      </c>
      <c r="D19" s="36">
        <f>SUM(F13:F18)</f>
        <v>0</v>
      </c>
      <c r="E19" s="36"/>
      <c r="F19" s="37"/>
    </row>
    <row r="20" ht="20" customHeight="1" spans="2:6">
      <c r="B20" s="38" t="s">
        <v>102</v>
      </c>
      <c r="C20" s="39" t="s">
        <v>103</v>
      </c>
      <c r="D20" s="40">
        <v>200</v>
      </c>
      <c r="E20" s="28"/>
      <c r="F20" s="33"/>
    </row>
    <row r="21" ht="20" customHeight="1" spans="2:6">
      <c r="B21" s="41"/>
      <c r="C21" s="27" t="s">
        <v>104</v>
      </c>
      <c r="D21" s="28">
        <v>300</v>
      </c>
      <c r="E21" s="28"/>
      <c r="F21" s="33"/>
    </row>
    <row r="22" ht="20" customHeight="1" spans="2:6">
      <c r="B22" s="41"/>
      <c r="C22" s="27" t="s">
        <v>105</v>
      </c>
      <c r="D22" s="28">
        <v>1300</v>
      </c>
      <c r="E22" s="28"/>
      <c r="F22" s="33"/>
    </row>
    <row r="23" ht="20" customHeight="1" spans="2:6">
      <c r="B23" s="41"/>
      <c r="C23" s="32" t="s">
        <v>106</v>
      </c>
      <c r="D23" s="28">
        <v>360</v>
      </c>
      <c r="E23" s="28"/>
      <c r="F23" s="33"/>
    </row>
    <row r="24" ht="20" customHeight="1" spans="2:6">
      <c r="B24" s="41"/>
      <c r="C24" s="27" t="s">
        <v>107</v>
      </c>
      <c r="D24" s="28">
        <v>50</v>
      </c>
      <c r="E24" s="28"/>
      <c r="F24" s="33"/>
    </row>
    <row r="25" ht="20" customHeight="1" spans="2:6">
      <c r="B25" s="41"/>
      <c r="C25" s="32" t="s">
        <v>108</v>
      </c>
      <c r="D25" s="28">
        <v>300</v>
      </c>
      <c r="E25" s="28"/>
      <c r="F25" s="33"/>
    </row>
    <row r="26" ht="20" customHeight="1" spans="2:6">
      <c r="B26" s="41"/>
      <c r="C26" s="42" t="s">
        <v>109</v>
      </c>
      <c r="D26" s="28">
        <f>SUM(F20:F25)</f>
        <v>0</v>
      </c>
      <c r="E26" s="28"/>
      <c r="F26" s="29"/>
    </row>
    <row r="27" ht="20" customHeight="1" spans="2:6">
      <c r="B27" s="43" t="s">
        <v>110</v>
      </c>
      <c r="C27" s="44"/>
      <c r="D27" s="45">
        <v>10090</v>
      </c>
      <c r="E27" s="45"/>
      <c r="F27" s="46"/>
    </row>
    <row r="28" ht="20" customHeight="1" spans="2:6">
      <c r="B28" s="43" t="s">
        <v>111</v>
      </c>
      <c r="C28" s="44"/>
      <c r="D28" s="47" t="s">
        <v>63</v>
      </c>
      <c r="E28" s="48"/>
      <c r="F28" s="49" t="s">
        <v>122</v>
      </c>
    </row>
    <row r="29" ht="20" customHeight="1" spans="2:6">
      <c r="B29" s="50" t="s">
        <v>112</v>
      </c>
      <c r="C29" s="44" t="s">
        <v>113</v>
      </c>
      <c r="D29" s="51" t="s">
        <v>123</v>
      </c>
      <c r="E29" s="52">
        <v>43705.6258912037</v>
      </c>
      <c r="F29" s="33" t="s">
        <v>72</v>
      </c>
    </row>
    <row r="30" ht="20" customHeight="1" spans="2:6">
      <c r="B30" s="30"/>
      <c r="C30" s="53" t="s">
        <v>114</v>
      </c>
      <c r="D30" s="54" t="s">
        <v>124</v>
      </c>
      <c r="E30" s="54" t="s">
        <v>124</v>
      </c>
      <c r="F30" s="33" t="s">
        <v>125</v>
      </c>
    </row>
    <row r="31" ht="20" customHeight="1" spans="2:6">
      <c r="B31" s="55" t="s">
        <v>115</v>
      </c>
      <c r="C31" s="44"/>
      <c r="D31" s="56" t="s">
        <v>116</v>
      </c>
      <c r="E31" s="48"/>
      <c r="F31" s="49"/>
    </row>
    <row r="32" ht="30" customHeight="1" spans="2:6">
      <c r="B32" s="57" t="s">
        <v>117</v>
      </c>
      <c r="C32" s="58"/>
      <c r="D32" s="58"/>
      <c r="E32" s="58"/>
      <c r="F32" s="59"/>
    </row>
  </sheetData>
  <mergeCells count="9">
    <mergeCell ref="B27:C27"/>
    <mergeCell ref="B28:C28"/>
    <mergeCell ref="B31:C31"/>
    <mergeCell ref="B32:F32"/>
    <mergeCell ref="B3:B5"/>
    <mergeCell ref="B6:B12"/>
    <mergeCell ref="B13:B19"/>
    <mergeCell ref="B20:B26"/>
    <mergeCell ref="B29:B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列表</vt:lpstr>
      <vt:lpstr>调整</vt:lpstr>
      <vt:lpstr>支付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2020-09-09T07:10:00Z</dcterms:created>
  <dcterms:modified xsi:type="dcterms:W3CDTF">2022-09-27T03:28:03Z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FBCAD5BA470C4B7E94F6F48A56431363</vt:lpwstr>
  </property>
</Properties>
</file>