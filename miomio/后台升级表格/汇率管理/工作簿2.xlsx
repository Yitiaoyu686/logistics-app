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展开" sheetId="1" r:id="rId1"/>
  </sheets>
  <calcPr calcId="144525"/>
</workbook>
</file>

<file path=xl/sharedStrings.xml><?xml version="1.0" encoding="utf-8"?>
<sst xmlns="http://schemas.openxmlformats.org/spreadsheetml/2006/main" count="189" uniqueCount="79">
  <si>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</si>
  <si>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</si>
  <si>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</si>
  <si>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</si>
  <si>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</si>
  <si>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</si>
  <si>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</si>
  <si>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</si>
  <si>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</si>
  <si>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</si>
  <si>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</si>
  <si>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站点/JOB</t>
  </si>
  <si>
    <t>JOB</t>
  </si>
  <si>
    <t>订单数量</t>
  </si>
  <si>
    <t>件数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</si>
  <si>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</si>
  <si>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</si>
  <si>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</si>
  <si>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</si>
  <si>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</si>
  <si>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利润比例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</si>
  <si>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</si>
  <si>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</si>
  <si>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</si>
  <si>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</si>
  <si>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</si>
  <si>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</si>
  <si>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t>目的国应付明细</t>
  </si>
  <si>
    <t>序号</t>
  </si>
  <si>
    <t>供应商</t>
  </si>
  <si>
    <t>订单号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</si>
  <si>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</si>
  <si>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</si>
  <si>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</si>
  <si>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</si>
  <si>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</si>
  <si>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</si>
  <si>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</si>
  <si>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</si>
  <si>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</si>
  <si>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</si>
  <si>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t>已付</t>
  </si>
  <si>
    <t>无</t>
  </si>
  <si>
    <r>
      <rPr>
        <sz val="8"/>
        <color rgb="FF0070C0"/>
        <rFont val="宋体"/>
        <charset val="134"/>
      </rPr>
      <t>已审核</t>
    </r>
    <r>
      <rPr>
        <sz val="8"/>
        <color rgb="FF0070C0"/>
        <rFont val="Arial"/>
        <charset val="134"/>
      </rPr>
      <t xml:space="preserve">   CANSAMAO             2019/10/25 23:51:17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</si>
  <si>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</si>
  <si>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</si>
  <si>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</si>
  <si>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</si>
  <si>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</si>
  <si>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</si>
  <si>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</si>
  <si>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</si>
  <si>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</si>
  <si>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</si>
  <si>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</si>
  <si>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</si>
  <si>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t>合计</t>
  </si>
  <si>
    <t>折合人民币</t>
  </si>
  <si>
    <r>
      <rPr>
        <b/>
        <sz val="9"/>
        <color theme="1"/>
        <rFont val="宋体"/>
        <charset val="134"/>
      </rPr>
      <t>供应商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</si>
  <si>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</si>
  <si>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项目</t>
    </r>
  </si>
  <si>
    <r>
      <rPr>
        <b/>
        <sz val="9"/>
        <color rgb="FF393939"/>
        <rFont val="宋体"/>
        <charset val="134"/>
      </rPr>
      <t>折合</t>
    </r>
    <r>
      <rPr>
        <b/>
        <sz val="9"/>
        <color rgb="FF393939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</si>
  <si>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汇率</t>
    </r>
  </si>
  <si>
    <r>
      <rPr>
        <b/>
        <sz val="9"/>
        <color theme="1"/>
        <rFont val="宋体"/>
        <charset val="134"/>
      </rPr>
      <t>换算日期</t>
    </r>
  </si>
  <si>
    <r>
      <rPr>
        <b/>
        <sz val="9"/>
        <color theme="1"/>
        <rFont val="宋体"/>
        <charset val="134"/>
      </rPr>
      <t>审核状态</t>
    </r>
    <r>
      <rPr>
        <b/>
        <sz val="9"/>
        <color theme="1"/>
        <rFont val="Arial"/>
        <charset val="134"/>
      </rPr>
      <t>/</t>
    </r>
    <r>
      <rPr>
        <b/>
        <sz val="9"/>
        <color theme="1"/>
        <rFont val="宋体"/>
        <charset val="134"/>
      </rPr>
      <t>日期</t>
    </r>
  </si>
  <si>
    <t>NGN93.00=CNY1.00</t>
  </si>
  <si>
    <t>COMPANY ACC 02765    2019/8/28 15:01:22</t>
  </si>
  <si>
    <t>WECHAT PAY 02765       2019/8/28 15:01:22</t>
  </si>
  <si>
    <t>COMPANY ACC 02765    2019/8/28 15:01:23</t>
  </si>
  <si>
    <t>WECHAT PAY 02765       2019/8/28 15:01:23</t>
  </si>
  <si>
    <t>COMPANY ACC 02765    2019/8/28 15:01:24</t>
  </si>
  <si>
    <t>WECHAT PAY 02765       2019/8/28 15:01:24</t>
  </si>
  <si>
    <t>COMPANY ACC 02765    2019/8/28 15:01:25</t>
  </si>
  <si>
    <t>WECHAT PAY 02765       2019/8/28 15:01:25</t>
  </si>
  <si>
    <t>COMPANY ACC 02765    2019/8/28 15:01:26</t>
  </si>
  <si>
    <t>WECHAT PAY 02765       2019/8/28 15:01:26</t>
  </si>
  <si>
    <t>COMPANY ACC 02765    2019/8/28 15:01:27</t>
  </si>
  <si>
    <t>WECHAT PAY 02765       2019/8/28 15:01:27</t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</si>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</sst>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#,##0.00_ "/>
    <numFmt numFmtId="179" formatCode="yyyy/m/d\ h:mm;@"/>
  </numFmts>
  <fonts count="47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Microsoft JhengHei"/>
      <charset val="134"/>
    </font>
    <font>
      <b/>
      <sz val="11"/>
      <color rgb="FFFF0000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sz val="9"/>
      <color rgb="FF0070C0"/>
      <name val="Arial"/>
      <charset val="134"/>
    </font>
    <font>
      <sz val="8"/>
      <color rgb="FF393939"/>
      <name val="宋体"/>
      <charset val="134"/>
    </font>
    <font>
      <sz val="8"/>
      <color rgb="FF393939"/>
      <name val="Arial"/>
      <charset val="134"/>
    </font>
    <font>
      <sz val="8"/>
      <color rgb="FF0070C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2"/>
      <color theme="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7" fillId="16" borderId="13" applyNumberFormat="0" applyAlignment="0" applyProtection="0">
      <alignment vertical="center"/>
    </xf>
    <xf numFmtId="0" fontId="38" fillId="16" borderId="9" applyNumberFormat="0" applyAlignment="0" applyProtection="0">
      <alignment vertical="center"/>
    </xf>
    <xf numFmtId="0" fontId="39" fillId="17" borderId="14" applyNumberFormat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77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" fillId="5" borderId="3" xfId="0" applyFont="1" applyFill="1" applyBorder="1">
      <alignment vertical="center"/>
    </xf>
    <xf numFmtId="0" fontId="14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0" fillId="6" borderId="0" xfId="0" applyFont="1" applyFill="1" applyAlignment="1">
      <alignment horizontal="center" vertical="center"/>
    </xf>
    <xf numFmtId="177" fontId="10" fillId="6" borderId="0" xfId="0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8" fontId="10" fillId="2" borderId="0" xfId="0" applyNumberFormat="1" applyFont="1" applyFill="1" applyAlignment="1">
      <alignment horizontal="center" vertical="center" wrapText="1"/>
    </xf>
    <xf numFmtId="178" fontId="11" fillId="6" borderId="0" xfId="0" applyNumberFormat="1" applyFont="1" applyFill="1" applyAlignment="1">
      <alignment horizontal="center" vertical="center"/>
    </xf>
    <xf numFmtId="178" fontId="10" fillId="6" borderId="0" xfId="0" applyNumberFormat="1" applyFont="1" applyFill="1" applyBorder="1" applyAlignment="1">
      <alignment horizontal="center" vertical="center"/>
    </xf>
    <xf numFmtId="178" fontId="17" fillId="6" borderId="0" xfId="0" applyNumberFormat="1" applyFont="1" applyFill="1" applyBorder="1" applyAlignment="1">
      <alignment horizontal="center" vertical="center" wrapText="1"/>
    </xf>
    <xf numFmtId="178" fontId="11" fillId="6" borderId="0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/>
    </xf>
    <xf numFmtId="178" fontId="18" fillId="2" borderId="0" xfId="0" applyNumberFormat="1" applyFont="1" applyFill="1" applyBorder="1" applyAlignment="1">
      <alignment horizontal="center" vertical="center" wrapText="1"/>
    </xf>
    <xf numFmtId="178" fontId="19" fillId="2" borderId="0" xfId="0" applyNumberFormat="1" applyFont="1" applyFill="1" applyAlignment="1">
      <alignment horizontal="center" vertical="center" wrapText="1"/>
    </xf>
    <xf numFmtId="178" fontId="18" fillId="2" borderId="0" xfId="0" applyNumberFormat="1" applyFont="1" applyFill="1" applyAlignment="1">
      <alignment horizontal="center" vertical="center" wrapText="1"/>
    </xf>
    <xf numFmtId="178" fontId="13" fillId="6" borderId="0" xfId="0" applyNumberFormat="1" applyFont="1" applyFill="1" applyAlignment="1">
      <alignment vertical="center" wrapText="1"/>
    </xf>
    <xf numFmtId="178" fontId="20" fillId="6" borderId="0" xfId="0" applyNumberFormat="1" applyFont="1" applyFill="1" applyAlignment="1">
      <alignment horizontal="right" vertical="center" wrapText="1"/>
    </xf>
    <xf numFmtId="178" fontId="13" fillId="6" borderId="0" xfId="0" applyNumberFormat="1" applyFont="1" applyFill="1" applyAlignment="1">
      <alignment horizontal="right" vertical="center" wrapText="1"/>
    </xf>
    <xf numFmtId="178" fontId="13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178" fontId="13" fillId="5" borderId="0" xfId="0" applyNumberFormat="1" applyFont="1" applyFill="1" applyBorder="1" applyAlignment="1">
      <alignment horizontal="center" vertical="center" wrapText="1"/>
    </xf>
    <xf numFmtId="0" fontId="21" fillId="5" borderId="0" xfId="0" applyFont="1" applyFill="1" applyBorder="1" applyAlignment="1">
      <alignment horizontal="center" vertical="center"/>
    </xf>
    <xf numFmtId="178" fontId="10" fillId="6" borderId="0" xfId="0" applyNumberFormat="1" applyFont="1" applyFill="1" applyAlignment="1">
      <alignment horizontal="center" vertical="center"/>
    </xf>
    <xf numFmtId="178" fontId="17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0" fontId="1" fillId="2" borderId="7" xfId="0" applyNumberFormat="1" applyFont="1" applyFill="1" applyBorder="1" applyAlignment="1">
      <alignment horizontal="center"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center" wrapText="1"/>
    </xf>
    <xf numFmtId="178" fontId="11" fillId="6" borderId="0" xfId="0" applyNumberFormat="1" applyFont="1" applyFill="1" applyAlignment="1">
      <alignment horizontal="center" vertical="center" wrapText="1"/>
    </xf>
    <xf numFmtId="178" fontId="11" fillId="6" borderId="7" xfId="0" applyNumberFormat="1" applyFont="1" applyFill="1" applyBorder="1" applyAlignment="1">
      <alignment horizontal="center" vertical="center" wrapText="1"/>
    </xf>
    <xf numFmtId="179" fontId="22" fillId="2" borderId="0" xfId="0" applyNumberFormat="1" applyFont="1" applyFill="1" applyAlignment="1">
      <alignment horizontal="center" vertical="center" wrapText="1"/>
    </xf>
    <xf numFmtId="179" fontId="23" fillId="2" borderId="0" xfId="0" applyNumberFormat="1" applyFont="1" applyFill="1" applyAlignment="1">
      <alignment horizontal="center" vertical="center" wrapText="1"/>
    </xf>
    <xf numFmtId="178" fontId="24" fillId="2" borderId="0" xfId="0" applyNumberFormat="1" applyFont="1" applyFill="1" applyAlignment="1">
      <alignment horizontal="center" vertical="center" wrapText="1"/>
    </xf>
    <xf numFmtId="178" fontId="24" fillId="2" borderId="7" xfId="0" applyNumberFormat="1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21" fillId="5" borderId="0" xfId="0" applyFont="1" applyFill="1" applyBorder="1" applyAlignment="1">
      <alignment vertical="center"/>
    </xf>
    <xf numFmtId="0" fontId="18" fillId="5" borderId="7" xfId="0" applyFont="1" applyFill="1" applyBorder="1" applyAlignment="1">
      <alignment horizontal="center" vertical="center" wrapText="1"/>
    </xf>
    <xf numFmtId="178" fontId="10" fillId="6" borderId="0" xfId="0" applyNumberFormat="1" applyFont="1" applyFill="1" applyAlignment="1">
      <alignment horizontal="center" vertical="center" wrapText="1"/>
    </xf>
    <xf numFmtId="178" fontId="10" fillId="6" borderId="7" xfId="0" applyNumberFormat="1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43"/>
  <sheetViews>
    <sheetView tabSelected="1" workbookViewId="0">
      <selection activeCell="K32" sqref="K32:L32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5"/>
    </row>
    <row r="2" s="1" customFormat="1" ht="25" customHeight="1" spans="2:21">
      <c r="B2" s="7" t="s">
        <v>1</v>
      </c>
      <c r="C2" s="8"/>
      <c r="D2" s="9" t="s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44"/>
      <c r="Q2" s="44"/>
      <c r="R2" s="44"/>
      <c r="S2" s="44"/>
      <c r="T2" s="76"/>
      <c r="U2" s="77"/>
    </row>
    <row r="3" s="1" customFormat="1" ht="25" customHeight="1" spans="2:21">
      <c r="B3" s="7" t="s">
        <v>3</v>
      </c>
      <c r="C3" s="8"/>
      <c r="D3" s="8" t="s">
        <v>4</v>
      </c>
      <c r="E3" s="8"/>
      <c r="F3" s="8" t="s">
        <v>5</v>
      </c>
      <c r="G3" s="8"/>
      <c r="H3" s="8" t="s">
        <v>6</v>
      </c>
      <c r="I3" s="8"/>
      <c r="J3" s="8" t="s">
        <v>7</v>
      </c>
      <c r="K3" s="8"/>
      <c r="L3" s="8"/>
      <c r="M3" s="8"/>
      <c r="N3" s="8"/>
      <c r="O3" s="8"/>
      <c r="P3" s="44"/>
      <c r="Q3" s="44"/>
      <c r="R3" s="44"/>
      <c r="S3" s="44"/>
      <c r="T3" s="76"/>
      <c r="U3" s="77"/>
    </row>
    <row r="4" ht="25" customHeight="1" spans="2:20">
      <c r="B4" s="10" t="s">
        <v>8</v>
      </c>
      <c r="C4" s="11"/>
      <c r="D4" s="11"/>
      <c r="E4" s="12" t="s">
        <v>9</v>
      </c>
      <c r="F4" s="12"/>
      <c r="G4" s="12"/>
      <c r="H4" s="12" t="s">
        <v>10</v>
      </c>
      <c r="I4" s="12"/>
      <c r="J4" s="12"/>
      <c r="K4" s="45"/>
      <c r="L4" s="46"/>
      <c r="M4" s="47"/>
      <c r="N4" s="47"/>
      <c r="O4" s="47"/>
      <c r="P4" s="47"/>
      <c r="Q4" s="47"/>
      <c r="R4" s="47"/>
      <c r="S4" s="47"/>
      <c r="T4" s="78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79"/>
    </row>
    <row r="6" ht="25" customHeight="1" spans="2:20">
      <c r="B6" s="15" t="s">
        <v>11</v>
      </c>
      <c r="C6" s="16"/>
      <c r="D6" s="17" t="s">
        <v>12</v>
      </c>
      <c r="E6" s="18" t="s">
        <v>13</v>
      </c>
      <c r="F6" s="18"/>
      <c r="G6" s="18" t="s">
        <v>14</v>
      </c>
      <c r="H6" s="18"/>
      <c r="I6" s="18" t="s">
        <v>15</v>
      </c>
      <c r="J6" s="18"/>
      <c r="K6" s="18" t="s">
        <v>16</v>
      </c>
      <c r="L6" s="18"/>
      <c r="M6" s="18" t="s">
        <v>17</v>
      </c>
      <c r="N6" s="18"/>
      <c r="O6" s="48" t="s">
        <v>18</v>
      </c>
      <c r="P6" s="48"/>
      <c r="Q6" s="48" t="s">
        <v>19</v>
      </c>
      <c r="R6" s="48"/>
      <c r="S6" s="48" t="s">
        <v>20</v>
      </c>
      <c r="T6" s="80"/>
    </row>
    <row r="7" ht="25" customHeight="1" spans="2:20">
      <c r="B7" s="19" t="s">
        <v>21</v>
      </c>
      <c r="C7" s="20"/>
      <c r="D7" s="21" t="s">
        <v>22</v>
      </c>
      <c r="E7" s="22">
        <v>25</v>
      </c>
      <c r="F7" s="22"/>
      <c r="G7" s="22">
        <v>20</v>
      </c>
      <c r="H7" s="22"/>
      <c r="I7" s="49">
        <v>1300</v>
      </c>
      <c r="J7" s="49"/>
      <c r="K7" s="50">
        <v>0.52</v>
      </c>
      <c r="L7" s="50"/>
      <c r="M7" s="50">
        <v>0.52</v>
      </c>
      <c r="N7" s="50"/>
      <c r="O7" s="51">
        <v>0.52</v>
      </c>
      <c r="P7" s="51"/>
      <c r="Q7" s="81">
        <v>0.6</v>
      </c>
      <c r="R7" s="81"/>
      <c r="S7" s="81">
        <v>0.58</v>
      </c>
      <c r="T7" s="82"/>
    </row>
    <row r="8" ht="25" customHeight="1" spans="2:20">
      <c r="B8" s="23" t="s">
        <v>23</v>
      </c>
      <c r="C8" s="24"/>
      <c r="D8" s="21" t="s">
        <v>24</v>
      </c>
      <c r="E8" s="22">
        <v>20</v>
      </c>
      <c r="F8" s="22"/>
      <c r="G8" s="22">
        <v>20</v>
      </c>
      <c r="H8" s="22"/>
      <c r="I8" s="49">
        <v>1000</v>
      </c>
      <c r="J8" s="49"/>
      <c r="K8" s="50">
        <v>0.4</v>
      </c>
      <c r="L8" s="50"/>
      <c r="M8" s="50">
        <v>0.4</v>
      </c>
      <c r="N8" s="50"/>
      <c r="O8" s="51">
        <v>0.4</v>
      </c>
      <c r="P8" s="51"/>
      <c r="Q8" s="81">
        <v>0.3</v>
      </c>
      <c r="R8" s="81"/>
      <c r="S8" s="81">
        <v>0.34</v>
      </c>
      <c r="T8" s="82"/>
    </row>
    <row r="9" ht="25" customHeight="1" spans="2:20">
      <c r="B9" s="23" t="s">
        <v>25</v>
      </c>
      <c r="C9" s="24"/>
      <c r="D9" s="21" t="s">
        <v>26</v>
      </c>
      <c r="E9" s="22">
        <v>5</v>
      </c>
      <c r="F9" s="22"/>
      <c r="G9" s="22">
        <v>10</v>
      </c>
      <c r="H9" s="22"/>
      <c r="I9" s="49">
        <v>200</v>
      </c>
      <c r="J9" s="49"/>
      <c r="K9" s="50">
        <v>0.08</v>
      </c>
      <c r="L9" s="50"/>
      <c r="M9" s="50">
        <v>0.08</v>
      </c>
      <c r="N9" s="50"/>
      <c r="O9" s="51">
        <v>0.08</v>
      </c>
      <c r="P9" s="51"/>
      <c r="Q9" s="51">
        <v>0.1</v>
      </c>
      <c r="R9" s="51"/>
      <c r="S9" s="51">
        <v>0.08</v>
      </c>
      <c r="T9" s="83"/>
    </row>
    <row r="10" ht="25" customHeight="1" spans="2:20">
      <c r="B10" s="23"/>
      <c r="C10" s="21"/>
      <c r="D10" s="21"/>
      <c r="E10" s="25">
        <f t="shared" ref="E10:I10" si="0">SUM(E7:E9)</f>
        <v>50</v>
      </c>
      <c r="F10" s="25"/>
      <c r="G10" s="25">
        <f t="shared" si="0"/>
        <v>50</v>
      </c>
      <c r="H10" s="25"/>
      <c r="I10" s="52">
        <f t="shared" si="0"/>
        <v>2500</v>
      </c>
      <c r="J10" s="52"/>
      <c r="K10" s="50">
        <f t="shared" ref="K10:O10" si="1">SUM(K7:K9)</f>
        <v>1</v>
      </c>
      <c r="L10" s="50"/>
      <c r="M10" s="50">
        <f t="shared" si="1"/>
        <v>1</v>
      </c>
      <c r="N10" s="50"/>
      <c r="O10" s="50">
        <f t="shared" si="1"/>
        <v>1</v>
      </c>
      <c r="P10" s="50"/>
      <c r="Q10" s="50">
        <f>SUM(Q7:Q9)</f>
        <v>1</v>
      </c>
      <c r="R10" s="50"/>
      <c r="S10" s="50">
        <f>SUM(S7:S9)</f>
        <v>1</v>
      </c>
      <c r="T10" s="83"/>
    </row>
    <row r="11" ht="1" customHeight="1" spans="2:20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79"/>
    </row>
    <row r="12" ht="25" customHeight="1" spans="2:20">
      <c r="B12" s="26" t="s">
        <v>27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84"/>
    </row>
    <row r="13" ht="25" customHeight="1" spans="2:20">
      <c r="B13" s="28" t="s">
        <v>28</v>
      </c>
      <c r="C13" s="29" t="s">
        <v>29</v>
      </c>
      <c r="D13" s="29"/>
      <c r="E13" s="29"/>
      <c r="F13" s="29"/>
      <c r="G13" s="30" t="s">
        <v>30</v>
      </c>
      <c r="H13" s="30"/>
      <c r="I13" s="53" t="s">
        <v>31</v>
      </c>
      <c r="J13" s="53"/>
      <c r="K13" s="54" t="s">
        <v>32</v>
      </c>
      <c r="L13" s="54"/>
      <c r="M13" s="55" t="s">
        <v>33</v>
      </c>
      <c r="N13" s="55" t="s">
        <v>34</v>
      </c>
      <c r="O13" s="55"/>
      <c r="P13" s="56" t="s">
        <v>35</v>
      </c>
      <c r="Q13" s="85" t="s">
        <v>36</v>
      </c>
      <c r="R13" s="85"/>
      <c r="S13" s="85" t="s">
        <v>37</v>
      </c>
      <c r="T13" s="86"/>
    </row>
    <row r="14" ht="25" customHeight="1" spans="2:20">
      <c r="B14" s="31">
        <v>1</v>
      </c>
      <c r="C14" s="24" t="s">
        <v>38</v>
      </c>
      <c r="D14" s="24"/>
      <c r="E14" s="24"/>
      <c r="F14" s="24"/>
      <c r="G14" s="32" t="s">
        <v>39</v>
      </c>
      <c r="H14" s="32"/>
      <c r="I14" s="57" t="s">
        <v>40</v>
      </c>
      <c r="J14" s="57"/>
      <c r="K14" s="58">
        <v>30</v>
      </c>
      <c r="L14" s="58"/>
      <c r="M14" s="59">
        <v>2500</v>
      </c>
      <c r="N14" s="59">
        <v>75000</v>
      </c>
      <c r="O14" s="59"/>
      <c r="P14" s="60" t="s">
        <v>41</v>
      </c>
      <c r="Q14" s="87" t="s">
        <v>42</v>
      </c>
      <c r="R14" s="88"/>
      <c r="S14" s="89" t="s">
        <v>43</v>
      </c>
      <c r="T14" s="90"/>
    </row>
    <row r="15" ht="25" customHeight="1" spans="2:20">
      <c r="B15" s="31">
        <v>2</v>
      </c>
      <c r="C15" s="33" t="s">
        <v>44</v>
      </c>
      <c r="D15" s="24"/>
      <c r="E15" s="24"/>
      <c r="F15" s="24"/>
      <c r="G15" s="32" t="s">
        <v>39</v>
      </c>
      <c r="H15" s="32"/>
      <c r="I15" s="57" t="s">
        <v>45</v>
      </c>
      <c r="J15" s="57"/>
      <c r="K15" s="58">
        <v>350</v>
      </c>
      <c r="L15" s="58"/>
      <c r="M15" s="59">
        <v>1</v>
      </c>
      <c r="N15" s="59">
        <v>350</v>
      </c>
      <c r="O15" s="59"/>
      <c r="P15" s="60" t="s">
        <v>41</v>
      </c>
      <c r="Q15" s="87" t="s">
        <v>42</v>
      </c>
      <c r="R15" s="88"/>
      <c r="S15" s="89" t="s">
        <v>43</v>
      </c>
      <c r="T15" s="90"/>
    </row>
    <row r="16" ht="25" customHeight="1" spans="2:20">
      <c r="B16" s="31">
        <v>3</v>
      </c>
      <c r="C16" s="24" t="s">
        <v>46</v>
      </c>
      <c r="D16" s="24"/>
      <c r="E16" s="24"/>
      <c r="F16" s="24"/>
      <c r="G16" s="32" t="s">
        <v>39</v>
      </c>
      <c r="H16" s="32"/>
      <c r="I16" s="57" t="s">
        <v>47</v>
      </c>
      <c r="J16" s="57"/>
      <c r="K16" s="58">
        <v>30</v>
      </c>
      <c r="L16" s="58"/>
      <c r="M16" s="59">
        <v>1</v>
      </c>
      <c r="N16" s="59">
        <v>30</v>
      </c>
      <c r="O16" s="59"/>
      <c r="P16" s="60" t="s">
        <v>41</v>
      </c>
      <c r="Q16" s="87" t="s">
        <v>42</v>
      </c>
      <c r="R16" s="88"/>
      <c r="S16" s="89" t="s">
        <v>43</v>
      </c>
      <c r="T16" s="90"/>
    </row>
    <row r="17" ht="25" customHeight="1" spans="2:20">
      <c r="B17" s="31">
        <v>4</v>
      </c>
      <c r="C17" s="24" t="s">
        <v>46</v>
      </c>
      <c r="D17" s="24"/>
      <c r="E17" s="24"/>
      <c r="F17" s="24"/>
      <c r="G17" s="32" t="s">
        <v>39</v>
      </c>
      <c r="H17" s="32"/>
      <c r="I17" s="57" t="s">
        <v>48</v>
      </c>
      <c r="J17" s="57"/>
      <c r="K17" s="58">
        <v>30</v>
      </c>
      <c r="L17" s="58"/>
      <c r="M17" s="59">
        <v>1</v>
      </c>
      <c r="N17" s="59">
        <v>30</v>
      </c>
      <c r="O17" s="59"/>
      <c r="P17" s="60" t="s">
        <v>41</v>
      </c>
      <c r="Q17" s="87" t="s">
        <v>42</v>
      </c>
      <c r="R17" s="88"/>
      <c r="S17" s="89" t="s">
        <v>43</v>
      </c>
      <c r="T17" s="90"/>
    </row>
    <row r="18" ht="25" customHeight="1" spans="2:20">
      <c r="B18" s="31">
        <v>5</v>
      </c>
      <c r="C18" s="24" t="s">
        <v>46</v>
      </c>
      <c r="D18" s="24"/>
      <c r="E18" s="24"/>
      <c r="F18" s="24"/>
      <c r="G18" s="32" t="s">
        <v>39</v>
      </c>
      <c r="H18" s="32"/>
      <c r="I18" s="57" t="s">
        <v>49</v>
      </c>
      <c r="J18" s="57"/>
      <c r="K18" s="58">
        <v>30</v>
      </c>
      <c r="L18" s="58"/>
      <c r="M18" s="59">
        <v>2</v>
      </c>
      <c r="N18" s="59">
        <v>60</v>
      </c>
      <c r="O18" s="59"/>
      <c r="P18" s="60" t="s">
        <v>41</v>
      </c>
      <c r="Q18" s="87" t="s">
        <v>42</v>
      </c>
      <c r="R18" s="88"/>
      <c r="S18" s="89" t="s">
        <v>43</v>
      </c>
      <c r="T18" s="90"/>
    </row>
    <row r="19" ht="25" customHeight="1" spans="2:20">
      <c r="B19" s="31">
        <v>6</v>
      </c>
      <c r="C19" s="24" t="s">
        <v>46</v>
      </c>
      <c r="D19" s="24"/>
      <c r="E19" s="24"/>
      <c r="F19" s="24"/>
      <c r="G19" s="32">
        <v>190922000006</v>
      </c>
      <c r="H19" s="32"/>
      <c r="I19" s="57" t="s">
        <v>50</v>
      </c>
      <c r="J19" s="57"/>
      <c r="K19" s="58">
        <v>30</v>
      </c>
      <c r="L19" s="58"/>
      <c r="M19" s="59">
        <v>1</v>
      </c>
      <c r="N19" s="59">
        <v>30</v>
      </c>
      <c r="O19" s="59"/>
      <c r="P19" s="60" t="s">
        <v>41</v>
      </c>
      <c r="Q19" s="87" t="s">
        <v>42</v>
      </c>
      <c r="R19" s="88"/>
      <c r="S19" s="89" t="s">
        <v>43</v>
      </c>
      <c r="T19" s="90"/>
    </row>
    <row r="20" ht="25" customHeight="1" spans="2:20">
      <c r="B20" s="31">
        <v>7</v>
      </c>
      <c r="C20" s="24" t="s">
        <v>46</v>
      </c>
      <c r="D20" s="24"/>
      <c r="E20" s="24"/>
      <c r="F20" s="24"/>
      <c r="G20" s="32">
        <v>190922000006</v>
      </c>
      <c r="H20" s="32"/>
      <c r="I20" s="57" t="s">
        <v>51</v>
      </c>
      <c r="J20" s="57"/>
      <c r="K20" s="58">
        <v>30</v>
      </c>
      <c r="L20" s="58"/>
      <c r="M20" s="59">
        <v>2</v>
      </c>
      <c r="N20" s="59">
        <v>60</v>
      </c>
      <c r="O20" s="59"/>
      <c r="P20" s="60" t="s">
        <v>41</v>
      </c>
      <c r="Q20" s="87" t="s">
        <v>42</v>
      </c>
      <c r="R20" s="88"/>
      <c r="S20" s="89" t="s">
        <v>43</v>
      </c>
      <c r="T20" s="90"/>
    </row>
    <row r="21" ht="25" customHeight="1" spans="2:20">
      <c r="B21" s="31">
        <v>8</v>
      </c>
      <c r="C21" s="24" t="s">
        <v>46</v>
      </c>
      <c r="D21" s="24"/>
      <c r="E21" s="24"/>
      <c r="F21" s="24"/>
      <c r="G21" s="32">
        <v>191013000009</v>
      </c>
      <c r="H21" s="32"/>
      <c r="I21" s="57" t="s">
        <v>52</v>
      </c>
      <c r="J21" s="57"/>
      <c r="K21" s="58">
        <v>30</v>
      </c>
      <c r="L21" s="58"/>
      <c r="M21" s="59">
        <v>1</v>
      </c>
      <c r="N21" s="59">
        <v>30</v>
      </c>
      <c r="O21" s="59"/>
      <c r="P21" s="60" t="s">
        <v>41</v>
      </c>
      <c r="Q21" s="87" t="s">
        <v>42</v>
      </c>
      <c r="R21" s="88"/>
      <c r="S21" s="89" t="s">
        <v>43</v>
      </c>
      <c r="T21" s="90"/>
    </row>
    <row r="22" ht="25" customHeight="1" spans="2:20">
      <c r="B22" s="31">
        <v>9</v>
      </c>
      <c r="C22" s="24" t="s">
        <v>46</v>
      </c>
      <c r="D22" s="24"/>
      <c r="E22" s="24"/>
      <c r="F22" s="24"/>
      <c r="G22" s="32" t="s">
        <v>39</v>
      </c>
      <c r="H22" s="32"/>
      <c r="I22" s="57" t="s">
        <v>51</v>
      </c>
      <c r="J22" s="57"/>
      <c r="K22" s="58">
        <v>30</v>
      </c>
      <c r="L22" s="58"/>
      <c r="M22" s="59">
        <v>1</v>
      </c>
      <c r="N22" s="59">
        <v>30</v>
      </c>
      <c r="O22" s="59"/>
      <c r="P22" s="60" t="s">
        <v>41</v>
      </c>
      <c r="Q22" s="87" t="s">
        <v>42</v>
      </c>
      <c r="R22" s="88"/>
      <c r="S22" s="89" t="s">
        <v>43</v>
      </c>
      <c r="T22" s="90"/>
    </row>
    <row r="23" ht="25" customHeight="1" spans="2:20">
      <c r="B23" s="31">
        <v>10</v>
      </c>
      <c r="C23" s="24" t="s">
        <v>46</v>
      </c>
      <c r="D23" s="24"/>
      <c r="E23" s="24"/>
      <c r="F23" s="24"/>
      <c r="G23" s="32" t="s">
        <v>39</v>
      </c>
      <c r="H23" s="32"/>
      <c r="I23" s="57" t="s">
        <v>51</v>
      </c>
      <c r="J23" s="57"/>
      <c r="K23" s="58">
        <v>30</v>
      </c>
      <c r="L23" s="58"/>
      <c r="M23" s="59">
        <v>1</v>
      </c>
      <c r="N23" s="59">
        <v>30</v>
      </c>
      <c r="O23" s="59"/>
      <c r="P23" s="60" t="s">
        <v>41</v>
      </c>
      <c r="Q23" s="87" t="s">
        <v>42</v>
      </c>
      <c r="R23" s="88"/>
      <c r="S23" s="89" t="s">
        <v>43</v>
      </c>
      <c r="T23" s="90"/>
    </row>
    <row r="24" ht="25" customHeight="1" spans="2:20">
      <c r="B24" s="31">
        <v>11</v>
      </c>
      <c r="C24" s="24" t="s">
        <v>46</v>
      </c>
      <c r="D24" s="24"/>
      <c r="E24" s="24"/>
      <c r="F24" s="24"/>
      <c r="G24" s="32" t="s">
        <v>39</v>
      </c>
      <c r="H24" s="32"/>
      <c r="I24" s="57" t="s">
        <v>51</v>
      </c>
      <c r="J24" s="57"/>
      <c r="K24" s="58">
        <v>30</v>
      </c>
      <c r="L24" s="58"/>
      <c r="M24" s="59">
        <v>1</v>
      </c>
      <c r="N24" s="59">
        <v>30</v>
      </c>
      <c r="O24" s="59"/>
      <c r="P24" s="61" t="s">
        <v>53</v>
      </c>
      <c r="Q24" s="88" t="s">
        <v>54</v>
      </c>
      <c r="R24" s="88"/>
      <c r="S24" s="89" t="s">
        <v>43</v>
      </c>
      <c r="T24" s="90"/>
    </row>
    <row r="25" ht="25" customHeight="1" spans="2:20">
      <c r="B25" s="31">
        <v>12</v>
      </c>
      <c r="C25" s="24" t="s">
        <v>46</v>
      </c>
      <c r="D25" s="24"/>
      <c r="E25" s="24"/>
      <c r="F25" s="24"/>
      <c r="G25" s="32" t="s">
        <v>39</v>
      </c>
      <c r="H25" s="32"/>
      <c r="I25" s="57" t="s">
        <v>51</v>
      </c>
      <c r="J25" s="57"/>
      <c r="K25" s="57">
        <v>30</v>
      </c>
      <c r="L25" s="57"/>
      <c r="M25" s="59">
        <v>1</v>
      </c>
      <c r="N25" s="61">
        <v>30</v>
      </c>
      <c r="O25" s="61"/>
      <c r="P25" s="61" t="s">
        <v>53</v>
      </c>
      <c r="Q25" s="88" t="s">
        <v>55</v>
      </c>
      <c r="R25" s="88"/>
      <c r="S25" s="89" t="s">
        <v>43</v>
      </c>
      <c r="T25" s="90"/>
    </row>
    <row r="26" s="2" customFormat="1" ht="25" customHeight="1" spans="2:21">
      <c r="B26" s="34"/>
      <c r="C26" s="35"/>
      <c r="D26" s="35"/>
      <c r="E26" s="35"/>
      <c r="F26" s="35"/>
      <c r="G26" s="35"/>
      <c r="H26" s="36"/>
      <c r="I26" s="36"/>
      <c r="J26" s="36"/>
      <c r="K26" s="62"/>
      <c r="L26" s="63" t="s">
        <v>56</v>
      </c>
      <c r="M26" s="64"/>
      <c r="N26" s="65">
        <f>SUM(N14:N25)</f>
        <v>75710</v>
      </c>
      <c r="O26" s="65"/>
      <c r="P26" s="66"/>
      <c r="Q26" s="66"/>
      <c r="R26" s="74"/>
      <c r="S26" s="66"/>
      <c r="T26" s="91"/>
      <c r="U26" s="3"/>
    </row>
    <row r="27" ht="1" customHeight="1" spans="2:20">
      <c r="B27" s="37"/>
      <c r="C27" s="38"/>
      <c r="D27" s="38"/>
      <c r="E27" s="38"/>
      <c r="F27" s="38"/>
      <c r="G27" s="38"/>
      <c r="H27" s="39"/>
      <c r="I27" s="39"/>
      <c r="J27" s="39"/>
      <c r="K27" s="67"/>
      <c r="L27" s="68"/>
      <c r="M27" s="69"/>
      <c r="N27" s="67"/>
      <c r="O27" s="70"/>
      <c r="P27" s="70"/>
      <c r="Q27" s="70"/>
      <c r="R27" s="92"/>
      <c r="S27" s="38"/>
      <c r="T27" s="93"/>
    </row>
    <row r="28" ht="25" customHeight="1" spans="2:20">
      <c r="B28" s="26" t="s">
        <v>57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84"/>
    </row>
    <row r="29" ht="25" customHeight="1" spans="2:20">
      <c r="B29" s="28" t="s">
        <v>28</v>
      </c>
      <c r="C29" s="40" t="s">
        <v>58</v>
      </c>
      <c r="D29" s="40"/>
      <c r="E29" s="40"/>
      <c r="F29" s="40"/>
      <c r="G29" s="41" t="s">
        <v>59</v>
      </c>
      <c r="H29" s="41"/>
      <c r="I29" s="71" t="s">
        <v>60</v>
      </c>
      <c r="J29" s="71"/>
      <c r="K29" s="55" t="s">
        <v>34</v>
      </c>
      <c r="L29" s="55"/>
      <c r="M29" s="72" t="s">
        <v>61</v>
      </c>
      <c r="N29" s="72"/>
      <c r="O29" s="73" t="s">
        <v>62</v>
      </c>
      <c r="P29" s="73"/>
      <c r="Q29" s="73" t="s">
        <v>63</v>
      </c>
      <c r="R29" s="73"/>
      <c r="S29" s="94" t="s">
        <v>64</v>
      </c>
      <c r="T29" s="95"/>
    </row>
    <row r="30" ht="25" customHeight="1" spans="2:20">
      <c r="B30" s="31">
        <v>1</v>
      </c>
      <c r="C30" s="24" t="s">
        <v>38</v>
      </c>
      <c r="D30" s="24"/>
      <c r="E30" s="24"/>
      <c r="F30" s="24"/>
      <c r="G30" s="32" t="s">
        <v>39</v>
      </c>
      <c r="H30" s="32"/>
      <c r="I30" s="57" t="s">
        <v>40</v>
      </c>
      <c r="J30" s="57"/>
      <c r="K30" s="59">
        <v>75000</v>
      </c>
      <c r="L30" s="59"/>
      <c r="M30" s="59">
        <v>806.451612903226</v>
      </c>
      <c r="N30" s="59"/>
      <c r="O30" s="58" t="s">
        <v>65</v>
      </c>
      <c r="P30" s="58"/>
      <c r="Q30" s="88" t="s">
        <v>66</v>
      </c>
      <c r="R30" s="88"/>
      <c r="S30" s="89" t="s">
        <v>43</v>
      </c>
      <c r="T30" s="90"/>
    </row>
    <row r="31" ht="25" customHeight="1" spans="2:20">
      <c r="B31" s="31">
        <v>2</v>
      </c>
      <c r="C31" s="33" t="s">
        <v>44</v>
      </c>
      <c r="D31" s="24"/>
      <c r="E31" s="24"/>
      <c r="F31" s="24"/>
      <c r="G31" s="32" t="s">
        <v>39</v>
      </c>
      <c r="H31" s="32"/>
      <c r="I31" s="57" t="s">
        <v>45</v>
      </c>
      <c r="J31" s="57"/>
      <c r="K31" s="59">
        <v>350</v>
      </c>
      <c r="L31" s="59"/>
      <c r="M31" s="59">
        <v>3.76344086021505</v>
      </c>
      <c r="N31" s="59"/>
      <c r="O31" s="58" t="s">
        <v>65</v>
      </c>
      <c r="P31" s="58"/>
      <c r="Q31" s="88" t="s">
        <v>67</v>
      </c>
      <c r="R31" s="88"/>
      <c r="S31" s="89" t="s">
        <v>43</v>
      </c>
      <c r="T31" s="90"/>
    </row>
    <row r="32" ht="25" customHeight="1" spans="2:20">
      <c r="B32" s="31">
        <v>3</v>
      </c>
      <c r="C32" s="24" t="s">
        <v>46</v>
      </c>
      <c r="D32" s="24"/>
      <c r="E32" s="24"/>
      <c r="F32" s="24"/>
      <c r="G32" s="32" t="s">
        <v>39</v>
      </c>
      <c r="H32" s="32"/>
      <c r="I32" s="57" t="s">
        <v>47</v>
      </c>
      <c r="J32" s="57"/>
      <c r="K32" s="59">
        <v>30</v>
      </c>
      <c r="L32" s="59"/>
      <c r="M32" s="59">
        <v>0.32258064516129</v>
      </c>
      <c r="N32" s="59"/>
      <c r="O32" s="58" t="s">
        <v>65</v>
      </c>
      <c r="P32" s="58"/>
      <c r="Q32" s="88" t="s">
        <v>68</v>
      </c>
      <c r="R32" s="88"/>
      <c r="S32" s="89" t="s">
        <v>43</v>
      </c>
      <c r="T32" s="90"/>
    </row>
    <row r="33" ht="25" customHeight="1" spans="2:20">
      <c r="B33" s="31">
        <v>4</v>
      </c>
      <c r="C33" s="24" t="s">
        <v>46</v>
      </c>
      <c r="D33" s="24"/>
      <c r="E33" s="24"/>
      <c r="F33" s="24"/>
      <c r="G33" s="32" t="s">
        <v>39</v>
      </c>
      <c r="H33" s="32"/>
      <c r="I33" s="57" t="s">
        <v>48</v>
      </c>
      <c r="J33" s="57"/>
      <c r="K33" s="59">
        <v>30</v>
      </c>
      <c r="L33" s="59"/>
      <c r="M33" s="59">
        <v>0.32258064516129</v>
      </c>
      <c r="N33" s="59"/>
      <c r="O33" s="58" t="s">
        <v>65</v>
      </c>
      <c r="P33" s="58"/>
      <c r="Q33" s="88" t="s">
        <v>69</v>
      </c>
      <c r="R33" s="88"/>
      <c r="S33" s="89" t="s">
        <v>43</v>
      </c>
      <c r="T33" s="90"/>
    </row>
    <row r="34" ht="25" customHeight="1" spans="2:20">
      <c r="B34" s="31">
        <v>5</v>
      </c>
      <c r="C34" s="24" t="s">
        <v>46</v>
      </c>
      <c r="D34" s="24"/>
      <c r="E34" s="24"/>
      <c r="F34" s="24"/>
      <c r="G34" s="32" t="s">
        <v>39</v>
      </c>
      <c r="H34" s="32"/>
      <c r="I34" s="57" t="s">
        <v>49</v>
      </c>
      <c r="J34" s="57"/>
      <c r="K34" s="59">
        <v>60</v>
      </c>
      <c r="L34" s="59"/>
      <c r="M34" s="59">
        <v>0.645161290322581</v>
      </c>
      <c r="N34" s="59"/>
      <c r="O34" s="58" t="s">
        <v>65</v>
      </c>
      <c r="P34" s="58"/>
      <c r="Q34" s="88" t="s">
        <v>70</v>
      </c>
      <c r="R34" s="88"/>
      <c r="S34" s="89" t="s">
        <v>43</v>
      </c>
      <c r="T34" s="90"/>
    </row>
    <row r="35" ht="25" customHeight="1" spans="2:20">
      <c r="B35" s="31">
        <v>6</v>
      </c>
      <c r="C35" s="24" t="s">
        <v>46</v>
      </c>
      <c r="D35" s="24"/>
      <c r="E35" s="24"/>
      <c r="F35" s="24"/>
      <c r="G35" s="32">
        <v>190922000006</v>
      </c>
      <c r="H35" s="32"/>
      <c r="I35" s="57" t="s">
        <v>50</v>
      </c>
      <c r="J35" s="57"/>
      <c r="K35" s="59">
        <v>30</v>
      </c>
      <c r="L35" s="59"/>
      <c r="M35" s="59">
        <v>0.32258064516129</v>
      </c>
      <c r="N35" s="59"/>
      <c r="O35" s="58" t="s">
        <v>65</v>
      </c>
      <c r="P35" s="58"/>
      <c r="Q35" s="88" t="s">
        <v>71</v>
      </c>
      <c r="R35" s="88"/>
      <c r="S35" s="89" t="s">
        <v>43</v>
      </c>
      <c r="T35" s="90"/>
    </row>
    <row r="36" ht="25" customHeight="1" spans="2:20">
      <c r="B36" s="31">
        <v>7</v>
      </c>
      <c r="C36" s="24" t="s">
        <v>46</v>
      </c>
      <c r="D36" s="24"/>
      <c r="E36" s="24"/>
      <c r="F36" s="24"/>
      <c r="G36" s="32">
        <v>190922000006</v>
      </c>
      <c r="H36" s="32"/>
      <c r="I36" s="57" t="s">
        <v>51</v>
      </c>
      <c r="J36" s="57"/>
      <c r="K36" s="59">
        <v>60</v>
      </c>
      <c r="L36" s="59"/>
      <c r="M36" s="59">
        <v>0.645161290322581</v>
      </c>
      <c r="N36" s="59"/>
      <c r="O36" s="58" t="s">
        <v>65</v>
      </c>
      <c r="P36" s="58"/>
      <c r="Q36" s="88" t="s">
        <v>72</v>
      </c>
      <c r="R36" s="88"/>
      <c r="S36" s="89" t="s">
        <v>43</v>
      </c>
      <c r="T36" s="90"/>
    </row>
    <row r="37" ht="25" customHeight="1" spans="2:20">
      <c r="B37" s="31">
        <v>8</v>
      </c>
      <c r="C37" s="24" t="s">
        <v>46</v>
      </c>
      <c r="D37" s="24"/>
      <c r="E37" s="24"/>
      <c r="F37" s="24"/>
      <c r="G37" s="32">
        <v>191013000009</v>
      </c>
      <c r="H37" s="32"/>
      <c r="I37" s="57" t="s">
        <v>52</v>
      </c>
      <c r="J37" s="57"/>
      <c r="K37" s="59">
        <v>30</v>
      </c>
      <c r="L37" s="59"/>
      <c r="M37" s="59">
        <v>0.32258064516129</v>
      </c>
      <c r="N37" s="59"/>
      <c r="O37" s="58" t="s">
        <v>65</v>
      </c>
      <c r="P37" s="58"/>
      <c r="Q37" s="88" t="s">
        <v>73</v>
      </c>
      <c r="R37" s="88"/>
      <c r="S37" s="89" t="s">
        <v>43</v>
      </c>
      <c r="T37" s="90"/>
    </row>
    <row r="38" ht="25" customHeight="1" spans="2:20">
      <c r="B38" s="31">
        <v>9</v>
      </c>
      <c r="C38" s="24" t="s">
        <v>46</v>
      </c>
      <c r="D38" s="24"/>
      <c r="E38" s="24"/>
      <c r="F38" s="24"/>
      <c r="G38" s="32" t="s">
        <v>39</v>
      </c>
      <c r="H38" s="32"/>
      <c r="I38" s="57" t="s">
        <v>51</v>
      </c>
      <c r="J38" s="57"/>
      <c r="K38" s="59">
        <v>30</v>
      </c>
      <c r="L38" s="59"/>
      <c r="M38" s="59">
        <v>0.32258064516129</v>
      </c>
      <c r="N38" s="59"/>
      <c r="O38" s="58" t="s">
        <v>65</v>
      </c>
      <c r="P38" s="58"/>
      <c r="Q38" s="88" t="s">
        <v>74</v>
      </c>
      <c r="R38" s="88"/>
      <c r="S38" s="89" t="s">
        <v>43</v>
      </c>
      <c r="T38" s="90"/>
    </row>
    <row r="39" ht="25" customHeight="1" spans="2:20">
      <c r="B39" s="31">
        <v>10</v>
      </c>
      <c r="C39" s="24" t="s">
        <v>46</v>
      </c>
      <c r="D39" s="24"/>
      <c r="E39" s="24"/>
      <c r="F39" s="24"/>
      <c r="G39" s="32" t="s">
        <v>39</v>
      </c>
      <c r="H39" s="32"/>
      <c r="I39" s="57" t="s">
        <v>51</v>
      </c>
      <c r="J39" s="57"/>
      <c r="K39" s="59">
        <v>30</v>
      </c>
      <c r="L39" s="59"/>
      <c r="M39" s="59">
        <v>0.32258064516129</v>
      </c>
      <c r="N39" s="59"/>
      <c r="O39" s="58" t="s">
        <v>65</v>
      </c>
      <c r="P39" s="58"/>
      <c r="Q39" s="88" t="s">
        <v>75</v>
      </c>
      <c r="R39" s="88"/>
      <c r="S39" s="89" t="s">
        <v>43</v>
      </c>
      <c r="T39" s="90"/>
    </row>
    <row r="40" ht="25" customHeight="1" spans="2:20">
      <c r="B40" s="31">
        <v>11</v>
      </c>
      <c r="C40" s="24" t="s">
        <v>46</v>
      </c>
      <c r="D40" s="24"/>
      <c r="E40" s="24"/>
      <c r="F40" s="24"/>
      <c r="G40" s="32" t="s">
        <v>39</v>
      </c>
      <c r="H40" s="32"/>
      <c r="I40" s="57" t="s">
        <v>51</v>
      </c>
      <c r="J40" s="57"/>
      <c r="K40" s="59">
        <v>30</v>
      </c>
      <c r="L40" s="59"/>
      <c r="M40" s="59">
        <v>0.32258064516129</v>
      </c>
      <c r="N40" s="59"/>
      <c r="O40" s="58" t="s">
        <v>65</v>
      </c>
      <c r="P40" s="58"/>
      <c r="Q40" s="88" t="s">
        <v>76</v>
      </c>
      <c r="R40" s="88"/>
      <c r="S40" s="89" t="s">
        <v>43</v>
      </c>
      <c r="T40" s="90"/>
    </row>
    <row r="41" ht="25" customHeight="1" spans="2:20">
      <c r="B41" s="31">
        <v>12</v>
      </c>
      <c r="C41" s="24" t="s">
        <v>46</v>
      </c>
      <c r="D41" s="24"/>
      <c r="E41" s="24"/>
      <c r="F41" s="24"/>
      <c r="G41" s="32" t="s">
        <v>39</v>
      </c>
      <c r="H41" s="32"/>
      <c r="I41" s="57" t="s">
        <v>51</v>
      </c>
      <c r="J41" s="57"/>
      <c r="K41" s="61">
        <v>30</v>
      </c>
      <c r="L41" s="61"/>
      <c r="M41" s="59">
        <v>0.32258064516129</v>
      </c>
      <c r="N41" s="59"/>
      <c r="O41" s="58" t="s">
        <v>65</v>
      </c>
      <c r="P41" s="58"/>
      <c r="Q41" s="88" t="s">
        <v>77</v>
      </c>
      <c r="R41" s="88"/>
      <c r="S41" s="89" t="s">
        <v>43</v>
      </c>
      <c r="T41" s="90"/>
    </row>
    <row r="42" ht="25" customHeight="1" spans="2:20">
      <c r="B42" s="34"/>
      <c r="C42" s="35"/>
      <c r="D42" s="35"/>
      <c r="E42" s="35"/>
      <c r="F42" s="35"/>
      <c r="G42" s="35"/>
      <c r="H42" s="36"/>
      <c r="I42" s="63" t="s">
        <v>56</v>
      </c>
      <c r="J42" s="64"/>
      <c r="K42" s="65">
        <f>SUM(K30:K41)</f>
        <v>75710</v>
      </c>
      <c r="L42" s="65"/>
      <c r="M42" s="65">
        <f>SUM(M30:M41)</f>
        <v>814.086021505377</v>
      </c>
      <c r="N42" s="65"/>
      <c r="O42" s="62"/>
      <c r="P42" s="74"/>
      <c r="Q42" s="74"/>
      <c r="R42" s="74"/>
      <c r="S42" s="74"/>
      <c r="T42" s="96"/>
    </row>
    <row r="43" ht="25" customHeight="1" spans="2:20">
      <c r="B43" s="42" t="s">
        <v>78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97"/>
    </row>
  </sheetData>
  <mergeCells count="267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E10:F10"/>
    <mergeCell ref="G10:H10"/>
    <mergeCell ref="I10:J10"/>
    <mergeCell ref="K10:L10"/>
    <mergeCell ref="M10:N10"/>
    <mergeCell ref="O10:P10"/>
    <mergeCell ref="Q10:R10"/>
    <mergeCell ref="S10:T10"/>
    <mergeCell ref="B11:T11"/>
    <mergeCell ref="B12:T12"/>
    <mergeCell ref="C13:F13"/>
    <mergeCell ref="G13:H13"/>
    <mergeCell ref="I13:J13"/>
    <mergeCell ref="K13:L13"/>
    <mergeCell ref="N13:O13"/>
    <mergeCell ref="Q13:R13"/>
    <mergeCell ref="S13:T13"/>
    <mergeCell ref="C14:F14"/>
    <mergeCell ref="G14:H14"/>
    <mergeCell ref="I14:J14"/>
    <mergeCell ref="K14:L14"/>
    <mergeCell ref="N14:O14"/>
    <mergeCell ref="Q14:R14"/>
    <mergeCell ref="S14:T14"/>
    <mergeCell ref="C15:F15"/>
    <mergeCell ref="G15:H15"/>
    <mergeCell ref="I15:J15"/>
    <mergeCell ref="K15:L15"/>
    <mergeCell ref="N15:O15"/>
    <mergeCell ref="Q15:R15"/>
    <mergeCell ref="S15:T15"/>
    <mergeCell ref="C16:F16"/>
    <mergeCell ref="G16:H16"/>
    <mergeCell ref="I16:J16"/>
    <mergeCell ref="K16:L16"/>
    <mergeCell ref="N16:O16"/>
    <mergeCell ref="Q16:R16"/>
    <mergeCell ref="S16:T16"/>
    <mergeCell ref="C17:F17"/>
    <mergeCell ref="G17:H17"/>
    <mergeCell ref="I17:J17"/>
    <mergeCell ref="K17:L17"/>
    <mergeCell ref="N17:O17"/>
    <mergeCell ref="Q17:R17"/>
    <mergeCell ref="S17:T17"/>
    <mergeCell ref="C18:F18"/>
    <mergeCell ref="G18:H18"/>
    <mergeCell ref="I18:J18"/>
    <mergeCell ref="K18:L18"/>
    <mergeCell ref="N18:O18"/>
    <mergeCell ref="Q18:R18"/>
    <mergeCell ref="S18:T18"/>
    <mergeCell ref="C19:F19"/>
    <mergeCell ref="G19:H19"/>
    <mergeCell ref="I19:J19"/>
    <mergeCell ref="K19:L19"/>
    <mergeCell ref="N19:O19"/>
    <mergeCell ref="Q19:R19"/>
    <mergeCell ref="S19:T19"/>
    <mergeCell ref="C20:F20"/>
    <mergeCell ref="G20:H20"/>
    <mergeCell ref="I20:J20"/>
    <mergeCell ref="K20:L20"/>
    <mergeCell ref="N20:O20"/>
    <mergeCell ref="Q20:R20"/>
    <mergeCell ref="S20:T20"/>
    <mergeCell ref="C21:F21"/>
    <mergeCell ref="G21:H21"/>
    <mergeCell ref="I21:J21"/>
    <mergeCell ref="K21:L21"/>
    <mergeCell ref="N21:O21"/>
    <mergeCell ref="Q21:R21"/>
    <mergeCell ref="S21:T21"/>
    <mergeCell ref="C22:F22"/>
    <mergeCell ref="G22:H22"/>
    <mergeCell ref="I22:J22"/>
    <mergeCell ref="K22:L22"/>
    <mergeCell ref="N22:O22"/>
    <mergeCell ref="Q22:R22"/>
    <mergeCell ref="S22:T22"/>
    <mergeCell ref="C23:F23"/>
    <mergeCell ref="G23:H23"/>
    <mergeCell ref="I23:J23"/>
    <mergeCell ref="K23:L23"/>
    <mergeCell ref="N23:O23"/>
    <mergeCell ref="Q23:R23"/>
    <mergeCell ref="S23:T23"/>
    <mergeCell ref="C24:F24"/>
    <mergeCell ref="G24:H24"/>
    <mergeCell ref="I24:J24"/>
    <mergeCell ref="K24:L24"/>
    <mergeCell ref="N24:O24"/>
    <mergeCell ref="Q24:R24"/>
    <mergeCell ref="S24:T24"/>
    <mergeCell ref="C25:F25"/>
    <mergeCell ref="G25:H25"/>
    <mergeCell ref="I25:J25"/>
    <mergeCell ref="K25:L25"/>
    <mergeCell ref="N25:O25"/>
    <mergeCell ref="Q25:R25"/>
    <mergeCell ref="S25:T25"/>
    <mergeCell ref="L26:M26"/>
    <mergeCell ref="N26:O26"/>
    <mergeCell ref="B28:T28"/>
    <mergeCell ref="C29:F29"/>
    <mergeCell ref="G29:H29"/>
    <mergeCell ref="I29:J29"/>
    <mergeCell ref="K29:L29"/>
    <mergeCell ref="M29:N29"/>
    <mergeCell ref="O29:P29"/>
    <mergeCell ref="Q29:R29"/>
    <mergeCell ref="S29:T29"/>
    <mergeCell ref="C30:F30"/>
    <mergeCell ref="G30:H30"/>
    <mergeCell ref="I30:J30"/>
    <mergeCell ref="K30:L30"/>
    <mergeCell ref="M30:N30"/>
    <mergeCell ref="O30:P30"/>
    <mergeCell ref="Q30:R30"/>
    <mergeCell ref="S30:T30"/>
    <mergeCell ref="C31:F31"/>
    <mergeCell ref="G31:H31"/>
    <mergeCell ref="I31:J31"/>
    <mergeCell ref="K31:L31"/>
    <mergeCell ref="M31:N31"/>
    <mergeCell ref="O31:P31"/>
    <mergeCell ref="Q31:R31"/>
    <mergeCell ref="S31:T31"/>
    <mergeCell ref="C32:F32"/>
    <mergeCell ref="G32:H32"/>
    <mergeCell ref="I32:J32"/>
    <mergeCell ref="K32:L32"/>
    <mergeCell ref="M32:N32"/>
    <mergeCell ref="O32:P32"/>
    <mergeCell ref="Q32:R32"/>
    <mergeCell ref="S32:T32"/>
    <mergeCell ref="C33:F33"/>
    <mergeCell ref="G33:H33"/>
    <mergeCell ref="I33:J33"/>
    <mergeCell ref="K33:L33"/>
    <mergeCell ref="M33:N33"/>
    <mergeCell ref="O33:P33"/>
    <mergeCell ref="Q33:R33"/>
    <mergeCell ref="S33:T33"/>
    <mergeCell ref="C34:F34"/>
    <mergeCell ref="G34:H34"/>
    <mergeCell ref="I34:J34"/>
    <mergeCell ref="K34:L34"/>
    <mergeCell ref="M34:N34"/>
    <mergeCell ref="O34:P34"/>
    <mergeCell ref="Q34:R34"/>
    <mergeCell ref="S34:T34"/>
    <mergeCell ref="C35:F35"/>
    <mergeCell ref="G35:H35"/>
    <mergeCell ref="I35:J35"/>
    <mergeCell ref="K35:L35"/>
    <mergeCell ref="M35:N35"/>
    <mergeCell ref="O35:P35"/>
    <mergeCell ref="Q35:R35"/>
    <mergeCell ref="S35:T35"/>
    <mergeCell ref="C36:F36"/>
    <mergeCell ref="G36:H36"/>
    <mergeCell ref="I36:J36"/>
    <mergeCell ref="K36:L36"/>
    <mergeCell ref="M36:N36"/>
    <mergeCell ref="O36:P36"/>
    <mergeCell ref="Q36:R36"/>
    <mergeCell ref="S36:T36"/>
    <mergeCell ref="C37:F37"/>
    <mergeCell ref="G37:H37"/>
    <mergeCell ref="I37:J37"/>
    <mergeCell ref="K37:L37"/>
    <mergeCell ref="M37:N37"/>
    <mergeCell ref="O37:P37"/>
    <mergeCell ref="Q37:R37"/>
    <mergeCell ref="S37:T37"/>
    <mergeCell ref="C38:F38"/>
    <mergeCell ref="G38:H38"/>
    <mergeCell ref="I38:J38"/>
    <mergeCell ref="K38:L38"/>
    <mergeCell ref="M38:N38"/>
    <mergeCell ref="O38:P38"/>
    <mergeCell ref="Q38:R38"/>
    <mergeCell ref="S38:T38"/>
    <mergeCell ref="C39:F39"/>
    <mergeCell ref="G39:H39"/>
    <mergeCell ref="I39:J39"/>
    <mergeCell ref="K39:L39"/>
    <mergeCell ref="M39:N39"/>
    <mergeCell ref="O39:P39"/>
    <mergeCell ref="Q39:R39"/>
    <mergeCell ref="S39:T39"/>
    <mergeCell ref="C40:F40"/>
    <mergeCell ref="G40:H40"/>
    <mergeCell ref="I40:J40"/>
    <mergeCell ref="K40:L40"/>
    <mergeCell ref="M40:N40"/>
    <mergeCell ref="O40:P40"/>
    <mergeCell ref="Q40:R40"/>
    <mergeCell ref="S40:T40"/>
    <mergeCell ref="C41:F41"/>
    <mergeCell ref="G41:H41"/>
    <mergeCell ref="I41:J41"/>
    <mergeCell ref="K41:L41"/>
    <mergeCell ref="M41:N41"/>
    <mergeCell ref="O41:P41"/>
    <mergeCell ref="Q41:R41"/>
    <mergeCell ref="S41:T41"/>
    <mergeCell ref="I42:J42"/>
    <mergeCell ref="K42:L42"/>
    <mergeCell ref="M42:N42"/>
    <mergeCell ref="B43:T4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2022-07-04T07:23:00Z</dcterms:created>
  <dcterms:modified xsi:type="dcterms:W3CDTF">2022-07-06T07:30:41Z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2C8B9095C0444DAFB5A71D90E76508ED</vt:lpwstr>
  </property>
  <property fmtid="{D5CDD505-2E9C-101B-9397-08002B2CF9AE}" pid="3" name="KSOProductBuildVer">
    <vt:lpwstr>2052-11.1.0.11830</vt:lpwstr>
  </property>
</Properties>
</file>