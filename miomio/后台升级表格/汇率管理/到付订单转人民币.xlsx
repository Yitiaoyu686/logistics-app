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展开" sheetId="1" r:id="rId1"/>
  </sheets>
  <calcPr calcId="144525"/>
</workbook>
</file>

<file path=xl/sharedStrings.xml><?xml version="1.0" encoding="utf-8"?>
<sst xmlns="http://schemas.openxmlformats.org/spreadsheetml/2006/main" count="209" uniqueCount="80">
  <si>
    <t>工单详情</t>
  </si>
  <si>
    <r>
      <rPr>
        <b/>
        <sz val="11"/>
        <color theme="1"/>
        <rFont val="宋体"/>
        <charset val="134"/>
      </rPr>
      <t>服务类型：普快</t>
    </r>
  </si>
  <si>
    <r>
      <rPr>
        <b/>
        <sz val="11"/>
        <color theme="1"/>
        <rFont val="宋体"/>
        <charset val="134"/>
      </rPr>
      <t>提单号：</t>
    </r>
    <r>
      <rPr>
        <b/>
        <sz val="11"/>
        <color theme="1"/>
        <rFont val="Arial"/>
        <charset val="134"/>
      </rPr>
      <t>071-35618004</t>
    </r>
  </si>
  <si>
    <r>
      <rPr>
        <b/>
        <sz val="11"/>
        <color theme="1"/>
        <rFont val="宋体"/>
        <charset val="134"/>
      </rPr>
      <t>承运人：</t>
    </r>
    <r>
      <rPr>
        <b/>
        <sz val="11"/>
        <color theme="1"/>
        <rFont val="Arial"/>
        <charset val="134"/>
      </rPr>
      <t>ET</t>
    </r>
  </si>
  <si>
    <r>
      <rPr>
        <b/>
        <sz val="11"/>
        <color theme="1"/>
        <rFont val="宋体"/>
        <charset val="134"/>
      </rPr>
      <t>件数：</t>
    </r>
    <r>
      <rPr>
        <b/>
        <sz val="11"/>
        <color theme="1"/>
        <rFont val="Arial"/>
        <charset val="134"/>
      </rPr>
      <t>50</t>
    </r>
  </si>
  <si>
    <r>
      <rPr>
        <b/>
        <sz val="11"/>
        <color theme="1"/>
        <rFont val="宋体"/>
        <charset val="134"/>
      </rPr>
      <t>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2500</t>
    </r>
  </si>
  <si>
    <r>
      <rPr>
        <b/>
        <sz val="11"/>
        <color theme="1"/>
        <rFont val="宋体"/>
        <charset val="134"/>
      </rPr>
      <t>起运港：</t>
    </r>
    <r>
      <rPr>
        <b/>
        <sz val="11"/>
        <color theme="1"/>
        <rFont val="Arial"/>
        <charset val="134"/>
      </rPr>
      <t>CAN</t>
    </r>
  </si>
  <si>
    <r>
      <rPr>
        <b/>
        <sz val="11"/>
        <color theme="1"/>
        <rFont val="宋体"/>
        <charset val="134"/>
      </rPr>
      <t>目的港：</t>
    </r>
    <r>
      <rPr>
        <b/>
        <sz val="11"/>
        <color theme="1"/>
        <rFont val="Arial"/>
        <charset val="134"/>
      </rPr>
      <t>LOS</t>
    </r>
  </si>
  <si>
    <t>离库日期2019/8/28 15:01:22</t>
  </si>
  <si>
    <r>
      <rPr>
        <sz val="9"/>
        <color theme="1"/>
        <rFont val="宋体"/>
        <charset val="134"/>
      </rPr>
      <t>离港日期：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</si>
  <si>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宋体"/>
        <charset val="134"/>
      </rPr>
      <t>到港日期</t>
    </r>
    <r>
      <rPr>
        <sz val="9"/>
        <color theme="1"/>
        <rFont val="Arial"/>
        <charset val="134"/>
      </rPr>
      <t>2019/8/28 15:01:22</t>
    </r>
  </si>
  <si>
    <t>站点</t>
  </si>
  <si>
    <t>JOB</t>
  </si>
  <si>
    <t>订单数量</t>
  </si>
  <si>
    <t>件数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</si>
  <si>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</si>
  <si>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t>重量占比</t>
  </si>
  <si>
    <t>应收占比</t>
  </si>
  <si>
    <t>应付占比</t>
  </si>
  <si>
    <t>收回比例</t>
  </si>
  <si>
    <t>利润比例</t>
  </si>
  <si>
    <t>*白云站点</t>
  </si>
  <si>
    <t>JOB123456</t>
  </si>
  <si>
    <r>
      <rPr>
        <sz val="9"/>
        <color theme="1"/>
        <rFont val="Microsoft JhengHei"/>
        <charset val="134"/>
      </rPr>
      <t>海珠站点</t>
    </r>
  </si>
  <si>
    <t>JOB123457</t>
  </si>
  <si>
    <r>
      <rPr>
        <sz val="9"/>
        <color theme="1"/>
        <rFont val="Microsoft JhengHei"/>
        <charset val="134"/>
      </rPr>
      <t>深圳站点</t>
    </r>
  </si>
  <si>
    <t>JOB123458</t>
  </si>
  <si>
    <t>到付订单折合CNY</t>
  </si>
  <si>
    <r>
      <rPr>
        <b/>
        <sz val="9"/>
        <color theme="1"/>
        <rFont val="宋体"/>
        <charset val="134"/>
      </rPr>
      <t>站点</t>
    </r>
    <r>
      <rPr>
        <b/>
        <sz val="9"/>
        <color theme="1"/>
        <rFont val="Arial"/>
        <charset val="134"/>
      </rPr>
      <t>/JOB</t>
    </r>
  </si>
  <si>
    <r>
      <rPr>
        <b/>
        <sz val="9"/>
        <color theme="1"/>
        <rFont val="宋体"/>
        <charset val="134"/>
      </rPr>
      <t>订单号</t>
    </r>
  </si>
  <si>
    <r>
      <rPr>
        <b/>
        <sz val="9"/>
        <color theme="1"/>
        <rFont val="宋体"/>
        <charset val="134"/>
      </rPr>
      <t>业务员</t>
    </r>
  </si>
  <si>
    <r>
      <rPr>
        <b/>
        <sz val="9"/>
        <color theme="1"/>
        <rFont val="宋体"/>
        <charset val="134"/>
      </rPr>
      <t>重量</t>
    </r>
  </si>
  <si>
    <r>
      <rPr>
        <b/>
        <sz val="9"/>
        <color theme="1"/>
        <rFont val="宋体"/>
        <charset val="134"/>
      </rPr>
      <t>应收</t>
    </r>
    <r>
      <rPr>
        <b/>
        <sz val="9"/>
        <color theme="1"/>
        <rFont val="Arial"/>
        <charset val="134"/>
      </rPr>
      <t>USD</t>
    </r>
  </si>
  <si>
    <r>
      <rPr>
        <b/>
        <sz val="9"/>
        <color theme="1"/>
        <rFont val="宋体"/>
        <charset val="134"/>
      </rPr>
      <t>实收</t>
    </r>
    <r>
      <rPr>
        <b/>
        <sz val="9"/>
        <color theme="1"/>
        <rFont val="Arial"/>
        <charset val="134"/>
      </rPr>
      <t>USD</t>
    </r>
  </si>
  <si>
    <r>
      <rPr>
        <b/>
        <sz val="9"/>
        <color theme="1"/>
        <rFont val="宋体"/>
        <charset val="134"/>
      </rPr>
      <t>实收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</si>
  <si>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宋体"/>
        <charset val="134"/>
      </rPr>
      <t>折合</t>
    </r>
    <r>
      <rPr>
        <b/>
        <sz val="9"/>
        <color theme="1"/>
        <rFont val="Arial"/>
        <charset val="134"/>
      </rPr>
      <t>CNY</t>
    </r>
  </si>
  <si>
    <r>
      <rPr>
        <b/>
        <sz val="9"/>
        <color theme="1"/>
        <rFont val="宋体"/>
        <charset val="134"/>
      </rPr>
      <t>汇率</t>
    </r>
  </si>
  <si>
    <t>换算日期</t>
  </si>
  <si>
    <r>
      <rPr>
        <b/>
        <sz val="9"/>
        <color theme="1"/>
        <rFont val="宋体"/>
        <charset val="134"/>
      </rPr>
      <t>白云区站点</t>
    </r>
    <r>
      <rPr>
        <b/>
        <sz val="9"/>
        <color theme="1"/>
        <rFont val="Arial"/>
        <charset val="134"/>
      </rPr>
      <t>JOB123456</t>
    </r>
  </si>
  <si>
    <r>
      <rPr>
        <sz val="9"/>
        <color theme="1"/>
        <rFont val="宋体"/>
        <charset val="134"/>
      </rPr>
      <t>敏敏</t>
    </r>
    <r>
      <rPr>
        <sz val="9"/>
        <color theme="1"/>
        <rFont val="Arial"/>
        <charset val="134"/>
      </rPr>
      <t>lena</t>
    </r>
  </si>
  <si>
    <t>USD1.00=CNY6.70</t>
  </si>
  <si>
    <t>NGN93.00=CNY1.00</t>
  </si>
  <si>
    <r>
      <rPr>
        <b/>
        <sz val="9"/>
        <color theme="1"/>
        <rFont val="宋体"/>
        <charset val="134"/>
      </rPr>
      <t>海珠区站点</t>
    </r>
    <r>
      <rPr>
        <b/>
        <sz val="9"/>
        <color theme="1"/>
        <rFont val="Arial"/>
        <charset val="134"/>
      </rPr>
      <t>JOB123456</t>
    </r>
  </si>
  <si>
    <r>
      <rPr>
        <b/>
        <sz val="9"/>
        <color theme="1"/>
        <rFont val="宋体"/>
        <charset val="134"/>
      </rPr>
      <t>福田区站点</t>
    </r>
    <r>
      <rPr>
        <b/>
        <sz val="9"/>
        <color theme="1"/>
        <rFont val="Arial"/>
        <charset val="134"/>
      </rPr>
      <t>JOB213456</t>
    </r>
  </si>
  <si>
    <r>
      <rPr>
        <b/>
        <sz val="11"/>
        <color rgb="FFFF0000"/>
        <rFont val="Microsoft JhengHei"/>
        <charset val="134"/>
      </rPr>
      <t xml:space="preserve">目的国应付明细  </t>
    </r>
    <r>
      <rPr>
        <b/>
        <sz val="11"/>
        <color rgb="FF0070C0"/>
        <rFont val="Microsoft JhengHei"/>
        <charset val="134"/>
      </rPr>
      <t>收起</t>
    </r>
  </si>
  <si>
    <t>序号</t>
  </si>
  <si>
    <t>供应商</t>
  </si>
  <si>
    <t>订单号</t>
  </si>
  <si>
    <t>项目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</si>
  <si>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</si>
  <si>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数量</t>
    </r>
  </si>
  <si>
    <r>
      <rPr>
        <b/>
        <sz val="9"/>
        <color rgb="FF393939"/>
        <rFont val="宋体"/>
        <charset val="134"/>
      </rPr>
      <t>小计</t>
    </r>
    <r>
      <rPr>
        <b/>
        <sz val="9"/>
        <color rgb="FF393939"/>
        <rFont val="Arial"/>
        <charset val="134"/>
      </rPr>
      <t>NGN</t>
    </r>
  </si>
  <si>
    <t>支付状态</t>
  </si>
  <si>
    <t>支付途径/日期</t>
  </si>
  <si>
    <t>审核状态/日期</t>
  </si>
  <si>
    <t>Guangzho meow meow International Freight Forwarding Co., Ltd. Shenzhen Branch</t>
  </si>
  <si>
    <r>
      <rPr>
        <sz val="9"/>
        <color theme="1"/>
        <rFont val="宋体"/>
        <charset val="134"/>
      </rPr>
      <t>无</t>
    </r>
  </si>
  <si>
    <r>
      <rPr>
        <sz val="9"/>
        <color theme="1"/>
        <rFont val="Microsoft JhengHei"/>
        <charset val="134"/>
      </rPr>
      <t>空运费</t>
    </r>
  </si>
  <si>
    <t>已付</t>
  </si>
  <si>
    <t>无</t>
  </si>
  <si>
    <r>
      <rPr>
        <sz val="8"/>
        <color rgb="FF0070C0"/>
        <rFont val="宋体"/>
        <charset val="134"/>
      </rPr>
      <t>已审核</t>
    </r>
    <r>
      <rPr>
        <sz val="8"/>
        <color rgb="FF0070C0"/>
        <rFont val="Arial"/>
        <charset val="134"/>
      </rPr>
      <t xml:space="preserve">   CANSAMAO             2019/10/25 23:51:17</t>
    </r>
  </si>
  <si>
    <t>中国广东省广州喵喵国际货运代理有限公司深圳分公司</t>
  </si>
  <si>
    <r>
      <rPr>
        <sz val="9"/>
        <color theme="1"/>
        <rFont val="Microsoft JhengHei"/>
        <charset val="134"/>
      </rPr>
      <t>报关费</t>
    </r>
  </si>
  <si>
    <r>
      <rPr>
        <sz val="9"/>
        <color theme="1"/>
        <rFont val="宋体"/>
        <charset val="134"/>
      </rPr>
      <t>广州喵喵国际货运代理有限公司深圳分公司</t>
    </r>
  </si>
  <si>
    <r>
      <rPr>
        <sz val="9"/>
        <color theme="1"/>
        <rFont val="Microsoft JhengHei"/>
        <charset val="134"/>
      </rPr>
      <t>提货费</t>
    </r>
  </si>
  <si>
    <r>
      <rPr>
        <sz val="9"/>
        <color theme="1"/>
        <rFont val="Microsoft JhengHei"/>
        <charset val="134"/>
      </rPr>
      <t>送货费</t>
    </r>
  </si>
  <si>
    <r>
      <rPr>
        <sz val="9"/>
        <color theme="1"/>
        <rFont val="Microsoft JhengHei"/>
        <charset val="134"/>
      </rPr>
      <t>包装费</t>
    </r>
  </si>
  <si>
    <r>
      <rPr>
        <sz val="9"/>
        <color theme="1"/>
        <rFont val="Microsoft JhengHei"/>
        <charset val="134"/>
      </rPr>
      <t>代垫运费</t>
    </r>
  </si>
  <si>
    <r>
      <rPr>
        <sz val="9"/>
        <color theme="1"/>
        <rFont val="Microsoft JhengHei"/>
        <charset val="134"/>
      </rPr>
      <t>商检费</t>
    </r>
  </si>
  <si>
    <r>
      <rPr>
        <sz val="9"/>
        <color theme="1"/>
        <rFont val="Microsoft JhengHei"/>
        <charset val="134"/>
      </rPr>
      <t>检测费</t>
    </r>
  </si>
  <si>
    <r>
      <rPr>
        <sz val="9"/>
        <color rgb="FF393939"/>
        <rFont val="宋体"/>
        <charset val="134"/>
      </rPr>
      <t>已付</t>
    </r>
  </si>
  <si>
    <r>
      <rPr>
        <sz val="8"/>
        <color rgb="FF393939"/>
        <rFont val="Arial"/>
        <charset val="134"/>
      </rPr>
      <t xml:space="preserve">COMPANY ACC 02765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</si>
  <si>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15:01:22  </t>
    </r>
    <r>
      <rPr>
        <sz val="8"/>
        <color rgb="FF0070C0"/>
        <rFont val="宋体"/>
        <charset val="134"/>
      </rPr>
      <t>查看</t>
    </r>
  </si>
  <si>
    <r>
      <rPr>
        <b/>
        <sz val="11"/>
        <color rgb="FFFF0000"/>
        <rFont val="Microsoft JhengHei"/>
        <charset val="134"/>
      </rPr>
      <t xml:space="preserve">目的国应付折合CNY  </t>
    </r>
    <r>
      <rPr>
        <b/>
        <sz val="11"/>
        <color rgb="FF0070C0"/>
        <rFont val="Microsoft JhengHei"/>
        <charset val="134"/>
      </rPr>
      <t>收起</t>
    </r>
  </si>
  <si>
    <r>
      <rPr>
        <b/>
        <sz val="9"/>
        <color theme="1"/>
        <rFont val="宋体"/>
        <charset val="134"/>
      </rPr>
      <t>供应商</t>
    </r>
  </si>
  <si>
    <r>
      <rPr>
        <b/>
        <sz val="9"/>
        <color theme="1"/>
        <rFont val="宋体"/>
        <charset val="134"/>
      </rPr>
      <t>项目</t>
    </r>
  </si>
  <si>
    <r>
      <rPr>
        <b/>
        <sz val="9"/>
        <color rgb="FF393939"/>
        <rFont val="宋体"/>
        <charset val="134"/>
      </rPr>
      <t>折合</t>
    </r>
    <r>
      <rPr>
        <b/>
        <sz val="9"/>
        <color rgb="FF393939"/>
        <rFont val="Arial"/>
        <charset val="134"/>
      </rPr>
      <t>CNY</t>
    </r>
  </si>
  <si>
    <r>
      <rPr>
        <b/>
        <sz val="9"/>
        <color theme="1"/>
        <rFont val="宋体"/>
        <charset val="134"/>
      </rPr>
      <t>换算日期</t>
    </r>
  </si>
  <si>
    <r>
      <rPr>
        <b/>
        <sz val="9"/>
        <color theme="1"/>
        <rFont val="宋体"/>
        <charset val="134"/>
      </rPr>
      <t>审核状态</t>
    </r>
    <r>
      <rPr>
        <b/>
        <sz val="9"/>
        <color theme="1"/>
        <rFont val="Arial"/>
        <charset val="134"/>
      </rPr>
      <t>/</t>
    </r>
    <r>
      <rPr>
        <b/>
        <sz val="9"/>
        <color theme="1"/>
        <rFont val="宋体"/>
        <charset val="134"/>
      </rPr>
      <t>日期</t>
    </r>
  </si>
  <si>
    <r>
      <rPr>
        <b/>
        <sz val="12"/>
        <color theme="0"/>
        <rFont val="宋体"/>
        <charset val="134"/>
      </rPr>
      <t>返回</t>
    </r>
    <r>
      <rPr>
        <b/>
        <sz val="12"/>
        <color theme="0"/>
        <rFont val="Arial"/>
        <charset val="134"/>
      </rPr>
      <t xml:space="preserve"> </t>
    </r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</si>
</sst>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_ "/>
    <numFmt numFmtId="178" formatCode="#,##0.00_ "/>
    <numFmt numFmtId="179" formatCode="yyyy/m/d\ h:mm;@"/>
  </numFmts>
  <fonts count="48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11"/>
      <color rgb="FFFF0000"/>
      <name val="Microsoft JhengHei"/>
      <charset val="134"/>
    </font>
    <font>
      <b/>
      <sz val="11"/>
      <color rgb="FFFF0000"/>
      <name val="Arial"/>
      <charset val="134"/>
    </font>
    <font>
      <sz val="9"/>
      <color rgb="FF0070C0"/>
      <name val="Arial"/>
      <charset val="134"/>
    </font>
    <font>
      <b/>
      <sz val="10"/>
      <color rgb="FFFF0000"/>
      <name val="Arial"/>
      <charset val="134"/>
    </font>
    <font>
      <b/>
      <sz val="12"/>
      <color theme="0"/>
      <name val="宋体"/>
      <charset val="134"/>
    </font>
    <font>
      <b/>
      <sz val="9"/>
      <color theme="0"/>
      <name val="Arial"/>
      <charset val="134"/>
    </font>
    <font>
      <b/>
      <sz val="9"/>
      <color rgb="FF393939"/>
      <name val="Arial"/>
      <charset val="134"/>
    </font>
    <font>
      <sz val="9"/>
      <color rgb="FF393939"/>
      <name val="Arial"/>
      <charset val="134"/>
    </font>
    <font>
      <sz val="9"/>
      <color rgb="FF393939"/>
      <name val="宋体"/>
      <charset val="134"/>
    </font>
    <font>
      <b/>
      <sz val="11"/>
      <color rgb="FFFF0000"/>
      <name val="宋体"/>
      <charset val="134"/>
    </font>
    <font>
      <sz val="8"/>
      <color rgb="FF0070C0"/>
      <name val="Arial"/>
      <charset val="134"/>
    </font>
    <font>
      <sz val="9"/>
      <color rgb="FFFF0000"/>
      <name val="Arial"/>
      <charset val="134"/>
    </font>
    <font>
      <sz val="8"/>
      <color rgb="FF393939"/>
      <name val="宋体"/>
      <charset val="134"/>
    </font>
    <font>
      <sz val="8"/>
      <color rgb="FF393939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0070C0"/>
      <name val="Microsoft JhengHei"/>
      <charset val="134"/>
    </font>
    <font>
      <b/>
      <sz val="9"/>
      <color rgb="FF393939"/>
      <name val="宋体"/>
      <charset val="134"/>
    </font>
    <font>
      <sz val="8"/>
      <color rgb="FF0070C0"/>
      <name val="宋体"/>
      <charset val="134"/>
    </font>
    <font>
      <b/>
      <sz val="12"/>
      <color theme="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theme="2" tint="-0.1"/>
      </top>
      <bottom/>
      <diagonal/>
    </border>
    <border>
      <left/>
      <right/>
      <top style="thin">
        <color theme="2" tint="-0.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theme="2" tint="-0.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1" borderId="13" applyNumberFormat="0" applyFont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7" fillId="15" borderId="16" applyNumberFormat="0" applyAlignment="0" applyProtection="0">
      <alignment vertical="center"/>
    </xf>
    <xf numFmtId="0" fontId="38" fillId="15" borderId="12" applyNumberFormat="0" applyAlignment="0" applyProtection="0">
      <alignment vertical="center"/>
    </xf>
    <xf numFmtId="0" fontId="39" fillId="16" borderId="17" applyNumberFormat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176" fontId="9" fillId="5" borderId="0" xfId="0" applyNumberFormat="1" applyFont="1" applyFill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177" fontId="9" fillId="5" borderId="3" xfId="0" applyNumberFormat="1" applyFont="1" applyFill="1" applyBorder="1" applyAlignment="1">
      <alignment horizontal="center" vertical="center"/>
    </xf>
    <xf numFmtId="177" fontId="9" fillId="5" borderId="0" xfId="0" applyNumberFormat="1" applyFont="1" applyFill="1" applyBorder="1" applyAlignment="1">
      <alignment horizontal="center" vertical="center"/>
    </xf>
    <xf numFmtId="177" fontId="9" fillId="5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177" fontId="10" fillId="5" borderId="3" xfId="0" applyNumberFormat="1" applyFont="1" applyFill="1" applyBorder="1" applyAlignment="1">
      <alignment horizontal="center" vertical="center" wrapText="1"/>
    </xf>
    <xf numFmtId="177" fontId="13" fillId="2" borderId="0" xfId="0" applyNumberFormat="1" applyFont="1" applyFill="1" applyBorder="1" applyAlignment="1">
      <alignment horizontal="center" vertical="center"/>
    </xf>
    <xf numFmtId="177" fontId="13" fillId="2" borderId="0" xfId="0" applyNumberFormat="1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78" fontId="1" fillId="2" borderId="0" xfId="0" applyNumberFormat="1" applyFont="1" applyFill="1" applyBorder="1" applyAlignment="1">
      <alignment horizontal="center" vertical="center"/>
    </xf>
    <xf numFmtId="177" fontId="9" fillId="5" borderId="3" xfId="0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177" fontId="10" fillId="5" borderId="4" xfId="0" applyNumberFormat="1" applyFont="1" applyFill="1" applyBorder="1" applyAlignment="1">
      <alignment horizontal="center" vertical="center" wrapText="1"/>
    </xf>
    <xf numFmtId="177" fontId="13" fillId="2" borderId="5" xfId="0" applyNumberFormat="1" applyFont="1" applyFill="1" applyBorder="1" applyAlignment="1">
      <alignment horizontal="center" vertical="center"/>
    </xf>
    <xf numFmtId="177" fontId="13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78" fontId="1" fillId="2" borderId="5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177" fontId="10" fillId="5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14" fillId="5" borderId="3" xfId="0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0" fontId="15" fillId="3" borderId="6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0" fillId="5" borderId="5" xfId="0" applyFont="1" applyFill="1" applyBorder="1" applyAlignment="1">
      <alignment horizontal="center" vertical="center" wrapText="1"/>
    </xf>
    <xf numFmtId="178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178" fontId="9" fillId="5" borderId="0" xfId="0" applyNumberFormat="1" applyFont="1" applyFill="1" applyAlignment="1">
      <alignment horizontal="center" vertical="center" wrapText="1"/>
    </xf>
    <xf numFmtId="10" fontId="1" fillId="5" borderId="0" xfId="0" applyNumberFormat="1" applyFont="1" applyFill="1" applyAlignment="1">
      <alignment horizontal="center" vertical="center" wrapText="1"/>
    </xf>
    <xf numFmtId="178" fontId="14" fillId="5" borderId="0" xfId="0" applyNumberFormat="1" applyFont="1" applyFill="1" applyAlignment="1">
      <alignment horizontal="center" vertical="center"/>
    </xf>
    <xf numFmtId="178" fontId="10" fillId="5" borderId="0" xfId="0" applyNumberFormat="1" applyFont="1" applyFill="1" applyAlignment="1">
      <alignment horizontal="center" vertical="center"/>
    </xf>
    <xf numFmtId="178" fontId="9" fillId="5" borderId="0" xfId="0" applyNumberFormat="1" applyFont="1" applyFill="1" applyBorder="1" applyAlignment="1">
      <alignment horizontal="center" vertical="center"/>
    </xf>
    <xf numFmtId="178" fontId="17" fillId="5" borderId="0" xfId="0" applyNumberFormat="1" applyFont="1" applyFill="1" applyBorder="1" applyAlignment="1">
      <alignment horizontal="center" vertical="center" wrapText="1"/>
    </xf>
    <xf numFmtId="178" fontId="10" fillId="5" borderId="0" xfId="0" applyNumberFormat="1" applyFont="1" applyFill="1" applyBorder="1" applyAlignment="1">
      <alignment horizontal="center" vertical="center" wrapText="1"/>
    </xf>
    <xf numFmtId="178" fontId="18" fillId="2" borderId="0" xfId="0" applyNumberFormat="1" applyFont="1" applyFill="1" applyBorder="1" applyAlignment="1">
      <alignment horizontal="center" vertical="center" wrapText="1"/>
    </xf>
    <xf numFmtId="178" fontId="19" fillId="2" borderId="0" xfId="0" applyNumberFormat="1" applyFont="1" applyFill="1" applyAlignment="1">
      <alignment horizontal="center" vertical="center" wrapText="1"/>
    </xf>
    <xf numFmtId="178" fontId="18" fillId="2" borderId="0" xfId="0" applyNumberFormat="1" applyFont="1" applyFill="1" applyAlignment="1">
      <alignment horizontal="center" vertical="center" wrapText="1"/>
    </xf>
    <xf numFmtId="178" fontId="12" fillId="5" borderId="0" xfId="0" applyNumberFormat="1" applyFont="1" applyFill="1" applyAlignment="1">
      <alignment vertical="center" wrapText="1"/>
    </xf>
    <xf numFmtId="178" fontId="20" fillId="5" borderId="0" xfId="0" applyNumberFormat="1" applyFont="1" applyFill="1" applyAlignment="1">
      <alignment horizontal="right" vertical="center" wrapText="1"/>
    </xf>
    <xf numFmtId="178" fontId="12" fillId="5" borderId="0" xfId="0" applyNumberFormat="1" applyFont="1" applyFill="1" applyAlignment="1">
      <alignment horizontal="right" vertical="center" wrapText="1"/>
    </xf>
    <xf numFmtId="178" fontId="12" fillId="5" borderId="0" xfId="0" applyNumberFormat="1" applyFont="1" applyFill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/>
    </xf>
    <xf numFmtId="178" fontId="9" fillId="5" borderId="0" xfId="0" applyNumberFormat="1" applyFont="1" applyFill="1" applyAlignment="1">
      <alignment horizontal="center" vertical="center"/>
    </xf>
    <xf numFmtId="178" fontId="17" fillId="5" borderId="0" xfId="0" applyNumberFormat="1" applyFont="1" applyFill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4" borderId="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/>
    </xf>
    <xf numFmtId="10" fontId="1" fillId="2" borderId="9" xfId="0" applyNumberFormat="1" applyFont="1" applyFill="1" applyBorder="1" applyAlignment="1">
      <alignment horizontal="center" vertical="center"/>
    </xf>
    <xf numFmtId="10" fontId="1" fillId="2" borderId="9" xfId="0" applyNumberFormat="1" applyFont="1" applyFill="1" applyBorder="1" applyAlignment="1">
      <alignment horizontal="center" vertical="center" wrapText="1"/>
    </xf>
    <xf numFmtId="10" fontId="1" fillId="5" borderId="9" xfId="0" applyNumberFormat="1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/>
    </xf>
    <xf numFmtId="179" fontId="21" fillId="2" borderId="0" xfId="0" applyNumberFormat="1" applyFont="1" applyFill="1" applyAlignment="1">
      <alignment horizontal="center" vertical="center" wrapText="1"/>
    </xf>
    <xf numFmtId="179" fontId="21" fillId="2" borderId="9" xfId="0" applyNumberFormat="1" applyFont="1" applyFill="1" applyBorder="1" applyAlignment="1">
      <alignment horizontal="center" vertical="center" wrapText="1"/>
    </xf>
    <xf numFmtId="179" fontId="21" fillId="2" borderId="5" xfId="0" applyNumberFormat="1" applyFont="1" applyFill="1" applyBorder="1" applyAlignment="1">
      <alignment horizontal="center" vertical="center" wrapText="1"/>
    </xf>
    <xf numFmtId="179" fontId="21" fillId="2" borderId="10" xfId="0" applyNumberFormat="1" applyFont="1" applyFill="1" applyBorder="1" applyAlignment="1">
      <alignment horizontal="center" vertical="center" wrapText="1"/>
    </xf>
    <xf numFmtId="0" fontId="22" fillId="5" borderId="0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178" fontId="10" fillId="5" borderId="0" xfId="0" applyNumberFormat="1" applyFont="1" applyFill="1" applyAlignment="1">
      <alignment horizontal="center" vertical="center" wrapText="1"/>
    </xf>
    <xf numFmtId="178" fontId="10" fillId="5" borderId="9" xfId="0" applyNumberFormat="1" applyFont="1" applyFill="1" applyBorder="1" applyAlignment="1">
      <alignment horizontal="center" vertical="center" wrapText="1"/>
    </xf>
    <xf numFmtId="179" fontId="23" fillId="2" borderId="0" xfId="0" applyNumberFormat="1" applyFont="1" applyFill="1" applyAlignment="1">
      <alignment horizontal="center" vertical="center" wrapText="1"/>
    </xf>
    <xf numFmtId="179" fontId="24" fillId="2" borderId="0" xfId="0" applyNumberFormat="1" applyFont="1" applyFill="1" applyAlignment="1">
      <alignment horizontal="center" vertical="center" wrapText="1"/>
    </xf>
    <xf numFmtId="178" fontId="21" fillId="2" borderId="0" xfId="0" applyNumberFormat="1" applyFont="1" applyFill="1" applyAlignment="1">
      <alignment horizontal="center" vertical="center" wrapText="1"/>
    </xf>
    <xf numFmtId="178" fontId="21" fillId="2" borderId="9" xfId="0" applyNumberFormat="1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178" fontId="9" fillId="5" borderId="9" xfId="0" applyNumberFormat="1" applyFont="1" applyFill="1" applyBorder="1" applyAlignment="1">
      <alignment horizontal="center" vertical="center" wrapText="1"/>
    </xf>
    <xf numFmtId="179" fontId="21" fillId="2" borderId="0" xfId="0" applyNumberFormat="1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vertical="center" wrapText="1"/>
    </xf>
    <xf numFmtId="0" fontId="16" fillId="3" borderId="1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53"/>
  <sheetViews>
    <sheetView tabSelected="1" workbookViewId="0">
      <selection activeCell="M15" sqref="M15:N15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0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86"/>
    </row>
    <row r="2" s="1" customFormat="1" ht="25" customHeight="1" spans="2:21">
      <c r="B2" s="7" t="s">
        <v>1</v>
      </c>
      <c r="C2" s="8"/>
      <c r="D2" s="9" t="s">
        <v>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59"/>
      <c r="Q2" s="59"/>
      <c r="R2" s="59"/>
      <c r="S2" s="59"/>
      <c r="T2" s="87"/>
      <c r="U2" s="88"/>
    </row>
    <row r="3" s="1" customFormat="1" ht="25" customHeight="1" spans="2:21">
      <c r="B3" s="7" t="s">
        <v>3</v>
      </c>
      <c r="C3" s="8"/>
      <c r="D3" s="8" t="s">
        <v>4</v>
      </c>
      <c r="E3" s="8"/>
      <c r="F3" s="8" t="s">
        <v>5</v>
      </c>
      <c r="G3" s="8"/>
      <c r="H3" s="8" t="s">
        <v>6</v>
      </c>
      <c r="I3" s="8"/>
      <c r="J3" s="8" t="s">
        <v>7</v>
      </c>
      <c r="K3" s="8"/>
      <c r="L3" s="8"/>
      <c r="M3" s="8"/>
      <c r="N3" s="8"/>
      <c r="O3" s="8"/>
      <c r="P3" s="59"/>
      <c r="Q3" s="59"/>
      <c r="R3" s="59"/>
      <c r="S3" s="59"/>
      <c r="T3" s="87"/>
      <c r="U3" s="88"/>
    </row>
    <row r="4" ht="25" customHeight="1" spans="2:20">
      <c r="B4" s="10" t="s">
        <v>8</v>
      </c>
      <c r="C4" s="11"/>
      <c r="D4" s="11"/>
      <c r="E4" s="12" t="s">
        <v>9</v>
      </c>
      <c r="F4" s="12"/>
      <c r="G4" s="12"/>
      <c r="H4" s="12" t="s">
        <v>10</v>
      </c>
      <c r="I4" s="12"/>
      <c r="J4" s="12"/>
      <c r="K4" s="60"/>
      <c r="L4" s="61"/>
      <c r="M4" s="62"/>
      <c r="N4" s="62"/>
      <c r="O4" s="62"/>
      <c r="P4" s="62"/>
      <c r="Q4" s="62"/>
      <c r="R4" s="62"/>
      <c r="S4" s="62"/>
      <c r="T4" s="89"/>
    </row>
    <row r="5" ht="25" customHeight="1" spans="2:20">
      <c r="B5" s="13" t="s">
        <v>11</v>
      </c>
      <c r="C5" s="14"/>
      <c r="D5" s="15" t="s">
        <v>12</v>
      </c>
      <c r="E5" s="16" t="s">
        <v>13</v>
      </c>
      <c r="F5" s="16"/>
      <c r="G5" s="16" t="s">
        <v>14</v>
      </c>
      <c r="H5" s="16"/>
      <c r="I5" s="16" t="s">
        <v>15</v>
      </c>
      <c r="J5" s="16"/>
      <c r="K5" s="16" t="s">
        <v>16</v>
      </c>
      <c r="L5" s="16"/>
      <c r="M5" s="16" t="s">
        <v>17</v>
      </c>
      <c r="N5" s="16"/>
      <c r="O5" s="63" t="s">
        <v>18</v>
      </c>
      <c r="P5" s="63"/>
      <c r="Q5" s="63" t="s">
        <v>19</v>
      </c>
      <c r="R5" s="63"/>
      <c r="S5" s="63" t="s">
        <v>20</v>
      </c>
      <c r="T5" s="90"/>
    </row>
    <row r="6" ht="25" customHeight="1" spans="2:20">
      <c r="B6" s="17" t="s">
        <v>21</v>
      </c>
      <c r="C6" s="18"/>
      <c r="D6" s="19" t="s">
        <v>22</v>
      </c>
      <c r="E6" s="20">
        <v>25</v>
      </c>
      <c r="F6" s="20"/>
      <c r="G6" s="20">
        <v>20</v>
      </c>
      <c r="H6" s="20"/>
      <c r="I6" s="64">
        <v>1300</v>
      </c>
      <c r="J6" s="64"/>
      <c r="K6" s="65">
        <v>0.52</v>
      </c>
      <c r="L6" s="65"/>
      <c r="M6" s="65">
        <v>0.52</v>
      </c>
      <c r="N6" s="65"/>
      <c r="O6" s="66">
        <v>0.52</v>
      </c>
      <c r="P6" s="66"/>
      <c r="Q6" s="91">
        <v>0.6</v>
      </c>
      <c r="R6" s="91"/>
      <c r="S6" s="91">
        <v>0.58</v>
      </c>
      <c r="T6" s="92"/>
    </row>
    <row r="7" ht="25" customHeight="1" spans="2:20">
      <c r="B7" s="21" t="s">
        <v>23</v>
      </c>
      <c r="C7" s="22"/>
      <c r="D7" s="19" t="s">
        <v>24</v>
      </c>
      <c r="E7" s="20">
        <v>20</v>
      </c>
      <c r="F7" s="20"/>
      <c r="G7" s="20">
        <v>20</v>
      </c>
      <c r="H7" s="20"/>
      <c r="I7" s="64">
        <v>1000</v>
      </c>
      <c r="J7" s="64"/>
      <c r="K7" s="65">
        <v>0.4</v>
      </c>
      <c r="L7" s="65"/>
      <c r="M7" s="65">
        <v>0.4</v>
      </c>
      <c r="N7" s="65"/>
      <c r="O7" s="66">
        <v>0.4</v>
      </c>
      <c r="P7" s="66"/>
      <c r="Q7" s="91">
        <v>0.3</v>
      </c>
      <c r="R7" s="91"/>
      <c r="S7" s="91">
        <v>0.34</v>
      </c>
      <c r="T7" s="92"/>
    </row>
    <row r="8" ht="25" customHeight="1" spans="2:20">
      <c r="B8" s="21" t="s">
        <v>25</v>
      </c>
      <c r="C8" s="22"/>
      <c r="D8" s="19" t="s">
        <v>26</v>
      </c>
      <c r="E8" s="20">
        <v>5</v>
      </c>
      <c r="F8" s="20"/>
      <c r="G8" s="20">
        <v>10</v>
      </c>
      <c r="H8" s="20"/>
      <c r="I8" s="64">
        <v>200</v>
      </c>
      <c r="J8" s="64"/>
      <c r="K8" s="65">
        <v>0.08</v>
      </c>
      <c r="L8" s="65"/>
      <c r="M8" s="65">
        <v>0.08</v>
      </c>
      <c r="N8" s="65"/>
      <c r="O8" s="66">
        <v>0.08</v>
      </c>
      <c r="P8" s="66"/>
      <c r="Q8" s="66">
        <v>0.1</v>
      </c>
      <c r="R8" s="66"/>
      <c r="S8" s="66">
        <v>0.08</v>
      </c>
      <c r="T8" s="93"/>
    </row>
    <row r="9" ht="25" customHeight="1" spans="2:20">
      <c r="B9" s="23"/>
      <c r="C9" s="24"/>
      <c r="D9" s="24"/>
      <c r="E9" s="25">
        <f t="shared" ref="E9:I9" si="0">SUM(E6:E8)</f>
        <v>50</v>
      </c>
      <c r="F9" s="25"/>
      <c r="G9" s="25">
        <f t="shared" si="0"/>
        <v>50</v>
      </c>
      <c r="H9" s="25"/>
      <c r="I9" s="67">
        <f t="shared" si="0"/>
        <v>2500</v>
      </c>
      <c r="J9" s="67"/>
      <c r="K9" s="68">
        <f t="shared" ref="K9:O9" si="1">SUM(K6:K8)</f>
        <v>1</v>
      </c>
      <c r="L9" s="68"/>
      <c r="M9" s="68">
        <f t="shared" si="1"/>
        <v>1</v>
      </c>
      <c r="N9" s="68"/>
      <c r="O9" s="68">
        <f t="shared" si="1"/>
        <v>1</v>
      </c>
      <c r="P9" s="68"/>
      <c r="Q9" s="68">
        <f>SUM(Q6:Q8)</f>
        <v>1</v>
      </c>
      <c r="R9" s="68"/>
      <c r="S9" s="68">
        <f>SUM(S6:S8)</f>
        <v>1</v>
      </c>
      <c r="T9" s="94"/>
    </row>
    <row r="10" ht="25" customHeight="1" spans="2:20">
      <c r="B10" s="26" t="s">
        <v>27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95"/>
    </row>
    <row r="11" ht="25" customHeight="1" spans="2:20">
      <c r="B11" s="28" t="s">
        <v>28</v>
      </c>
      <c r="C11" s="29" t="s">
        <v>29</v>
      </c>
      <c r="D11" s="30"/>
      <c r="E11" s="31" t="s">
        <v>30</v>
      </c>
      <c r="F11" s="31"/>
      <c r="G11" s="31" t="s">
        <v>31</v>
      </c>
      <c r="H11" s="31"/>
      <c r="I11" s="31" t="s">
        <v>32</v>
      </c>
      <c r="J11" s="31"/>
      <c r="K11" s="31" t="s">
        <v>33</v>
      </c>
      <c r="L11" s="31"/>
      <c r="M11" s="31" t="s">
        <v>34</v>
      </c>
      <c r="N11" s="31"/>
      <c r="O11" s="31" t="s">
        <v>35</v>
      </c>
      <c r="P11" s="31"/>
      <c r="Q11" s="31" t="s">
        <v>36</v>
      </c>
      <c r="R11" s="31"/>
      <c r="S11" s="50" t="s">
        <v>37</v>
      </c>
      <c r="T11" s="96"/>
    </row>
    <row r="12" ht="25" customHeight="1" spans="2:20">
      <c r="B12" s="32" t="s">
        <v>38</v>
      </c>
      <c r="C12" s="33">
        <v>191025000038</v>
      </c>
      <c r="D12" s="34"/>
      <c r="E12" s="35" t="s">
        <v>39</v>
      </c>
      <c r="F12" s="35"/>
      <c r="G12" s="36">
        <v>20</v>
      </c>
      <c r="H12" s="36"/>
      <c r="I12" s="36">
        <v>1000</v>
      </c>
      <c r="J12" s="36"/>
      <c r="K12" s="36">
        <v>1000</v>
      </c>
      <c r="L12" s="36"/>
      <c r="M12" s="36">
        <v>0</v>
      </c>
      <c r="N12" s="36"/>
      <c r="O12" s="36">
        <v>6700</v>
      </c>
      <c r="P12" s="36"/>
      <c r="Q12" s="36" t="s">
        <v>40</v>
      </c>
      <c r="R12" s="36"/>
      <c r="S12" s="97">
        <v>43763.9939467593</v>
      </c>
      <c r="T12" s="98"/>
    </row>
    <row r="13" ht="25" customHeight="1" spans="2:20">
      <c r="B13" s="37"/>
      <c r="C13" s="33">
        <v>190922000006</v>
      </c>
      <c r="D13" s="34"/>
      <c r="E13" s="38" t="s">
        <v>39</v>
      </c>
      <c r="F13" s="38"/>
      <c r="G13" s="36">
        <v>21</v>
      </c>
      <c r="H13" s="36"/>
      <c r="I13" s="36">
        <v>1200</v>
      </c>
      <c r="J13" s="36"/>
      <c r="K13" s="36">
        <v>1200</v>
      </c>
      <c r="L13" s="36"/>
      <c r="M13" s="36">
        <v>0</v>
      </c>
      <c r="N13" s="36"/>
      <c r="O13" s="36">
        <v>8040</v>
      </c>
      <c r="P13" s="36"/>
      <c r="Q13" s="36" t="s">
        <v>40</v>
      </c>
      <c r="R13" s="36"/>
      <c r="S13" s="97">
        <v>43763.9939467593</v>
      </c>
      <c r="T13" s="98"/>
    </row>
    <row r="14" ht="25" customHeight="1" spans="2:20">
      <c r="B14" s="37"/>
      <c r="C14" s="33">
        <v>190828000021</v>
      </c>
      <c r="D14" s="34"/>
      <c r="E14" s="35" t="s">
        <v>39</v>
      </c>
      <c r="F14" s="35"/>
      <c r="G14" s="36">
        <v>22</v>
      </c>
      <c r="H14" s="36"/>
      <c r="I14" s="36">
        <v>1400</v>
      </c>
      <c r="J14" s="36"/>
      <c r="K14" s="36">
        <v>0</v>
      </c>
      <c r="L14" s="36"/>
      <c r="M14" s="36">
        <v>130200</v>
      </c>
      <c r="N14" s="36"/>
      <c r="O14" s="36">
        <v>1400</v>
      </c>
      <c r="P14" s="36"/>
      <c r="Q14" s="36" t="s">
        <v>41</v>
      </c>
      <c r="R14" s="36"/>
      <c r="S14" s="97">
        <v>43763.9939467593</v>
      </c>
      <c r="T14" s="98"/>
    </row>
    <row r="15" ht="25" customHeight="1" spans="2:20">
      <c r="B15" s="37"/>
      <c r="C15" s="33">
        <v>191025000041</v>
      </c>
      <c r="D15" s="34"/>
      <c r="E15" s="39" t="s">
        <v>39</v>
      </c>
      <c r="F15" s="39"/>
      <c r="G15" s="40">
        <v>23</v>
      </c>
      <c r="H15" s="40"/>
      <c r="I15" s="40">
        <v>1500</v>
      </c>
      <c r="J15" s="40"/>
      <c r="K15" s="36">
        <v>0</v>
      </c>
      <c r="L15" s="36"/>
      <c r="M15" s="36">
        <v>139500</v>
      </c>
      <c r="N15" s="36"/>
      <c r="O15" s="36">
        <v>1500</v>
      </c>
      <c r="P15" s="36"/>
      <c r="Q15" s="36" t="s">
        <v>41</v>
      </c>
      <c r="R15" s="36"/>
      <c r="S15" s="97">
        <v>43763.9939467593</v>
      </c>
      <c r="T15" s="98"/>
    </row>
    <row r="16" ht="25" customHeight="1" spans="2:20">
      <c r="B16" s="41" t="s">
        <v>42</v>
      </c>
      <c r="C16" s="42">
        <v>191025000038</v>
      </c>
      <c r="D16" s="43"/>
      <c r="E16" s="44" t="s">
        <v>39</v>
      </c>
      <c r="F16" s="44"/>
      <c r="G16" s="45">
        <v>20</v>
      </c>
      <c r="H16" s="45"/>
      <c r="I16" s="45">
        <v>1000</v>
      </c>
      <c r="J16" s="45"/>
      <c r="K16" s="45">
        <v>1000</v>
      </c>
      <c r="L16" s="45"/>
      <c r="M16" s="45">
        <v>0</v>
      </c>
      <c r="N16" s="45"/>
      <c r="O16" s="45">
        <v>6700</v>
      </c>
      <c r="P16" s="45"/>
      <c r="Q16" s="45" t="s">
        <v>40</v>
      </c>
      <c r="R16" s="45"/>
      <c r="S16" s="99">
        <v>43763.9939467593</v>
      </c>
      <c r="T16" s="100"/>
    </row>
    <row r="17" ht="25" customHeight="1" spans="2:20">
      <c r="B17" s="37"/>
      <c r="C17" s="33">
        <v>190922000006</v>
      </c>
      <c r="D17" s="34"/>
      <c r="E17" s="38" t="s">
        <v>39</v>
      </c>
      <c r="F17" s="38"/>
      <c r="G17" s="36">
        <v>21</v>
      </c>
      <c r="H17" s="36"/>
      <c r="I17" s="36">
        <v>1200</v>
      </c>
      <c r="J17" s="36"/>
      <c r="K17" s="36">
        <v>1200</v>
      </c>
      <c r="L17" s="36"/>
      <c r="M17" s="36">
        <v>0</v>
      </c>
      <c r="N17" s="36"/>
      <c r="O17" s="36">
        <v>8040</v>
      </c>
      <c r="P17" s="36"/>
      <c r="Q17" s="36" t="s">
        <v>40</v>
      </c>
      <c r="R17" s="36"/>
      <c r="S17" s="97">
        <v>43763.9939467593</v>
      </c>
      <c r="T17" s="98"/>
    </row>
    <row r="18" ht="25" customHeight="1" spans="2:20">
      <c r="B18" s="37"/>
      <c r="C18" s="33">
        <v>190828000021</v>
      </c>
      <c r="D18" s="34"/>
      <c r="E18" s="35" t="s">
        <v>39</v>
      </c>
      <c r="F18" s="35"/>
      <c r="G18" s="36">
        <v>22</v>
      </c>
      <c r="H18" s="36"/>
      <c r="I18" s="36">
        <v>1400</v>
      </c>
      <c r="J18" s="36"/>
      <c r="K18" s="36">
        <v>0</v>
      </c>
      <c r="L18" s="36"/>
      <c r="M18" s="36">
        <v>130200</v>
      </c>
      <c r="N18" s="36"/>
      <c r="O18" s="36">
        <v>1400</v>
      </c>
      <c r="P18" s="36"/>
      <c r="Q18" s="36" t="s">
        <v>41</v>
      </c>
      <c r="R18" s="36"/>
      <c r="S18" s="97">
        <v>43763.9939467593</v>
      </c>
      <c r="T18" s="98"/>
    </row>
    <row r="19" ht="25" customHeight="1" spans="2:20">
      <c r="B19" s="37"/>
      <c r="C19" s="33">
        <v>191025000041</v>
      </c>
      <c r="D19" s="34"/>
      <c r="E19" s="39" t="s">
        <v>39</v>
      </c>
      <c r="F19" s="39"/>
      <c r="G19" s="40">
        <v>23</v>
      </c>
      <c r="H19" s="40"/>
      <c r="I19" s="40">
        <v>1500</v>
      </c>
      <c r="J19" s="40"/>
      <c r="K19" s="36">
        <v>0</v>
      </c>
      <c r="L19" s="36"/>
      <c r="M19" s="36">
        <v>139500</v>
      </c>
      <c r="N19" s="36"/>
      <c r="O19" s="36">
        <v>1500</v>
      </c>
      <c r="P19" s="36"/>
      <c r="Q19" s="36" t="s">
        <v>41</v>
      </c>
      <c r="R19" s="36"/>
      <c r="S19" s="97">
        <v>43763.9939467593</v>
      </c>
      <c r="T19" s="98"/>
    </row>
    <row r="20" ht="25" customHeight="1" spans="2:20">
      <c r="B20" s="37"/>
      <c r="C20" s="33">
        <v>191025000041</v>
      </c>
      <c r="D20" s="34"/>
      <c r="E20" s="38" t="s">
        <v>39</v>
      </c>
      <c r="F20" s="38"/>
      <c r="G20" s="36">
        <v>21</v>
      </c>
      <c r="H20" s="36"/>
      <c r="I20" s="36">
        <v>1200</v>
      </c>
      <c r="J20" s="36"/>
      <c r="K20" s="36">
        <v>1200</v>
      </c>
      <c r="L20" s="36"/>
      <c r="M20" s="36">
        <v>0</v>
      </c>
      <c r="N20" s="36"/>
      <c r="O20" s="36">
        <v>8040</v>
      </c>
      <c r="P20" s="36"/>
      <c r="Q20" s="36" t="s">
        <v>40</v>
      </c>
      <c r="R20" s="36"/>
      <c r="S20" s="97">
        <v>43764.9939467593</v>
      </c>
      <c r="T20" s="98"/>
    </row>
    <row r="21" ht="25" customHeight="1" spans="2:20">
      <c r="B21" s="41" t="s">
        <v>43</v>
      </c>
      <c r="C21" s="42">
        <v>191025000041</v>
      </c>
      <c r="D21" s="43"/>
      <c r="E21" s="46" t="s">
        <v>39</v>
      </c>
      <c r="F21" s="46"/>
      <c r="G21" s="45">
        <v>21</v>
      </c>
      <c r="H21" s="45"/>
      <c r="I21" s="45">
        <v>1200</v>
      </c>
      <c r="J21" s="45"/>
      <c r="K21" s="45">
        <v>1200</v>
      </c>
      <c r="L21" s="45"/>
      <c r="M21" s="45">
        <v>0</v>
      </c>
      <c r="N21" s="45"/>
      <c r="O21" s="45">
        <v>8040</v>
      </c>
      <c r="P21" s="45"/>
      <c r="Q21" s="45" t="s">
        <v>40</v>
      </c>
      <c r="R21" s="45"/>
      <c r="S21" s="99">
        <v>43763.9939467593</v>
      </c>
      <c r="T21" s="100"/>
    </row>
    <row r="22" ht="25" customHeight="1" spans="2:20">
      <c r="B22" s="47"/>
      <c r="C22" s="48"/>
      <c r="D22" s="48"/>
      <c r="E22" s="48"/>
      <c r="F22" s="48"/>
      <c r="G22" s="48"/>
      <c r="H22" s="48"/>
      <c r="I22" s="69">
        <f>SUM(I12:I21)</f>
        <v>12600</v>
      </c>
      <c r="J22" s="69"/>
      <c r="K22" s="69">
        <f>SUM(K12:K21)</f>
        <v>6800</v>
      </c>
      <c r="L22" s="69"/>
      <c r="M22" s="69">
        <f>SUM(M12:M21)</f>
        <v>539400</v>
      </c>
      <c r="N22" s="69"/>
      <c r="O22" s="69">
        <f>SUM(O12:O21)</f>
        <v>51360</v>
      </c>
      <c r="P22" s="69"/>
      <c r="Q22" s="101"/>
      <c r="R22" s="48"/>
      <c r="S22" s="48"/>
      <c r="T22" s="102"/>
    </row>
    <row r="23" ht="25" customHeight="1" spans="2:20">
      <c r="B23" s="26" t="s">
        <v>44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95"/>
    </row>
    <row r="24" ht="25" customHeight="1" spans="2:20">
      <c r="B24" s="49" t="s">
        <v>45</v>
      </c>
      <c r="C24" s="50" t="s">
        <v>46</v>
      </c>
      <c r="D24" s="50"/>
      <c r="E24" s="50"/>
      <c r="F24" s="50"/>
      <c r="G24" s="51" t="s">
        <v>47</v>
      </c>
      <c r="H24" s="51"/>
      <c r="I24" s="70" t="s">
        <v>48</v>
      </c>
      <c r="J24" s="70"/>
      <c r="K24" s="71" t="s">
        <v>49</v>
      </c>
      <c r="L24" s="71"/>
      <c r="M24" s="72" t="s">
        <v>50</v>
      </c>
      <c r="N24" s="72" t="s">
        <v>51</v>
      </c>
      <c r="O24" s="72"/>
      <c r="P24" s="73" t="s">
        <v>52</v>
      </c>
      <c r="Q24" s="103" t="s">
        <v>53</v>
      </c>
      <c r="R24" s="103"/>
      <c r="S24" s="103" t="s">
        <v>54</v>
      </c>
      <c r="T24" s="104"/>
    </row>
    <row r="25" ht="25" customHeight="1" spans="2:20">
      <c r="B25" s="47">
        <v>1</v>
      </c>
      <c r="C25" s="22" t="s">
        <v>55</v>
      </c>
      <c r="D25" s="22"/>
      <c r="E25" s="22"/>
      <c r="F25" s="22"/>
      <c r="G25" s="52" t="s">
        <v>56</v>
      </c>
      <c r="H25" s="52"/>
      <c r="I25" s="40" t="s">
        <v>57</v>
      </c>
      <c r="J25" s="40"/>
      <c r="K25" s="36">
        <v>30</v>
      </c>
      <c r="L25" s="36"/>
      <c r="M25" s="74">
        <v>2500</v>
      </c>
      <c r="N25" s="74">
        <v>75000</v>
      </c>
      <c r="O25" s="74"/>
      <c r="P25" s="75" t="s">
        <v>58</v>
      </c>
      <c r="Q25" s="105" t="s">
        <v>59</v>
      </c>
      <c r="R25" s="106"/>
      <c r="S25" s="107" t="s">
        <v>60</v>
      </c>
      <c r="T25" s="108"/>
    </row>
    <row r="26" ht="25" customHeight="1" spans="2:20">
      <c r="B26" s="47">
        <v>2</v>
      </c>
      <c r="C26" s="53" t="s">
        <v>61</v>
      </c>
      <c r="D26" s="22"/>
      <c r="E26" s="22"/>
      <c r="F26" s="22"/>
      <c r="G26" s="52" t="s">
        <v>56</v>
      </c>
      <c r="H26" s="52"/>
      <c r="I26" s="40" t="s">
        <v>62</v>
      </c>
      <c r="J26" s="40"/>
      <c r="K26" s="36">
        <v>350</v>
      </c>
      <c r="L26" s="36"/>
      <c r="M26" s="74">
        <v>1</v>
      </c>
      <c r="N26" s="74">
        <v>350</v>
      </c>
      <c r="O26" s="74"/>
      <c r="P26" s="75" t="s">
        <v>58</v>
      </c>
      <c r="Q26" s="105" t="s">
        <v>59</v>
      </c>
      <c r="R26" s="106"/>
      <c r="S26" s="107" t="s">
        <v>60</v>
      </c>
      <c r="T26" s="108"/>
    </row>
    <row r="27" ht="25" customHeight="1" spans="2:20">
      <c r="B27" s="47">
        <v>3</v>
      </c>
      <c r="C27" s="22" t="s">
        <v>63</v>
      </c>
      <c r="D27" s="22"/>
      <c r="E27" s="22"/>
      <c r="F27" s="22"/>
      <c r="G27" s="52" t="s">
        <v>56</v>
      </c>
      <c r="H27" s="52"/>
      <c r="I27" s="40" t="s">
        <v>64</v>
      </c>
      <c r="J27" s="40"/>
      <c r="K27" s="36">
        <v>30</v>
      </c>
      <c r="L27" s="36"/>
      <c r="M27" s="74">
        <v>1</v>
      </c>
      <c r="N27" s="74">
        <v>30</v>
      </c>
      <c r="O27" s="74"/>
      <c r="P27" s="75" t="s">
        <v>58</v>
      </c>
      <c r="Q27" s="105" t="s">
        <v>59</v>
      </c>
      <c r="R27" s="106"/>
      <c r="S27" s="107" t="s">
        <v>60</v>
      </c>
      <c r="T27" s="108"/>
    </row>
    <row r="28" ht="25" customHeight="1" spans="2:20">
      <c r="B28" s="47">
        <v>4</v>
      </c>
      <c r="C28" s="22" t="s">
        <v>63</v>
      </c>
      <c r="D28" s="22"/>
      <c r="E28" s="22"/>
      <c r="F28" s="22"/>
      <c r="G28" s="52" t="s">
        <v>56</v>
      </c>
      <c r="H28" s="52"/>
      <c r="I28" s="40" t="s">
        <v>65</v>
      </c>
      <c r="J28" s="40"/>
      <c r="K28" s="36">
        <v>30</v>
      </c>
      <c r="L28" s="36"/>
      <c r="M28" s="74">
        <v>1</v>
      </c>
      <c r="N28" s="74">
        <v>30</v>
      </c>
      <c r="O28" s="74"/>
      <c r="P28" s="75" t="s">
        <v>58</v>
      </c>
      <c r="Q28" s="105" t="s">
        <v>59</v>
      </c>
      <c r="R28" s="106"/>
      <c r="S28" s="107" t="s">
        <v>60</v>
      </c>
      <c r="T28" s="108"/>
    </row>
    <row r="29" ht="25" customHeight="1" spans="2:20">
      <c r="B29" s="47">
        <v>5</v>
      </c>
      <c r="C29" s="22" t="s">
        <v>63</v>
      </c>
      <c r="D29" s="22"/>
      <c r="E29" s="22"/>
      <c r="F29" s="22"/>
      <c r="G29" s="52" t="s">
        <v>56</v>
      </c>
      <c r="H29" s="52"/>
      <c r="I29" s="40" t="s">
        <v>66</v>
      </c>
      <c r="J29" s="40"/>
      <c r="K29" s="36">
        <v>30</v>
      </c>
      <c r="L29" s="36"/>
      <c r="M29" s="74">
        <v>2</v>
      </c>
      <c r="N29" s="74">
        <v>60</v>
      </c>
      <c r="O29" s="74"/>
      <c r="P29" s="75" t="s">
        <v>58</v>
      </c>
      <c r="Q29" s="105" t="s">
        <v>59</v>
      </c>
      <c r="R29" s="106"/>
      <c r="S29" s="107" t="s">
        <v>60</v>
      </c>
      <c r="T29" s="108"/>
    </row>
    <row r="30" ht="25" customHeight="1" spans="2:20">
      <c r="B30" s="47">
        <v>6</v>
      </c>
      <c r="C30" s="22" t="s">
        <v>63</v>
      </c>
      <c r="D30" s="22"/>
      <c r="E30" s="22"/>
      <c r="F30" s="22"/>
      <c r="G30" s="52">
        <v>190922000006</v>
      </c>
      <c r="H30" s="52"/>
      <c r="I30" s="40" t="s">
        <v>67</v>
      </c>
      <c r="J30" s="40"/>
      <c r="K30" s="36">
        <v>30</v>
      </c>
      <c r="L30" s="36"/>
      <c r="M30" s="74">
        <v>1</v>
      </c>
      <c r="N30" s="74">
        <v>30</v>
      </c>
      <c r="O30" s="74"/>
      <c r="P30" s="75" t="s">
        <v>58</v>
      </c>
      <c r="Q30" s="105" t="s">
        <v>59</v>
      </c>
      <c r="R30" s="106"/>
      <c r="S30" s="107" t="s">
        <v>60</v>
      </c>
      <c r="T30" s="108"/>
    </row>
    <row r="31" ht="25" customHeight="1" spans="2:20">
      <c r="B31" s="47">
        <v>7</v>
      </c>
      <c r="C31" s="22" t="s">
        <v>63</v>
      </c>
      <c r="D31" s="22"/>
      <c r="E31" s="22"/>
      <c r="F31" s="22"/>
      <c r="G31" s="52">
        <v>190922000006</v>
      </c>
      <c r="H31" s="52"/>
      <c r="I31" s="40" t="s">
        <v>68</v>
      </c>
      <c r="J31" s="40"/>
      <c r="K31" s="36">
        <v>30</v>
      </c>
      <c r="L31" s="36"/>
      <c r="M31" s="74">
        <v>2</v>
      </c>
      <c r="N31" s="74">
        <v>60</v>
      </c>
      <c r="O31" s="74"/>
      <c r="P31" s="75" t="s">
        <v>58</v>
      </c>
      <c r="Q31" s="105" t="s">
        <v>59</v>
      </c>
      <c r="R31" s="106"/>
      <c r="S31" s="107" t="s">
        <v>60</v>
      </c>
      <c r="T31" s="108"/>
    </row>
    <row r="32" ht="25" customHeight="1" spans="2:20">
      <c r="B32" s="47">
        <v>8</v>
      </c>
      <c r="C32" s="22" t="s">
        <v>63</v>
      </c>
      <c r="D32" s="22"/>
      <c r="E32" s="22"/>
      <c r="F32" s="22"/>
      <c r="G32" s="52">
        <v>191013000009</v>
      </c>
      <c r="H32" s="52"/>
      <c r="I32" s="40" t="s">
        <v>69</v>
      </c>
      <c r="J32" s="40"/>
      <c r="K32" s="36">
        <v>30</v>
      </c>
      <c r="L32" s="36"/>
      <c r="M32" s="74">
        <v>1</v>
      </c>
      <c r="N32" s="74">
        <v>30</v>
      </c>
      <c r="O32" s="74"/>
      <c r="P32" s="75" t="s">
        <v>58</v>
      </c>
      <c r="Q32" s="105" t="s">
        <v>59</v>
      </c>
      <c r="R32" s="106"/>
      <c r="S32" s="107" t="s">
        <v>60</v>
      </c>
      <c r="T32" s="108"/>
    </row>
    <row r="33" ht="25" customHeight="1" spans="2:20">
      <c r="B33" s="47">
        <v>9</v>
      </c>
      <c r="C33" s="22" t="s">
        <v>63</v>
      </c>
      <c r="D33" s="22"/>
      <c r="E33" s="22"/>
      <c r="F33" s="22"/>
      <c r="G33" s="52" t="s">
        <v>56</v>
      </c>
      <c r="H33" s="52"/>
      <c r="I33" s="40" t="s">
        <v>68</v>
      </c>
      <c r="J33" s="40"/>
      <c r="K33" s="36">
        <v>30</v>
      </c>
      <c r="L33" s="36"/>
      <c r="M33" s="74">
        <v>1</v>
      </c>
      <c r="N33" s="74">
        <v>30</v>
      </c>
      <c r="O33" s="74"/>
      <c r="P33" s="75" t="s">
        <v>58</v>
      </c>
      <c r="Q33" s="105" t="s">
        <v>59</v>
      </c>
      <c r="R33" s="106"/>
      <c r="S33" s="107" t="s">
        <v>60</v>
      </c>
      <c r="T33" s="108"/>
    </row>
    <row r="34" ht="25" customHeight="1" spans="2:20">
      <c r="B34" s="47">
        <v>10</v>
      </c>
      <c r="C34" s="22" t="s">
        <v>63</v>
      </c>
      <c r="D34" s="22"/>
      <c r="E34" s="22"/>
      <c r="F34" s="22"/>
      <c r="G34" s="52" t="s">
        <v>56</v>
      </c>
      <c r="H34" s="52"/>
      <c r="I34" s="40" t="s">
        <v>68</v>
      </c>
      <c r="J34" s="40"/>
      <c r="K34" s="36">
        <v>30</v>
      </c>
      <c r="L34" s="36"/>
      <c r="M34" s="74">
        <v>1</v>
      </c>
      <c r="N34" s="74">
        <v>30</v>
      </c>
      <c r="O34" s="74"/>
      <c r="P34" s="75" t="s">
        <v>58</v>
      </c>
      <c r="Q34" s="105" t="s">
        <v>59</v>
      </c>
      <c r="R34" s="106"/>
      <c r="S34" s="107" t="s">
        <v>60</v>
      </c>
      <c r="T34" s="108"/>
    </row>
    <row r="35" ht="25" customHeight="1" spans="2:20">
      <c r="B35" s="47">
        <v>11</v>
      </c>
      <c r="C35" s="22" t="s">
        <v>63</v>
      </c>
      <c r="D35" s="22"/>
      <c r="E35" s="22"/>
      <c r="F35" s="22"/>
      <c r="G35" s="52" t="s">
        <v>56</v>
      </c>
      <c r="H35" s="52"/>
      <c r="I35" s="40" t="s">
        <v>68</v>
      </c>
      <c r="J35" s="40"/>
      <c r="K35" s="36">
        <v>30</v>
      </c>
      <c r="L35" s="36"/>
      <c r="M35" s="74">
        <v>1</v>
      </c>
      <c r="N35" s="74">
        <v>30</v>
      </c>
      <c r="O35" s="74"/>
      <c r="P35" s="76" t="s">
        <v>70</v>
      </c>
      <c r="Q35" s="106" t="s">
        <v>71</v>
      </c>
      <c r="R35" s="106"/>
      <c r="S35" s="107" t="s">
        <v>60</v>
      </c>
      <c r="T35" s="108"/>
    </row>
    <row r="36" ht="25" customHeight="1" spans="2:20">
      <c r="B36" s="47">
        <v>12</v>
      </c>
      <c r="C36" s="22" t="s">
        <v>63</v>
      </c>
      <c r="D36" s="22"/>
      <c r="E36" s="22"/>
      <c r="F36" s="22"/>
      <c r="G36" s="52" t="s">
        <v>56</v>
      </c>
      <c r="H36" s="52"/>
      <c r="I36" s="40" t="s">
        <v>68</v>
      </c>
      <c r="J36" s="40"/>
      <c r="K36" s="40">
        <v>30</v>
      </c>
      <c r="L36" s="40"/>
      <c r="M36" s="74">
        <v>1</v>
      </c>
      <c r="N36" s="76">
        <v>30</v>
      </c>
      <c r="O36" s="76"/>
      <c r="P36" s="76" t="s">
        <v>70</v>
      </c>
      <c r="Q36" s="106" t="s">
        <v>72</v>
      </c>
      <c r="R36" s="106"/>
      <c r="S36" s="107" t="s">
        <v>60</v>
      </c>
      <c r="T36" s="108"/>
    </row>
    <row r="37" s="2" customFormat="1" ht="25" customHeight="1" spans="2:21">
      <c r="B37" s="54"/>
      <c r="C37" s="55"/>
      <c r="D37" s="55"/>
      <c r="E37" s="55"/>
      <c r="F37" s="55"/>
      <c r="G37" s="55"/>
      <c r="H37" s="56"/>
      <c r="I37" s="56"/>
      <c r="J37" s="56"/>
      <c r="K37" s="77"/>
      <c r="L37" s="78"/>
      <c r="M37" s="79"/>
      <c r="N37" s="80">
        <f>SUM(N25:N36)</f>
        <v>75710</v>
      </c>
      <c r="O37" s="80"/>
      <c r="P37" s="81"/>
      <c r="Q37" s="81"/>
      <c r="R37" s="85"/>
      <c r="S37" s="81"/>
      <c r="T37" s="109"/>
      <c r="U37" s="3"/>
    </row>
    <row r="38" ht="25" customHeight="1" spans="2:20">
      <c r="B38" s="26" t="s">
        <v>73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95"/>
    </row>
    <row r="39" ht="25" customHeight="1" spans="2:20">
      <c r="B39" s="49" t="s">
        <v>45</v>
      </c>
      <c r="C39" s="31" t="s">
        <v>74</v>
      </c>
      <c r="D39" s="31"/>
      <c r="E39" s="31"/>
      <c r="F39" s="31"/>
      <c r="G39" s="30" t="s">
        <v>29</v>
      </c>
      <c r="H39" s="30"/>
      <c r="I39" s="82" t="s">
        <v>75</v>
      </c>
      <c r="J39" s="82"/>
      <c r="K39" s="72" t="s">
        <v>51</v>
      </c>
      <c r="L39" s="72"/>
      <c r="M39" s="83" t="s">
        <v>76</v>
      </c>
      <c r="N39" s="83"/>
      <c r="O39" s="84" t="s">
        <v>36</v>
      </c>
      <c r="P39" s="84"/>
      <c r="Q39" s="84" t="s">
        <v>77</v>
      </c>
      <c r="R39" s="84"/>
      <c r="S39" s="67" t="s">
        <v>78</v>
      </c>
      <c r="T39" s="110"/>
    </row>
    <row r="40" ht="25" customHeight="1" spans="2:20">
      <c r="B40" s="47">
        <v>1</v>
      </c>
      <c r="C40" s="22" t="s">
        <v>55</v>
      </c>
      <c r="D40" s="22"/>
      <c r="E40" s="22"/>
      <c r="F40" s="22"/>
      <c r="G40" s="52" t="s">
        <v>56</v>
      </c>
      <c r="H40" s="52"/>
      <c r="I40" s="40" t="s">
        <v>57</v>
      </c>
      <c r="J40" s="40"/>
      <c r="K40" s="74">
        <v>75000</v>
      </c>
      <c r="L40" s="74"/>
      <c r="M40" s="74">
        <v>806.451612903226</v>
      </c>
      <c r="N40" s="74"/>
      <c r="O40" s="36" t="s">
        <v>41</v>
      </c>
      <c r="P40" s="36"/>
      <c r="Q40" s="111">
        <v>43763.9939467593</v>
      </c>
      <c r="R40" s="111"/>
      <c r="S40" s="107" t="s">
        <v>60</v>
      </c>
      <c r="T40" s="108"/>
    </row>
    <row r="41" ht="25" customHeight="1" spans="2:20">
      <c r="B41" s="47">
        <v>2</v>
      </c>
      <c r="C41" s="53" t="s">
        <v>61</v>
      </c>
      <c r="D41" s="22"/>
      <c r="E41" s="22"/>
      <c r="F41" s="22"/>
      <c r="G41" s="52" t="s">
        <v>56</v>
      </c>
      <c r="H41" s="52"/>
      <c r="I41" s="40" t="s">
        <v>62</v>
      </c>
      <c r="J41" s="40"/>
      <c r="K41" s="74">
        <v>350</v>
      </c>
      <c r="L41" s="74"/>
      <c r="M41" s="74">
        <v>3.76344086021505</v>
      </c>
      <c r="N41" s="74"/>
      <c r="O41" s="36" t="s">
        <v>41</v>
      </c>
      <c r="P41" s="36"/>
      <c r="Q41" s="111">
        <v>43763.9939467593</v>
      </c>
      <c r="R41" s="111"/>
      <c r="S41" s="107" t="s">
        <v>60</v>
      </c>
      <c r="T41" s="108"/>
    </row>
    <row r="42" ht="25" customHeight="1" spans="2:20">
      <c r="B42" s="47">
        <v>3</v>
      </c>
      <c r="C42" s="22" t="s">
        <v>63</v>
      </c>
      <c r="D42" s="22"/>
      <c r="E42" s="22"/>
      <c r="F42" s="22"/>
      <c r="G42" s="52" t="s">
        <v>56</v>
      </c>
      <c r="H42" s="52"/>
      <c r="I42" s="40" t="s">
        <v>64</v>
      </c>
      <c r="J42" s="40"/>
      <c r="K42" s="74">
        <v>30</v>
      </c>
      <c r="L42" s="74"/>
      <c r="M42" s="74">
        <v>0.32258064516129</v>
      </c>
      <c r="N42" s="74"/>
      <c r="O42" s="36" t="s">
        <v>41</v>
      </c>
      <c r="P42" s="36"/>
      <c r="Q42" s="111">
        <v>43763.9939467593</v>
      </c>
      <c r="R42" s="111"/>
      <c r="S42" s="107" t="s">
        <v>60</v>
      </c>
      <c r="T42" s="108"/>
    </row>
    <row r="43" ht="25" customHeight="1" spans="2:20">
      <c r="B43" s="47">
        <v>4</v>
      </c>
      <c r="C43" s="22" t="s">
        <v>63</v>
      </c>
      <c r="D43" s="22"/>
      <c r="E43" s="22"/>
      <c r="F43" s="22"/>
      <c r="G43" s="52" t="s">
        <v>56</v>
      </c>
      <c r="H43" s="52"/>
      <c r="I43" s="40" t="s">
        <v>65</v>
      </c>
      <c r="J43" s="40"/>
      <c r="K43" s="74">
        <v>30</v>
      </c>
      <c r="L43" s="74"/>
      <c r="M43" s="74">
        <v>0.32258064516129</v>
      </c>
      <c r="N43" s="74"/>
      <c r="O43" s="36" t="s">
        <v>41</v>
      </c>
      <c r="P43" s="36"/>
      <c r="Q43" s="111">
        <v>43763.9939467593</v>
      </c>
      <c r="R43" s="111"/>
      <c r="S43" s="107" t="s">
        <v>60</v>
      </c>
      <c r="T43" s="108"/>
    </row>
    <row r="44" ht="25" customHeight="1" spans="2:20">
      <c r="B44" s="47">
        <v>5</v>
      </c>
      <c r="C44" s="22" t="s">
        <v>63</v>
      </c>
      <c r="D44" s="22"/>
      <c r="E44" s="22"/>
      <c r="F44" s="22"/>
      <c r="G44" s="52" t="s">
        <v>56</v>
      </c>
      <c r="H44" s="52"/>
      <c r="I44" s="40" t="s">
        <v>66</v>
      </c>
      <c r="J44" s="40"/>
      <c r="K44" s="74">
        <v>60</v>
      </c>
      <c r="L44" s="74"/>
      <c r="M44" s="74">
        <v>0.645161290322581</v>
      </c>
      <c r="N44" s="74"/>
      <c r="O44" s="36" t="s">
        <v>41</v>
      </c>
      <c r="P44" s="36"/>
      <c r="Q44" s="111">
        <v>43763.9939467593</v>
      </c>
      <c r="R44" s="111"/>
      <c r="S44" s="107" t="s">
        <v>60</v>
      </c>
      <c r="T44" s="108"/>
    </row>
    <row r="45" ht="25" customHeight="1" spans="2:20">
      <c r="B45" s="47">
        <v>6</v>
      </c>
      <c r="C45" s="22" t="s">
        <v>63</v>
      </c>
      <c r="D45" s="22"/>
      <c r="E45" s="22"/>
      <c r="F45" s="22"/>
      <c r="G45" s="52">
        <v>190922000006</v>
      </c>
      <c r="H45" s="52"/>
      <c r="I45" s="40" t="s">
        <v>67</v>
      </c>
      <c r="J45" s="40"/>
      <c r="K45" s="74">
        <v>30</v>
      </c>
      <c r="L45" s="74"/>
      <c r="M45" s="74">
        <v>0.32258064516129</v>
      </c>
      <c r="N45" s="74"/>
      <c r="O45" s="36" t="s">
        <v>41</v>
      </c>
      <c r="P45" s="36"/>
      <c r="Q45" s="111">
        <v>43763.9939467593</v>
      </c>
      <c r="R45" s="111"/>
      <c r="S45" s="107" t="s">
        <v>60</v>
      </c>
      <c r="T45" s="108"/>
    </row>
    <row r="46" ht="25" customHeight="1" spans="2:20">
      <c r="B46" s="47">
        <v>7</v>
      </c>
      <c r="C46" s="22" t="s">
        <v>63</v>
      </c>
      <c r="D46" s="22"/>
      <c r="E46" s="22"/>
      <c r="F46" s="22"/>
      <c r="G46" s="52">
        <v>190922000006</v>
      </c>
      <c r="H46" s="52"/>
      <c r="I46" s="40" t="s">
        <v>68</v>
      </c>
      <c r="J46" s="40"/>
      <c r="K46" s="74">
        <v>60</v>
      </c>
      <c r="L46" s="74"/>
      <c r="M46" s="74">
        <v>0.645161290322581</v>
      </c>
      <c r="N46" s="74"/>
      <c r="O46" s="36" t="s">
        <v>41</v>
      </c>
      <c r="P46" s="36"/>
      <c r="Q46" s="111">
        <v>43763.9939467593</v>
      </c>
      <c r="R46" s="111"/>
      <c r="S46" s="107" t="s">
        <v>60</v>
      </c>
      <c r="T46" s="108"/>
    </row>
    <row r="47" ht="25" customHeight="1" spans="2:20">
      <c r="B47" s="47">
        <v>8</v>
      </c>
      <c r="C47" s="22" t="s">
        <v>63</v>
      </c>
      <c r="D47" s="22"/>
      <c r="E47" s="22"/>
      <c r="F47" s="22"/>
      <c r="G47" s="52">
        <v>191013000009</v>
      </c>
      <c r="H47" s="52"/>
      <c r="I47" s="40" t="s">
        <v>69</v>
      </c>
      <c r="J47" s="40"/>
      <c r="K47" s="74">
        <v>30</v>
      </c>
      <c r="L47" s="74"/>
      <c r="M47" s="74">
        <v>0.32258064516129</v>
      </c>
      <c r="N47" s="74"/>
      <c r="O47" s="36" t="s">
        <v>41</v>
      </c>
      <c r="P47" s="36"/>
      <c r="Q47" s="111">
        <v>43763.9939467593</v>
      </c>
      <c r="R47" s="111"/>
      <c r="S47" s="107" t="s">
        <v>60</v>
      </c>
      <c r="T47" s="108"/>
    </row>
    <row r="48" ht="25" customHeight="1" spans="2:20">
      <c r="B48" s="47">
        <v>9</v>
      </c>
      <c r="C48" s="22" t="s">
        <v>63</v>
      </c>
      <c r="D48" s="22"/>
      <c r="E48" s="22"/>
      <c r="F48" s="22"/>
      <c r="G48" s="52" t="s">
        <v>56</v>
      </c>
      <c r="H48" s="52"/>
      <c r="I48" s="40" t="s">
        <v>68</v>
      </c>
      <c r="J48" s="40"/>
      <c r="K48" s="74">
        <v>30</v>
      </c>
      <c r="L48" s="74"/>
      <c r="M48" s="74">
        <v>0.32258064516129</v>
      </c>
      <c r="N48" s="74"/>
      <c r="O48" s="36" t="s">
        <v>41</v>
      </c>
      <c r="P48" s="36"/>
      <c r="Q48" s="111">
        <v>43763.9939467593</v>
      </c>
      <c r="R48" s="111"/>
      <c r="S48" s="107" t="s">
        <v>60</v>
      </c>
      <c r="T48" s="108"/>
    </row>
    <row r="49" ht="25" customHeight="1" spans="2:20">
      <c r="B49" s="47">
        <v>10</v>
      </c>
      <c r="C49" s="22" t="s">
        <v>63</v>
      </c>
      <c r="D49" s="22"/>
      <c r="E49" s="22"/>
      <c r="F49" s="22"/>
      <c r="G49" s="52" t="s">
        <v>56</v>
      </c>
      <c r="H49" s="52"/>
      <c r="I49" s="40" t="s">
        <v>68</v>
      </c>
      <c r="J49" s="40"/>
      <c r="K49" s="74">
        <v>30</v>
      </c>
      <c r="L49" s="74"/>
      <c r="M49" s="74">
        <v>0.32258064516129</v>
      </c>
      <c r="N49" s="74"/>
      <c r="O49" s="36" t="s">
        <v>41</v>
      </c>
      <c r="P49" s="36"/>
      <c r="Q49" s="111">
        <v>43763.9939467593</v>
      </c>
      <c r="R49" s="111"/>
      <c r="S49" s="107" t="s">
        <v>60</v>
      </c>
      <c r="T49" s="108"/>
    </row>
    <row r="50" ht="25" customHeight="1" spans="2:20">
      <c r="B50" s="47">
        <v>11</v>
      </c>
      <c r="C50" s="22" t="s">
        <v>63</v>
      </c>
      <c r="D50" s="22"/>
      <c r="E50" s="22"/>
      <c r="F50" s="22"/>
      <c r="G50" s="52" t="s">
        <v>56</v>
      </c>
      <c r="H50" s="52"/>
      <c r="I50" s="40" t="s">
        <v>68</v>
      </c>
      <c r="J50" s="40"/>
      <c r="K50" s="74">
        <v>30</v>
      </c>
      <c r="L50" s="74"/>
      <c r="M50" s="74">
        <v>0.32258064516129</v>
      </c>
      <c r="N50" s="74"/>
      <c r="O50" s="36" t="s">
        <v>41</v>
      </c>
      <c r="P50" s="36"/>
      <c r="Q50" s="111">
        <v>43763.9939467593</v>
      </c>
      <c r="R50" s="111"/>
      <c r="S50" s="107" t="s">
        <v>60</v>
      </c>
      <c r="T50" s="108"/>
    </row>
    <row r="51" ht="25" customHeight="1" spans="2:20">
      <c r="B51" s="47">
        <v>12</v>
      </c>
      <c r="C51" s="22" t="s">
        <v>63</v>
      </c>
      <c r="D51" s="22"/>
      <c r="E51" s="22"/>
      <c r="F51" s="22"/>
      <c r="G51" s="52" t="s">
        <v>56</v>
      </c>
      <c r="H51" s="52"/>
      <c r="I51" s="40" t="s">
        <v>68</v>
      </c>
      <c r="J51" s="40"/>
      <c r="K51" s="76">
        <v>30</v>
      </c>
      <c r="L51" s="76"/>
      <c r="M51" s="74">
        <v>0.32258064516129</v>
      </c>
      <c r="N51" s="74"/>
      <c r="O51" s="36" t="s">
        <v>41</v>
      </c>
      <c r="P51" s="36"/>
      <c r="Q51" s="111">
        <v>43763.9939467593</v>
      </c>
      <c r="R51" s="111"/>
      <c r="S51" s="107" t="s">
        <v>60</v>
      </c>
      <c r="T51" s="108"/>
    </row>
    <row r="52" ht="25" customHeight="1" spans="2:20">
      <c r="B52" s="54"/>
      <c r="C52" s="55"/>
      <c r="D52" s="55"/>
      <c r="E52" s="55"/>
      <c r="F52" s="55"/>
      <c r="G52" s="55"/>
      <c r="H52" s="56"/>
      <c r="I52" s="78"/>
      <c r="J52" s="79"/>
      <c r="K52" s="80">
        <f>SUM(K40:K51)</f>
        <v>75710</v>
      </c>
      <c r="L52" s="80"/>
      <c r="M52" s="80">
        <f>SUM(M40:M51)</f>
        <v>814.086021505377</v>
      </c>
      <c r="N52" s="80"/>
      <c r="O52" s="77"/>
      <c r="P52" s="85"/>
      <c r="Q52" s="85"/>
      <c r="R52" s="85"/>
      <c r="S52" s="85"/>
      <c r="T52" s="112"/>
    </row>
    <row r="53" ht="25" customHeight="1" spans="2:20">
      <c r="B53" s="57" t="s">
        <v>79</v>
      </c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113"/>
    </row>
  </sheetData>
  <mergeCells count="371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B4:D4"/>
    <mergeCell ref="E4:G4"/>
    <mergeCell ref="H4:J4"/>
    <mergeCell ref="M4:N4"/>
    <mergeCell ref="O4:Q4"/>
    <mergeCell ref="B5:C5"/>
    <mergeCell ref="E5:F5"/>
    <mergeCell ref="G5:H5"/>
    <mergeCell ref="I5:J5"/>
    <mergeCell ref="K5:L5"/>
    <mergeCell ref="M5:N5"/>
    <mergeCell ref="O5:P5"/>
    <mergeCell ref="Q5:R5"/>
    <mergeCell ref="S5:T5"/>
    <mergeCell ref="B6:C6"/>
    <mergeCell ref="E6:F6"/>
    <mergeCell ref="G6:H6"/>
    <mergeCell ref="I6:J6"/>
    <mergeCell ref="K6:L6"/>
    <mergeCell ref="M6:N6"/>
    <mergeCell ref="O6:P6"/>
    <mergeCell ref="Q6:R6"/>
    <mergeCell ref="S6:T6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E9:F9"/>
    <mergeCell ref="G9:H9"/>
    <mergeCell ref="I9:J9"/>
    <mergeCell ref="K9:L9"/>
    <mergeCell ref="M9:N9"/>
    <mergeCell ref="O9:P9"/>
    <mergeCell ref="Q9:R9"/>
    <mergeCell ref="S9:T9"/>
    <mergeCell ref="B10:T10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I22:J22"/>
    <mergeCell ref="K22:L22"/>
    <mergeCell ref="M22:N22"/>
    <mergeCell ref="O22:P22"/>
    <mergeCell ref="B23:T23"/>
    <mergeCell ref="C24:F24"/>
    <mergeCell ref="G24:H24"/>
    <mergeCell ref="I24:J24"/>
    <mergeCell ref="K24:L24"/>
    <mergeCell ref="N24:O24"/>
    <mergeCell ref="Q24:R24"/>
    <mergeCell ref="S24:T24"/>
    <mergeCell ref="C25:F25"/>
    <mergeCell ref="G25:H25"/>
    <mergeCell ref="I25:J25"/>
    <mergeCell ref="K25:L25"/>
    <mergeCell ref="N25:O25"/>
    <mergeCell ref="Q25:R25"/>
    <mergeCell ref="S25:T25"/>
    <mergeCell ref="C26:F26"/>
    <mergeCell ref="G26:H26"/>
    <mergeCell ref="I26:J26"/>
    <mergeCell ref="K26:L26"/>
    <mergeCell ref="N26:O26"/>
    <mergeCell ref="Q26:R26"/>
    <mergeCell ref="S26:T26"/>
    <mergeCell ref="C27:F27"/>
    <mergeCell ref="G27:H27"/>
    <mergeCell ref="I27:J27"/>
    <mergeCell ref="K27:L27"/>
    <mergeCell ref="N27:O27"/>
    <mergeCell ref="Q27:R27"/>
    <mergeCell ref="S27:T27"/>
    <mergeCell ref="C28:F28"/>
    <mergeCell ref="G28:H28"/>
    <mergeCell ref="I28:J28"/>
    <mergeCell ref="K28:L28"/>
    <mergeCell ref="N28:O28"/>
    <mergeCell ref="Q28:R28"/>
    <mergeCell ref="S28:T28"/>
    <mergeCell ref="C29:F29"/>
    <mergeCell ref="G29:H29"/>
    <mergeCell ref="I29:J29"/>
    <mergeCell ref="K29:L29"/>
    <mergeCell ref="N29:O29"/>
    <mergeCell ref="Q29:R29"/>
    <mergeCell ref="S29:T29"/>
    <mergeCell ref="C30:F30"/>
    <mergeCell ref="G30:H30"/>
    <mergeCell ref="I30:J30"/>
    <mergeCell ref="K30:L30"/>
    <mergeCell ref="N30:O30"/>
    <mergeCell ref="Q30:R30"/>
    <mergeCell ref="S30:T30"/>
    <mergeCell ref="C31:F31"/>
    <mergeCell ref="G31:H31"/>
    <mergeCell ref="I31:J31"/>
    <mergeCell ref="K31:L31"/>
    <mergeCell ref="N31:O31"/>
    <mergeCell ref="Q31:R31"/>
    <mergeCell ref="S31:T31"/>
    <mergeCell ref="C32:F32"/>
    <mergeCell ref="G32:H32"/>
    <mergeCell ref="I32:J32"/>
    <mergeCell ref="K32:L32"/>
    <mergeCell ref="N32:O32"/>
    <mergeCell ref="Q32:R32"/>
    <mergeCell ref="S32:T32"/>
    <mergeCell ref="C33:F33"/>
    <mergeCell ref="G33:H33"/>
    <mergeCell ref="I33:J33"/>
    <mergeCell ref="K33:L33"/>
    <mergeCell ref="N33:O33"/>
    <mergeCell ref="Q33:R33"/>
    <mergeCell ref="S33:T33"/>
    <mergeCell ref="C34:F34"/>
    <mergeCell ref="G34:H34"/>
    <mergeCell ref="I34:J34"/>
    <mergeCell ref="K34:L34"/>
    <mergeCell ref="N34:O34"/>
    <mergeCell ref="Q34:R34"/>
    <mergeCell ref="S34:T34"/>
    <mergeCell ref="C35:F35"/>
    <mergeCell ref="G35:H35"/>
    <mergeCell ref="I35:J35"/>
    <mergeCell ref="K35:L35"/>
    <mergeCell ref="N35:O35"/>
    <mergeCell ref="Q35:R35"/>
    <mergeCell ref="S35:T35"/>
    <mergeCell ref="C36:F36"/>
    <mergeCell ref="G36:H36"/>
    <mergeCell ref="I36:J36"/>
    <mergeCell ref="K36:L36"/>
    <mergeCell ref="N36:O36"/>
    <mergeCell ref="Q36:R36"/>
    <mergeCell ref="S36:T36"/>
    <mergeCell ref="L37:M37"/>
    <mergeCell ref="N37:O37"/>
    <mergeCell ref="B38:T38"/>
    <mergeCell ref="C39:F39"/>
    <mergeCell ref="G39:H39"/>
    <mergeCell ref="I39:J39"/>
    <mergeCell ref="K39:L39"/>
    <mergeCell ref="M39:N39"/>
    <mergeCell ref="O39:P39"/>
    <mergeCell ref="Q39:R39"/>
    <mergeCell ref="S39:T39"/>
    <mergeCell ref="C40:F40"/>
    <mergeCell ref="G40:H40"/>
    <mergeCell ref="I40:J40"/>
    <mergeCell ref="K40:L40"/>
    <mergeCell ref="M40:N40"/>
    <mergeCell ref="O40:P40"/>
    <mergeCell ref="Q40:R40"/>
    <mergeCell ref="S40:T40"/>
    <mergeCell ref="C41:F41"/>
    <mergeCell ref="G41:H41"/>
    <mergeCell ref="I41:J41"/>
    <mergeCell ref="K41:L41"/>
    <mergeCell ref="M41:N41"/>
    <mergeCell ref="O41:P41"/>
    <mergeCell ref="Q41:R41"/>
    <mergeCell ref="S41:T41"/>
    <mergeCell ref="C42:F42"/>
    <mergeCell ref="G42:H42"/>
    <mergeCell ref="I42:J42"/>
    <mergeCell ref="K42:L42"/>
    <mergeCell ref="M42:N42"/>
    <mergeCell ref="O42:P42"/>
    <mergeCell ref="Q42:R42"/>
    <mergeCell ref="S42:T42"/>
    <mergeCell ref="C43:F43"/>
    <mergeCell ref="G43:H43"/>
    <mergeCell ref="I43:J43"/>
    <mergeCell ref="K43:L43"/>
    <mergeCell ref="M43:N43"/>
    <mergeCell ref="O43:P43"/>
    <mergeCell ref="Q43:R43"/>
    <mergeCell ref="S43:T43"/>
    <mergeCell ref="C44:F44"/>
    <mergeCell ref="G44:H44"/>
    <mergeCell ref="I44:J44"/>
    <mergeCell ref="K44:L44"/>
    <mergeCell ref="M44:N44"/>
    <mergeCell ref="O44:P44"/>
    <mergeCell ref="Q44:R44"/>
    <mergeCell ref="S44:T44"/>
    <mergeCell ref="C45:F45"/>
    <mergeCell ref="G45:H45"/>
    <mergeCell ref="I45:J45"/>
    <mergeCell ref="K45:L45"/>
    <mergeCell ref="M45:N45"/>
    <mergeCell ref="O45:P45"/>
    <mergeCell ref="Q45:R45"/>
    <mergeCell ref="S45:T45"/>
    <mergeCell ref="C46:F46"/>
    <mergeCell ref="G46:H46"/>
    <mergeCell ref="I46:J46"/>
    <mergeCell ref="K46:L46"/>
    <mergeCell ref="M46:N46"/>
    <mergeCell ref="O46:P46"/>
    <mergeCell ref="Q46:R46"/>
    <mergeCell ref="S46:T46"/>
    <mergeCell ref="C47:F47"/>
    <mergeCell ref="G47:H47"/>
    <mergeCell ref="I47:J47"/>
    <mergeCell ref="K47:L47"/>
    <mergeCell ref="M47:N47"/>
    <mergeCell ref="O47:P47"/>
    <mergeCell ref="Q47:R47"/>
    <mergeCell ref="S47:T47"/>
    <mergeCell ref="C48:F48"/>
    <mergeCell ref="G48:H48"/>
    <mergeCell ref="I48:J48"/>
    <mergeCell ref="K48:L48"/>
    <mergeCell ref="M48:N48"/>
    <mergeCell ref="O48:P48"/>
    <mergeCell ref="Q48:R48"/>
    <mergeCell ref="S48:T48"/>
    <mergeCell ref="C49:F49"/>
    <mergeCell ref="G49:H49"/>
    <mergeCell ref="I49:J49"/>
    <mergeCell ref="K49:L49"/>
    <mergeCell ref="M49:N49"/>
    <mergeCell ref="O49:P49"/>
    <mergeCell ref="Q49:R49"/>
    <mergeCell ref="S49:T49"/>
    <mergeCell ref="C50:F50"/>
    <mergeCell ref="G50:H50"/>
    <mergeCell ref="I50:J50"/>
    <mergeCell ref="K50:L50"/>
    <mergeCell ref="M50:N50"/>
    <mergeCell ref="O50:P50"/>
    <mergeCell ref="Q50:R50"/>
    <mergeCell ref="S50:T50"/>
    <mergeCell ref="C51:F51"/>
    <mergeCell ref="G51:H51"/>
    <mergeCell ref="I51:J51"/>
    <mergeCell ref="K51:L51"/>
    <mergeCell ref="M51:N51"/>
    <mergeCell ref="O51:P51"/>
    <mergeCell ref="Q51:R51"/>
    <mergeCell ref="S51:T51"/>
    <mergeCell ref="I52:J52"/>
    <mergeCell ref="K52:L52"/>
    <mergeCell ref="M52:N52"/>
    <mergeCell ref="B53:T53"/>
    <mergeCell ref="B12:B15"/>
    <mergeCell ref="B16:B20"/>
  </mergeCells>
  <pageMargins left="1.10208333333333" right="0.393055555555556" top="0" bottom="0" header="0.5" footer="0.5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2022-07-05T08:50:00Z</dcterms:created>
  <dcterms:modified xsi:type="dcterms:W3CDTF">2022-07-07T07:01:30Z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AC23D5829D8441E7ADC7EA62DFB9DF22</vt:lpwstr>
  </property>
  <property fmtid="{D5CDD505-2E9C-101B-9397-08002B2CF9AE}" pid="3" name="KSOProductBuildVer">
    <vt:lpwstr>2052-11.1.0.11830</vt:lpwstr>
  </property>
</Properties>
</file>