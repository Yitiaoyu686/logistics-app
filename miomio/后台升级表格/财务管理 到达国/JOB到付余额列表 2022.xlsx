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正常" sheetId="1" r:id="rId1"/>
    <sheet name="余额明细 展开" sheetId="2" r:id="rId2"/>
    <sheet name="余额明细 收起" sheetId="3" r:id="rId3"/>
    <sheet name="查看DPN" sheetId="4" r:id="rId4"/>
  </sheets>
  <calcPr calcId="144525"/>
</workbook>
</file>

<file path=xl/sharedStrings.xml><?xml version="1.0" encoding="utf-8"?>
<sst xmlns="http://schemas.openxmlformats.org/spreadsheetml/2006/main" count="711" uniqueCount="215">
  <si>
    <t>全部</t>
  </si>
  <si>
    <t>尼日利亚</t>
  </si>
  <si>
    <t>几内亚</t>
  </si>
  <si>
    <t>中国</t>
  </si>
  <si>
    <t>广州</t>
  </si>
  <si>
    <t>上海</t>
  </si>
  <si>
    <t>香港</t>
  </si>
  <si>
    <t>白云区站点</t>
  </si>
  <si>
    <t>广园西站点</t>
  </si>
  <si>
    <t>南方大厦站点</t>
  </si>
  <si>
    <t>2019年</t>
  </si>
  <si>
    <t>2020年</t>
  </si>
  <si>
    <t>2021年</t>
  </si>
  <si>
    <t>2022年</t>
  </si>
  <si>
    <t>2023年</t>
  </si>
  <si>
    <t>2024年</t>
  </si>
  <si>
    <t>2026年</t>
  </si>
  <si>
    <t>2027年</t>
  </si>
  <si>
    <t>2028年</t>
  </si>
  <si>
    <t>1月</t>
  </si>
  <si>
    <t>2月</t>
  </si>
  <si>
    <t>3月</t>
  </si>
  <si>
    <t>4月</t>
  </si>
  <si>
    <t>5月</t>
  </si>
  <si>
    <t>6月</t>
  </si>
  <si>
    <t>8月</t>
  </si>
  <si>
    <t>9月</t>
  </si>
  <si>
    <t>10月</t>
  </si>
  <si>
    <t>输入订单号/JOB/提单号/可查询</t>
  </si>
  <si>
    <t>序号</t>
  </si>
  <si>
    <t>站点</t>
  </si>
  <si>
    <t>线路</t>
  </si>
  <si>
    <t>类型</t>
  </si>
  <si>
    <t>承运人</t>
  </si>
  <si>
    <t>提单号</t>
  </si>
  <si>
    <t>起运港</t>
  </si>
  <si>
    <t>目的港</t>
  </si>
  <si>
    <t>重量kg</t>
  </si>
  <si>
    <t>件数</t>
  </si>
  <si>
    <t>NGN余额</t>
  </si>
  <si>
    <t>USD余额</t>
  </si>
  <si>
    <t>TTC状态</t>
  </si>
  <si>
    <t>操作</t>
  </si>
  <si>
    <t>更新日期</t>
  </si>
  <si>
    <r>
      <rPr>
        <b/>
        <sz val="10"/>
        <color theme="1"/>
        <rFont val="Microsoft JhengHei"/>
        <charset val="134"/>
      </rPr>
      <t xml:space="preserve">JOB100156             </t>
    </r>
    <r>
      <rPr>
        <sz val="8"/>
        <color theme="1"/>
        <rFont val="Microsoft JhengHei"/>
        <charset val="134"/>
      </rPr>
      <t>海珠区站点</t>
    </r>
  </si>
  <si>
    <t>CAN.CHN→LOS.NGN</t>
  </si>
  <si>
    <t>普快</t>
  </si>
  <si>
    <t>ET</t>
  </si>
  <si>
    <t>071-35618004</t>
  </si>
  <si>
    <t>CAN</t>
  </si>
  <si>
    <t>ACC</t>
  </si>
  <si>
    <t>NGN  2019/10/25 23:51:17             USD  2019/10/25 23:51:17</t>
  </si>
  <si>
    <t>明细</t>
  </si>
  <si>
    <r>
      <rPr>
        <b/>
        <sz val="10"/>
        <color theme="1"/>
        <rFont val="Microsoft JhengHei"/>
        <charset val="134"/>
      </rPr>
      <t xml:space="preserve">JOB100157             </t>
    </r>
    <r>
      <rPr>
        <sz val="8"/>
        <color theme="1"/>
        <rFont val="Microsoft JhengHei"/>
        <charset val="134"/>
      </rPr>
      <t>海珠区站点</t>
    </r>
  </si>
  <si>
    <r>
      <rPr>
        <b/>
        <sz val="10"/>
        <color theme="1"/>
        <rFont val="Microsoft JhengHei"/>
        <charset val="134"/>
      </rPr>
      <t xml:space="preserve">JOB100158                </t>
    </r>
    <r>
      <rPr>
        <sz val="8"/>
        <color theme="1"/>
        <rFont val="Microsoft JhengHei"/>
        <charset val="134"/>
      </rPr>
      <t>福田区站点</t>
    </r>
  </si>
  <si>
    <t>海珠区站点        JOB100156</t>
  </si>
  <si>
    <t>特快</t>
  </si>
  <si>
    <t>071-35539265</t>
  </si>
  <si>
    <t>USD  2019/10/25 23:51:17</t>
  </si>
  <si>
    <t>海珠区站点    JOB100145</t>
  </si>
  <si>
    <t>海珠区站点    JOB100137</t>
  </si>
  <si>
    <t>071-35545580</t>
  </si>
  <si>
    <t>福田区站点JOB100158</t>
  </si>
  <si>
    <t>HKG</t>
  </si>
  <si>
    <t>海珠区站点    JOB100159</t>
  </si>
  <si>
    <t>福田区站点     JOB100146</t>
  </si>
  <si>
    <t>LOS</t>
  </si>
  <si>
    <t>海珠区站点    JOB100148</t>
  </si>
  <si>
    <t>福田区站点   JOB100154</t>
  </si>
  <si>
    <t>海珠区站点     JOB100153</t>
  </si>
  <si>
    <t>福田区站点    JOB100156</t>
  </si>
  <si>
    <t>海珠区站点    JOB100136</t>
  </si>
  <si>
    <t>福田区站点    JOB100145</t>
  </si>
  <si>
    <t>NGN  2019/10/25 23:51:17</t>
  </si>
  <si>
    <t>福田区站点    JOB100115</t>
  </si>
  <si>
    <t>海珠区站点    JOB100116</t>
  </si>
  <si>
    <t>福田区站点JOB100117</t>
  </si>
  <si>
    <t>海珠区站点JOB100118</t>
  </si>
  <si>
    <t>福田区站点JOB100119</t>
  </si>
  <si>
    <t>海珠区站点JOB100120</t>
  </si>
  <si>
    <t>余额明细</t>
  </si>
  <si>
    <r>
      <rPr>
        <b/>
        <sz val="11"/>
        <color theme="1"/>
        <rFont val="宋体"/>
        <charset val="134"/>
      </rPr>
      <t>服务类型：普快</t>
    </r>
  </si>
  <si>
    <r>
      <rPr>
        <b/>
        <sz val="11"/>
        <color theme="1"/>
        <rFont val="宋体"/>
        <charset val="134"/>
      </rPr>
      <t>提单号：</t>
    </r>
    <r>
      <rPr>
        <b/>
        <sz val="11"/>
        <color theme="1"/>
        <rFont val="Arial"/>
        <charset val="134"/>
      </rPr>
      <t>071-35618004</t>
    </r>
  </si>
  <si>
    <r>
      <rPr>
        <b/>
        <sz val="11"/>
        <color theme="1"/>
        <rFont val="宋体"/>
        <charset val="134"/>
      </rPr>
      <t>承运人：</t>
    </r>
    <r>
      <rPr>
        <b/>
        <sz val="11"/>
        <color theme="1"/>
        <rFont val="Arial"/>
        <charset val="134"/>
      </rPr>
      <t>ET</t>
    </r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</si>
  <si>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</si>
  <si>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提单重量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25,00.00</t>
    </r>
  </si>
  <si>
    <r>
      <rPr>
        <b/>
        <sz val="11"/>
        <color theme="1"/>
        <rFont val="宋体"/>
        <charset val="134"/>
      </rPr>
      <t>订单重量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25,00.00</t>
    </r>
  </si>
  <si>
    <r>
      <rPr>
        <b/>
        <sz val="11"/>
        <color theme="1"/>
        <rFont val="宋体"/>
        <charset val="134"/>
      </rPr>
      <t>起运港：</t>
    </r>
    <r>
      <rPr>
        <b/>
        <sz val="11"/>
        <color theme="1"/>
        <rFont val="Arial"/>
        <charset val="134"/>
      </rPr>
      <t>CAN</t>
    </r>
  </si>
  <si>
    <r>
      <rPr>
        <b/>
        <sz val="11"/>
        <color theme="1"/>
        <rFont val="宋体"/>
        <charset val="134"/>
      </rPr>
      <t>目的港：</t>
    </r>
    <r>
      <rPr>
        <b/>
        <sz val="11"/>
        <color theme="1"/>
        <rFont val="Arial"/>
        <charset val="134"/>
      </rPr>
      <t>LOS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</si>
  <si>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</si>
  <si>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</si>
  <si>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</si>
  <si>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t>JOB</t>
  </si>
  <si>
    <t>订单数量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</si>
  <si>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</si>
  <si>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</si>
  <si>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</si>
  <si>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</si>
  <si>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</si>
  <si>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</si>
  <si>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</si>
  <si>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</si>
  <si>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</si>
  <si>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</si>
  <si>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</si>
  <si>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t>余额</t>
  </si>
  <si>
    <t>币种</t>
  </si>
  <si>
    <t>到付订单应收</t>
  </si>
  <si>
    <r>
      <rPr>
        <b/>
        <sz val="10"/>
        <color theme="1"/>
        <rFont val="宋体"/>
        <charset val="134"/>
      </rPr>
      <t>应付</t>
    </r>
    <r>
      <rPr>
        <b/>
        <sz val="10"/>
        <color theme="1"/>
        <rFont val="Arial"/>
        <charset val="134"/>
      </rPr>
      <t>(IKEJ STA)</t>
    </r>
  </si>
  <si>
    <r>
      <rPr>
        <b/>
        <sz val="10"/>
        <color theme="1"/>
        <rFont val="宋体"/>
        <charset val="134"/>
      </rPr>
      <t>应付</t>
    </r>
    <r>
      <rPr>
        <b/>
        <sz val="10"/>
        <color theme="1"/>
        <rFont val="Arial"/>
        <charset val="134"/>
      </rPr>
      <t>(ABUJ STA)</t>
    </r>
  </si>
  <si>
    <t>TTC</t>
  </si>
  <si>
    <t>汇率</t>
  </si>
  <si>
    <t>折合人民币</t>
  </si>
  <si>
    <t>转换日期</t>
  </si>
  <si>
    <t>详情</t>
  </si>
  <si>
    <t>NGN</t>
  </si>
  <si>
    <t>NGN1,900,000.00</t>
  </si>
  <si>
    <t>CNY20,430.00</t>
  </si>
  <si>
    <r>
      <rPr>
        <sz val="8"/>
        <color theme="1"/>
        <rFont val="Arial"/>
        <charset val="134"/>
      </rPr>
      <t xml:space="preserve">2019/8/28 15:01:26   </t>
    </r>
    <r>
      <rPr>
        <sz val="8"/>
        <color rgb="FF0070C0"/>
        <rFont val="宋体"/>
        <charset val="134"/>
      </rPr>
      <t>查看</t>
    </r>
  </si>
  <si>
    <t>查看</t>
  </si>
  <si>
    <t>USD</t>
  </si>
  <si>
    <t>USD300.00</t>
  </si>
  <si>
    <t>CNY1,905.00</t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</si>
  <si>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CNY</t>
    </r>
  </si>
  <si>
    <r>
      <rPr>
        <b/>
        <sz val="11"/>
        <color theme="1"/>
        <rFont val="宋体"/>
        <charset val="134"/>
      </rPr>
      <t xml:space="preserve">到付订单应收 </t>
    </r>
    <r>
      <rPr>
        <b/>
        <sz val="11"/>
        <color rgb="FF0070C0"/>
        <rFont val="宋体"/>
        <charset val="134"/>
      </rPr>
      <t>收起</t>
    </r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</si>
  <si>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</si>
  <si>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订单号</t>
    </r>
  </si>
  <si>
    <r>
      <rPr>
        <b/>
        <sz val="9"/>
        <color theme="1"/>
        <rFont val="宋体"/>
        <charset val="134"/>
      </rPr>
      <t>业务员</t>
    </r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</si>
  <si>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USD</t>
    </r>
  </si>
  <si>
    <r>
      <rPr>
        <b/>
        <sz val="9"/>
        <color theme="1"/>
        <rFont val="宋体"/>
        <charset val="134"/>
      </rPr>
      <t>折合</t>
    </r>
    <r>
      <rPr>
        <b/>
        <sz val="9"/>
        <color theme="1"/>
        <rFont val="Arial"/>
        <charset val="134"/>
      </rPr>
      <t>NGN</t>
    </r>
  </si>
  <si>
    <t>支付状态/日期</t>
  </si>
  <si>
    <r>
      <rPr>
        <b/>
        <sz val="9"/>
        <color theme="1"/>
        <rFont val="宋体"/>
        <charset val="134"/>
      </rPr>
      <t>实收</t>
    </r>
    <r>
      <rPr>
        <b/>
        <sz val="9"/>
        <color theme="1"/>
        <rFont val="Arial"/>
        <charset val="134"/>
      </rPr>
      <t>USD</t>
    </r>
  </si>
  <si>
    <r>
      <rPr>
        <b/>
        <sz val="9"/>
        <color theme="1"/>
        <rFont val="宋体"/>
        <charset val="134"/>
      </rPr>
      <t>实收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</si>
  <si>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宋体"/>
        <charset val="134"/>
      </rPr>
      <t>白云区站点</t>
    </r>
    <r>
      <rPr>
        <b/>
        <sz val="9"/>
        <color theme="1"/>
        <rFont val="Arial"/>
        <charset val="134"/>
      </rPr>
      <t>JOB123456</t>
    </r>
  </si>
  <si>
    <t>191018000005 01</t>
  </si>
  <si>
    <t>SAMPAO</t>
  </si>
  <si>
    <t>CAN.CHN→ABV.NGN</t>
  </si>
  <si>
    <r>
      <rPr>
        <sz val="8"/>
        <color theme="1"/>
        <rFont val="宋体"/>
        <charset val="134"/>
      </rPr>
      <t xml:space="preserve">已付                           </t>
    </r>
    <r>
      <rPr>
        <sz val="8"/>
        <color theme="1"/>
        <rFont val="Arial"/>
        <charset val="134"/>
      </rPr>
      <t xml:space="preserve">   2019/8/28 15:01:26   </t>
    </r>
    <r>
      <rPr>
        <sz val="8"/>
        <color rgb="FF0070C0"/>
        <rFont val="宋体"/>
        <charset val="134"/>
      </rPr>
      <t>查看</t>
    </r>
  </si>
  <si>
    <t>191018000005 02</t>
  </si>
  <si>
    <t>191018000005 03</t>
  </si>
  <si>
    <t>191018000005 04</t>
  </si>
  <si>
    <t>未付</t>
  </si>
  <si>
    <r>
      <rPr>
        <b/>
        <sz val="9"/>
        <color theme="1"/>
        <rFont val="宋体"/>
        <charset val="134"/>
      </rPr>
      <t>海珠区站点</t>
    </r>
    <r>
      <rPr>
        <b/>
        <sz val="9"/>
        <color theme="1"/>
        <rFont val="Arial"/>
        <charset val="134"/>
      </rPr>
      <t>JOB123456</t>
    </r>
  </si>
  <si>
    <r>
      <rPr>
        <sz val="8"/>
        <color theme="1"/>
        <rFont val="宋体"/>
        <charset val="134"/>
      </rPr>
      <t xml:space="preserve">已付                           </t>
    </r>
    <r>
      <rPr>
        <sz val="8"/>
        <color theme="1"/>
        <rFont val="Arial"/>
        <charset val="134"/>
      </rPr>
      <t xml:space="preserve">   2019/8/28 15:01:22   </t>
    </r>
    <r>
      <rPr>
        <sz val="8"/>
        <color rgb="FF0070C0"/>
        <rFont val="宋体"/>
        <charset val="134"/>
      </rPr>
      <t>查看</t>
    </r>
  </si>
  <si>
    <t>191018000005 05</t>
  </si>
  <si>
    <r>
      <rPr>
        <sz val="8"/>
        <color theme="1"/>
        <rFont val="宋体"/>
        <charset val="134"/>
      </rPr>
      <t xml:space="preserve">已付                           </t>
    </r>
    <r>
      <rPr>
        <sz val="8"/>
        <color theme="1"/>
        <rFont val="Arial"/>
        <charset val="134"/>
      </rPr>
      <t xml:space="preserve">   2019/8/28 15:01:23   </t>
    </r>
    <r>
      <rPr>
        <sz val="8"/>
        <color rgb="FF0070C0"/>
        <rFont val="宋体"/>
        <charset val="134"/>
      </rPr>
      <t>查看</t>
    </r>
  </si>
  <si>
    <t>191018000005 06</t>
  </si>
  <si>
    <r>
      <rPr>
        <sz val="8"/>
        <color theme="1"/>
        <rFont val="宋体"/>
        <charset val="134"/>
      </rPr>
      <t xml:space="preserve">已付                           </t>
    </r>
    <r>
      <rPr>
        <sz val="8"/>
        <color theme="1"/>
        <rFont val="Arial"/>
        <charset val="134"/>
      </rPr>
      <t xml:space="preserve">   2019/8/28 15:01:24   </t>
    </r>
    <r>
      <rPr>
        <sz val="8"/>
        <color rgb="FF0070C0"/>
        <rFont val="宋体"/>
        <charset val="134"/>
      </rPr>
      <t>查看</t>
    </r>
  </si>
  <si>
    <t>191018000005 07</t>
  </si>
  <si>
    <r>
      <rPr>
        <sz val="8"/>
        <color theme="1"/>
        <rFont val="宋体"/>
        <charset val="134"/>
      </rPr>
      <t xml:space="preserve">已付                           </t>
    </r>
    <r>
      <rPr>
        <sz val="8"/>
        <color theme="1"/>
        <rFont val="Arial"/>
        <charset val="134"/>
      </rPr>
      <t xml:space="preserve">   2019/8/28 15:01:25   </t>
    </r>
    <r>
      <rPr>
        <sz val="8"/>
        <color rgb="FF0070C0"/>
        <rFont val="宋体"/>
        <charset val="134"/>
      </rPr>
      <t>查看</t>
    </r>
  </si>
  <si>
    <t>191018000005 08</t>
  </si>
  <si>
    <r>
      <rPr>
        <b/>
        <sz val="9"/>
        <color theme="1"/>
        <rFont val="宋体"/>
        <charset val="134"/>
      </rPr>
      <t>福田区站点</t>
    </r>
    <r>
      <rPr>
        <b/>
        <sz val="9"/>
        <color theme="1"/>
        <rFont val="Arial"/>
        <charset val="134"/>
      </rPr>
      <t>JOB213456</t>
    </r>
  </si>
  <si>
    <r>
      <rPr>
        <b/>
        <sz val="11"/>
        <color rgb="FF393939"/>
        <rFont val="Microsoft JhengHei"/>
        <charset val="134"/>
      </rPr>
      <t xml:space="preserve">应付明细  </t>
    </r>
    <r>
      <rPr>
        <b/>
        <sz val="11"/>
        <color rgb="FF0070C0"/>
        <rFont val="Microsoft JhengHei"/>
        <charset val="134"/>
      </rPr>
      <t>收起</t>
    </r>
  </si>
  <si>
    <t>供应商</t>
  </si>
  <si>
    <t>订单号</t>
  </si>
  <si>
    <t>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</si>
  <si>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</si>
  <si>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数量</t>
    </r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</si>
  <si>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>NGN</t>
    </r>
  </si>
  <si>
    <t>支付状态</t>
  </si>
  <si>
    <t>支付途径/日期</t>
  </si>
  <si>
    <t>审核状态/日期</t>
  </si>
  <si>
    <r>
      <rPr>
        <sz val="9"/>
        <color theme="1"/>
        <rFont val="Arial"/>
        <charset val="134"/>
      </rPr>
      <t xml:space="preserve">Guangzho meow meow International Freight Forwarding </t>
    </r>
    <r>
      <rPr>
        <sz val="9"/>
        <color rgb="FF0070C0"/>
        <rFont val="Arial"/>
        <charset val="134"/>
      </rPr>
      <t>DPN123456</t>
    </r>
  </si>
  <si>
    <t>无</t>
  </si>
  <si>
    <r>
      <rPr>
        <sz val="9"/>
        <color theme="1"/>
        <rFont val="Microsoft JhengHei"/>
        <charset val="134"/>
      </rPr>
      <t>空运费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</si>
  <si>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15:01:22</t>
    </r>
  </si>
  <si>
    <t>中国广东省广州喵喵国际货运代理有限公司深圳分公司</t>
  </si>
  <si>
    <r>
      <rPr>
        <sz val="9"/>
        <color theme="1"/>
        <rFont val="Microsoft JhengHei"/>
        <charset val="134"/>
      </rPr>
      <t>报关费</t>
    </r>
  </si>
  <si>
    <r>
      <rPr>
        <sz val="9"/>
        <color rgb="FF393939"/>
        <rFont val="宋体"/>
        <charset val="134"/>
      </rPr>
      <t>未付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</si>
  <si>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15:01:22</t>
    </r>
  </si>
  <si>
    <t>广州喵喵国际货运代理有限公司深圳分公司</t>
  </si>
  <si>
    <r>
      <rPr>
        <sz val="9"/>
        <color theme="1"/>
        <rFont val="宋体"/>
        <charset val="134"/>
      </rPr>
      <t>无</t>
    </r>
  </si>
  <si>
    <r>
      <rPr>
        <sz val="9"/>
        <color theme="1"/>
        <rFont val="Microsoft JhengHei"/>
        <charset val="134"/>
      </rPr>
      <t>提货费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</si>
  <si>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15:01:23</t>
    </r>
  </si>
  <si>
    <r>
      <rPr>
        <sz val="9"/>
        <color theme="1"/>
        <rFont val="Microsoft JhengHei"/>
        <charset val="134"/>
      </rPr>
      <t>送货费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</si>
  <si>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15:01:23</t>
    </r>
  </si>
  <si>
    <r>
      <rPr>
        <sz val="9"/>
        <color theme="1"/>
        <rFont val="Microsoft JhengHei"/>
        <charset val="134"/>
      </rPr>
      <t>包装费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</si>
  <si>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15:01:24</t>
    </r>
  </si>
  <si>
    <r>
      <rPr>
        <sz val="9"/>
        <color theme="1"/>
        <rFont val="Microsoft JhengHei"/>
        <charset val="134"/>
      </rPr>
      <t>代垫运费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</si>
  <si>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15:01:24</t>
    </r>
  </si>
  <si>
    <r>
      <rPr>
        <sz val="9"/>
        <color theme="1"/>
        <rFont val="宋体"/>
        <charset val="134"/>
      </rPr>
      <t xml:space="preserve">广州喵喵国际货运代理有限公司深圳分公司                     </t>
    </r>
    <r>
      <rPr>
        <sz val="9"/>
        <color theme="1"/>
        <rFont val="Arial"/>
        <charset val="134"/>
      </rPr>
      <t xml:space="preserve"> </t>
    </r>
    <r>
      <rPr>
        <sz val="9"/>
        <color rgb="FF0070C0"/>
        <rFont val="Arial"/>
        <charset val="134"/>
      </rPr>
      <t>DPN123456</t>
    </r>
  </si>
  <si>
    <r>
      <rPr>
        <sz val="9"/>
        <color theme="1"/>
        <rFont val="Microsoft JhengHei"/>
        <charset val="134"/>
      </rPr>
      <t>商检费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</si>
  <si>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15:01:25</t>
    </r>
  </si>
  <si>
    <r>
      <rPr>
        <sz val="9"/>
        <color theme="1"/>
        <rFont val="宋体"/>
        <charset val="134"/>
      </rPr>
      <t>广州喵喵国际货运代理有限公司深圳分公司</t>
    </r>
    <r>
      <rPr>
        <sz val="9"/>
        <color theme="1"/>
        <rFont val="Arial"/>
        <charset val="134"/>
      </rPr>
      <t xml:space="preserve">                         </t>
    </r>
    <r>
      <rPr>
        <sz val="9"/>
        <color rgb="FF0070C0"/>
        <rFont val="Arial"/>
        <charset val="134"/>
      </rPr>
      <t>DPN123456</t>
    </r>
  </si>
  <si>
    <r>
      <rPr>
        <sz val="9"/>
        <color theme="1"/>
        <rFont val="Microsoft JhengHei"/>
        <charset val="134"/>
      </rPr>
      <t>检测费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</si>
  <si>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15:01:25</t>
    </r>
  </si>
  <si>
    <r>
      <rPr>
        <sz val="9"/>
        <color theme="1"/>
        <rFont val="宋体"/>
        <charset val="134"/>
      </rPr>
      <t xml:space="preserve">广州喵喵国际货运代理有限公司深圳分公司                     </t>
    </r>
    <r>
      <rPr>
        <sz val="9"/>
        <color theme="1"/>
        <rFont val="Arial"/>
        <charset val="134"/>
      </rPr>
      <t xml:space="preserve"> </t>
    </r>
    <r>
      <rPr>
        <sz val="9"/>
        <color rgb="FF0070C0"/>
        <rFont val="Arial"/>
        <charset val="134"/>
      </rPr>
      <t>DPN123457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</si>
  <si>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15:01:26</t>
    </r>
  </si>
  <si>
    <r>
      <rPr>
        <sz val="9"/>
        <color theme="1"/>
        <rFont val="宋体"/>
        <charset val="134"/>
      </rPr>
      <t>广州喵喵国际货运代理有限公司深圳分公司</t>
    </r>
    <r>
      <rPr>
        <sz val="9"/>
        <color theme="1"/>
        <rFont val="Arial"/>
        <charset val="134"/>
      </rPr>
      <t xml:space="preserve">                         </t>
    </r>
    <r>
      <rPr>
        <sz val="9"/>
        <color rgb="FF0070C0"/>
        <rFont val="Arial"/>
        <charset val="134"/>
      </rPr>
      <t>DPN123457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</si>
  <si>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15:01:26</t>
    </r>
  </si>
  <si>
    <r>
      <rPr>
        <sz val="9"/>
        <color theme="1"/>
        <rFont val="宋体"/>
        <charset val="134"/>
      </rPr>
      <t xml:space="preserve">广州喵喵国际货运代理有限公司深圳分公司                     </t>
    </r>
    <r>
      <rPr>
        <sz val="9"/>
        <color theme="1"/>
        <rFont val="Arial"/>
        <charset val="134"/>
      </rPr>
      <t xml:space="preserve"> </t>
    </r>
    <r>
      <rPr>
        <sz val="9"/>
        <color rgb="FF0070C0"/>
        <rFont val="Arial"/>
        <charset val="134"/>
      </rPr>
      <t>DPN123458</t>
    </r>
  </si>
  <si>
    <r>
      <rPr>
        <sz val="9"/>
        <color rgb="FF393939"/>
        <rFont val="宋体"/>
        <charset val="134"/>
      </rPr>
      <t>已付</t>
    </r>
  </si>
  <si>
    <r>
      <rPr>
        <sz val="8"/>
        <color rgb="FF393939"/>
        <rFont val="Arial"/>
        <charset val="134"/>
      </rPr>
      <t xml:space="preserve">COMPANY ACC 02765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</si>
  <si>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15:01:27</t>
    </r>
  </si>
  <si>
    <r>
      <rPr>
        <sz val="9"/>
        <color theme="1"/>
        <rFont val="宋体"/>
        <charset val="134"/>
      </rPr>
      <t>广州喵喵国际货运代理有限公司深圳分公司</t>
    </r>
    <r>
      <rPr>
        <sz val="9"/>
        <color theme="1"/>
        <rFont val="Arial"/>
        <charset val="134"/>
      </rPr>
      <t xml:space="preserve">                         </t>
    </r>
    <r>
      <rPr>
        <sz val="9"/>
        <color rgb="FF0070C0"/>
        <rFont val="Arial"/>
        <charset val="134"/>
      </rPr>
      <t>DPN123458</t>
    </r>
  </si>
  <si>
    <r>
      <rPr>
        <sz val="8"/>
        <color rgb="FF393939"/>
        <rFont val="Arial"/>
        <charset val="134"/>
      </rPr>
      <t xml:space="preserve">WECHAT PAY 02765   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</si>
  <si>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15:01:27</t>
    </r>
  </si>
  <si>
    <r>
      <rPr>
        <b/>
        <sz val="11"/>
        <color rgb="FFFF0000"/>
        <rFont val="宋体"/>
        <charset val="134"/>
      </rPr>
      <t>应付合计</t>
    </r>
    <r>
      <rPr>
        <b/>
        <sz val="11"/>
        <color rgb="FFFF0000"/>
        <rFont val="Arial"/>
        <charset val="134"/>
      </rPr>
      <t>NGN</t>
    </r>
  </si>
  <si>
    <t>返回</t>
  </si>
  <si>
    <r>
      <rPr>
        <b/>
        <sz val="11"/>
        <color theme="1"/>
        <rFont val="宋体"/>
        <charset val="134"/>
      </rPr>
      <t xml:space="preserve">到付订单应收 </t>
    </r>
    <r>
      <rPr>
        <b/>
        <sz val="11"/>
        <color rgb="FF0070C0"/>
        <rFont val="宋体"/>
        <charset val="134"/>
      </rPr>
      <t>展开</t>
    </r>
  </si>
  <si>
    <t>工单详情</t>
  </si>
  <si>
    <t>DPN123456</t>
  </si>
  <si>
    <r>
      <rPr>
        <b/>
        <sz val="11"/>
        <color theme="1"/>
        <rFont val="宋体"/>
        <charset val="134"/>
      </rPr>
      <t>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2,500.00</t>
    </r>
  </si>
  <si>
    <r>
      <rPr>
        <b/>
        <sz val="11"/>
        <color theme="1"/>
        <rFont val="宋体"/>
        <charset val="134"/>
      </rPr>
      <t>起运站：</t>
    </r>
    <r>
      <rPr>
        <b/>
        <sz val="11"/>
        <color theme="1"/>
        <rFont val="Arial"/>
        <charset val="134"/>
      </rPr>
      <t>IKEJA STA</t>
    </r>
  </si>
  <si>
    <r>
      <rPr>
        <b/>
        <sz val="11"/>
        <color theme="1"/>
        <rFont val="宋体"/>
        <charset val="134"/>
      </rPr>
      <t>到达站：</t>
    </r>
    <r>
      <rPr>
        <b/>
        <sz val="11"/>
        <color theme="1"/>
        <rFont val="Arial"/>
        <charset val="134"/>
      </rPr>
      <t>ABUJ STA</t>
    </r>
  </si>
  <si>
    <r>
      <rPr>
        <b/>
        <sz val="11"/>
        <color theme="1"/>
        <rFont val="宋体"/>
        <charset val="134"/>
      </rPr>
      <t xml:space="preserve">订单应付 </t>
    </r>
    <r>
      <rPr>
        <b/>
        <sz val="11"/>
        <color rgb="FF0070C0"/>
        <rFont val="宋体"/>
        <charset val="134"/>
      </rPr>
      <t>收起</t>
    </r>
  </si>
  <si>
    <r>
      <rPr>
        <b/>
        <sz val="9"/>
        <color theme="1"/>
        <rFont val="宋体"/>
        <charset val="134"/>
      </rPr>
      <t>收件人</t>
    </r>
  </si>
  <si>
    <r>
      <rPr>
        <b/>
        <sz val="9"/>
        <color theme="1"/>
        <rFont val="宋体"/>
        <charset val="134"/>
      </rPr>
      <t>件数</t>
    </r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</si>
  <si>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</si>
  <si>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r>
      <rPr>
        <b/>
        <sz val="9"/>
        <color theme="1"/>
        <rFont val="宋体"/>
        <charset val="134"/>
      </rPr>
      <t>应付占比</t>
    </r>
  </si>
  <si>
    <r>
      <rPr>
        <b/>
        <sz val="9"/>
        <color theme="1"/>
        <rFont val="宋体"/>
        <charset val="134"/>
      </rPr>
      <t>应付</t>
    </r>
    <r>
      <rPr>
        <b/>
        <sz val="9"/>
        <color theme="1"/>
        <rFont val="Arial"/>
        <charset val="134"/>
      </rPr>
      <t>NGN</t>
    </r>
  </si>
  <si>
    <t>OLATUNDE</t>
  </si>
  <si>
    <t>应付明细 IKEJA STATION</t>
  </si>
  <si>
    <t>Guangzho meow meow International Freight Forwarding</t>
  </si>
  <si>
    <t>应付明细 ABUJA STATION</t>
  </si>
</sst>
</file>

<file path=xl/styles.xml><?xml version="1.0" encoding="utf-8"?>
<styleSheet xmlns="http://schemas.openxmlformats.org/spreadsheetml/2006/main">
  <numFmts count="11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  <numFmt numFmtId="178" formatCode="0.00_ "/>
    <numFmt numFmtId="179" formatCode="0_ "/>
    <numFmt numFmtId="180" formatCode="0.0%"/>
    <numFmt numFmtId="181" formatCode="yyyy/m/d\ h:mm;@"/>
  </numFmts>
  <fonts count="64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rgb="FF393939"/>
      <name val="Microsoft JhengHei"/>
      <charset val="134"/>
    </font>
    <font>
      <b/>
      <sz val="11"/>
      <color rgb="FF393939"/>
      <name val="Arial"/>
      <charset val="134"/>
    </font>
    <font>
      <b/>
      <sz val="10"/>
      <color rgb="FFFF0000"/>
      <name val="Arial"/>
      <charset val="134"/>
    </font>
    <font>
      <b/>
      <sz val="12"/>
      <color theme="0"/>
      <name val="宋体"/>
      <charset val="134"/>
    </font>
    <font>
      <b/>
      <sz val="9"/>
      <color theme="0"/>
      <name val="Arial"/>
      <charset val="134"/>
    </font>
    <font>
      <b/>
      <sz val="9"/>
      <color rgb="FF393939"/>
      <name val="Arial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b/>
      <sz val="11"/>
      <color rgb="FFFF0000"/>
      <name val="Arial"/>
      <charset val="134"/>
    </font>
    <font>
      <sz val="9"/>
      <color rgb="FF0070C0"/>
      <name val="Arial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8"/>
      <color rgb="FF393939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1"/>
      <color rgb="FFFF0000"/>
      <name val="宋体"/>
      <charset val="134"/>
    </font>
    <font>
      <sz val="8"/>
      <color rgb="FF0070C0"/>
      <name val="宋体"/>
      <charset val="134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rgb="FF393939"/>
      <name val="Microsoft JhengHei"/>
      <charset val="134"/>
    </font>
    <font>
      <sz val="9"/>
      <color theme="0"/>
      <name val="Microsoft JhengHei"/>
      <charset val="134"/>
    </font>
    <font>
      <sz val="10"/>
      <color theme="0"/>
      <name val="Microsoft JhengHei"/>
      <charset val="134"/>
    </font>
    <font>
      <sz val="10"/>
      <color rgb="FF393939"/>
      <name val="Microsoft JhengHei"/>
      <charset val="134"/>
    </font>
    <font>
      <sz val="8"/>
      <color theme="0"/>
      <name val="Arial"/>
      <charset val="134"/>
    </font>
    <font>
      <b/>
      <sz val="10"/>
      <color rgb="FF393939"/>
      <name val="Arial"/>
      <charset val="134"/>
    </font>
    <font>
      <b/>
      <sz val="18"/>
      <color theme="1"/>
      <name val="Microsoft Jheng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0070C0"/>
      <name val="宋体"/>
      <charset val="134"/>
    </font>
    <font>
      <b/>
      <sz val="9"/>
      <color rgb="FF393939"/>
      <name val="宋体"/>
      <charset val="134"/>
    </font>
    <font>
      <b/>
      <sz val="11"/>
      <color rgb="FF0070C0"/>
      <name val="Microsoft JhengHei"/>
      <charset val="134"/>
    </font>
    <font>
      <sz val="8"/>
      <color theme="1"/>
      <name val="Microsoft JhengHei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53" fillId="21" borderId="13" applyNumberFormat="0" applyAlignment="0" applyProtection="0">
      <alignment vertical="center"/>
    </xf>
    <xf numFmtId="0" fontId="54" fillId="21" borderId="9" applyNumberFormat="0" applyAlignment="0" applyProtection="0">
      <alignment vertical="center"/>
    </xf>
    <xf numFmtId="0" fontId="55" fillId="22" borderId="14" applyNumberFormat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</cellStyleXfs>
  <cellXfs count="25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7" fontId="10" fillId="2" borderId="0" xfId="0" applyNumberFormat="1" applyFont="1" applyFill="1" applyAlignment="1">
      <alignment horizontal="center" vertical="center" wrapText="1"/>
    </xf>
    <xf numFmtId="176" fontId="10" fillId="2" borderId="0" xfId="0" applyNumberFormat="1" applyFont="1" applyFill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79" fontId="10" fillId="5" borderId="3" xfId="0" applyNumberFormat="1" applyFont="1" applyFill="1" applyBorder="1" applyAlignment="1">
      <alignment horizontal="center" vertical="center"/>
    </xf>
    <xf numFmtId="179" fontId="10" fillId="5" borderId="0" xfId="0" applyNumberFormat="1" applyFont="1" applyFill="1" applyBorder="1" applyAlignment="1">
      <alignment horizontal="center" vertical="center"/>
    </xf>
    <xf numFmtId="179" fontId="10" fillId="5" borderId="0" xfId="0" applyNumberFormat="1" applyFont="1" applyFill="1" applyAlignment="1">
      <alignment horizontal="center" vertical="center"/>
    </xf>
    <xf numFmtId="179" fontId="11" fillId="5" borderId="3" xfId="0" applyNumberFormat="1" applyFont="1" applyFill="1" applyBorder="1" applyAlignment="1">
      <alignment horizontal="center" vertical="center" wrapText="1"/>
    </xf>
    <xf numFmtId="179" fontId="1" fillId="2" borderId="0" xfId="0" applyNumberFormat="1" applyFont="1" applyFill="1" applyBorder="1" applyAlignment="1">
      <alignment horizontal="center" vertical="center"/>
    </xf>
    <xf numFmtId="179" fontId="1" fillId="2" borderId="0" xfId="0" applyNumberFormat="1" applyFont="1" applyFill="1" applyAlignment="1">
      <alignment horizontal="center" vertical="center"/>
    </xf>
    <xf numFmtId="179" fontId="10" fillId="5" borderId="3" xfId="0" applyNumberFormat="1" applyFont="1" applyFill="1" applyBorder="1" applyAlignment="1">
      <alignment horizontal="center" vertical="center" wrapText="1"/>
    </xf>
    <xf numFmtId="179" fontId="10" fillId="6" borderId="3" xfId="0" applyNumberFormat="1" applyFont="1" applyFill="1" applyBorder="1" applyAlignment="1">
      <alignment horizontal="center" vertical="center" wrapText="1"/>
    </xf>
    <xf numFmtId="179" fontId="1" fillId="6" borderId="0" xfId="0" applyNumberFormat="1" applyFont="1" applyFill="1" applyBorder="1" applyAlignment="1">
      <alignment vertical="center"/>
    </xf>
    <xf numFmtId="179" fontId="1" fillId="6" borderId="0" xfId="0" applyNumberFormat="1" applyFont="1" applyFill="1" applyAlignment="1">
      <alignment vertical="center"/>
    </xf>
    <xf numFmtId="177" fontId="1" fillId="6" borderId="0" xfId="0" applyNumberFormat="1" applyFont="1" applyFill="1" applyBorder="1" applyAlignment="1">
      <alignment vertical="center"/>
    </xf>
    <xf numFmtId="177" fontId="6" fillId="6" borderId="0" xfId="0" applyNumberFormat="1" applyFont="1" applyFill="1" applyBorder="1" applyAlignment="1">
      <alignment vertical="center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7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3" fillId="5" borderId="0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79" fontId="11" fillId="6" borderId="0" xfId="0" applyNumberFormat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9" fontId="7" fillId="2" borderId="0" xfId="0" applyNumberFormat="1" applyFont="1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79" fontId="7" fillId="5" borderId="0" xfId="0" applyNumberFormat="1" applyFont="1" applyFill="1" applyAlignment="1">
      <alignment horizontal="center" vertical="center"/>
    </xf>
    <xf numFmtId="179" fontId="1" fillId="5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4" fillId="6" borderId="3" xfId="0" applyFont="1" applyFill="1" applyBorder="1" applyAlignment="1">
      <alignment vertical="center"/>
    </xf>
    <xf numFmtId="0" fontId="14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5" fillId="3" borderId="4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1" fillId="6" borderId="0" xfId="0" applyFont="1" applyFill="1" applyBorder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80" fontId="10" fillId="2" borderId="0" xfId="0" applyNumberFormat="1" applyFont="1" applyFill="1" applyAlignment="1">
      <alignment horizontal="center" vertical="center" wrapText="1"/>
    </xf>
    <xf numFmtId="180" fontId="1" fillId="2" borderId="0" xfId="0" applyNumberFormat="1" applyFont="1" applyFill="1" applyAlignment="1">
      <alignment horizontal="center" vertical="center" wrapText="1"/>
    </xf>
    <xf numFmtId="179" fontId="11" fillId="5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10" fontId="10" fillId="5" borderId="0" xfId="0" applyNumberFormat="1" applyFont="1" applyFill="1" applyBorder="1" applyAlignment="1">
      <alignment horizontal="center" vertical="center" wrapText="1"/>
    </xf>
    <xf numFmtId="177" fontId="11" fillId="6" borderId="0" xfId="0" applyNumberFormat="1" applyFont="1" applyFill="1" applyAlignment="1">
      <alignment horizontal="center" vertical="center"/>
    </xf>
    <xf numFmtId="177" fontId="10" fillId="6" borderId="0" xfId="0" applyNumberFormat="1" applyFont="1" applyFill="1" applyBorder="1" applyAlignment="1">
      <alignment horizontal="center" vertical="center"/>
    </xf>
    <xf numFmtId="177" fontId="17" fillId="6" borderId="0" xfId="0" applyNumberFormat="1" applyFont="1" applyFill="1" applyBorder="1" applyAlignment="1">
      <alignment horizontal="center" vertical="center" wrapText="1"/>
    </xf>
    <xf numFmtId="177" fontId="11" fillId="6" borderId="0" xfId="0" applyNumberFormat="1" applyFont="1" applyFill="1" applyBorder="1" applyAlignment="1">
      <alignment horizontal="center" vertical="center" wrapText="1"/>
    </xf>
    <xf numFmtId="177" fontId="1" fillId="2" borderId="0" xfId="0" applyNumberFormat="1" applyFont="1" applyFill="1" applyBorder="1" applyAlignment="1">
      <alignment horizontal="center" vertical="center"/>
    </xf>
    <xf numFmtId="177" fontId="18" fillId="2" borderId="0" xfId="0" applyNumberFormat="1" applyFont="1" applyFill="1" applyBorder="1" applyAlignment="1">
      <alignment horizontal="center" vertical="center" wrapText="1"/>
    </xf>
    <xf numFmtId="177" fontId="19" fillId="2" borderId="0" xfId="0" applyNumberFormat="1" applyFont="1" applyFill="1" applyAlignment="1">
      <alignment horizontal="center" vertical="center" wrapText="1"/>
    </xf>
    <xf numFmtId="177" fontId="1" fillId="5" borderId="0" xfId="0" applyNumberFormat="1" applyFont="1" applyFill="1" applyAlignment="1">
      <alignment horizontal="center" vertical="center"/>
    </xf>
    <xf numFmtId="177" fontId="1" fillId="5" borderId="0" xfId="0" applyNumberFormat="1" applyFont="1" applyFill="1" applyBorder="1" applyAlignment="1">
      <alignment horizontal="center" vertical="center"/>
    </xf>
    <xf numFmtId="177" fontId="18" fillId="5" borderId="0" xfId="0" applyNumberFormat="1" applyFont="1" applyFill="1" applyBorder="1" applyAlignment="1">
      <alignment horizontal="center" vertical="center" wrapText="1"/>
    </xf>
    <xf numFmtId="177" fontId="18" fillId="5" borderId="0" xfId="0" applyNumberFormat="1" applyFont="1" applyFill="1" applyAlignment="1">
      <alignment horizontal="center" vertical="center" wrapText="1"/>
    </xf>
    <xf numFmtId="177" fontId="18" fillId="2" borderId="0" xfId="0" applyNumberFormat="1" applyFont="1" applyFill="1" applyAlignment="1">
      <alignment horizontal="center" vertical="center" wrapText="1"/>
    </xf>
    <xf numFmtId="177" fontId="20" fillId="6" borderId="0" xfId="0" applyNumberFormat="1" applyFont="1" applyFill="1" applyAlignment="1">
      <alignment vertical="center" wrapText="1"/>
    </xf>
    <xf numFmtId="177" fontId="20" fillId="6" borderId="0" xfId="0" applyNumberFormat="1" applyFont="1" applyFill="1" applyAlignment="1">
      <alignment horizontal="right" vertical="center" wrapText="1"/>
    </xf>
    <xf numFmtId="177" fontId="20" fillId="6" borderId="0" xfId="0" applyNumberFormat="1" applyFont="1" applyFill="1" applyAlignment="1">
      <alignment horizontal="center" vertical="center" wrapText="1"/>
    </xf>
    <xf numFmtId="0" fontId="21" fillId="6" borderId="0" xfId="0" applyFont="1" applyFill="1" applyBorder="1" applyAlignment="1">
      <alignment horizontal="center" vertical="center"/>
    </xf>
    <xf numFmtId="177" fontId="20" fillId="2" borderId="0" xfId="0" applyNumberFormat="1" applyFont="1" applyFill="1" applyAlignment="1">
      <alignment vertical="center" wrapText="1"/>
    </xf>
    <xf numFmtId="177" fontId="20" fillId="2" borderId="0" xfId="0" applyNumberFormat="1" applyFont="1" applyFill="1" applyAlignment="1">
      <alignment horizontal="right" vertical="center" wrapText="1"/>
    </xf>
    <xf numFmtId="177" fontId="20" fillId="2" borderId="0" xfId="0" applyNumberFormat="1" applyFont="1" applyFill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179" fontId="10" fillId="5" borderId="7" xfId="0" applyNumberFormat="1" applyFont="1" applyFill="1" applyBorder="1" applyAlignment="1">
      <alignment horizontal="center" vertical="center"/>
    </xf>
    <xf numFmtId="179" fontId="10" fillId="2" borderId="0" xfId="0" applyNumberFormat="1" applyFont="1" applyFill="1" applyAlignment="1">
      <alignment horizontal="center" vertical="center"/>
    </xf>
    <xf numFmtId="179" fontId="10" fillId="2" borderId="7" xfId="0" applyNumberFormat="1" applyFont="1" applyFill="1" applyBorder="1" applyAlignment="1">
      <alignment horizontal="center" vertical="center"/>
    </xf>
    <xf numFmtId="177" fontId="6" fillId="6" borderId="7" xfId="0" applyNumberFormat="1" applyFont="1" applyFill="1" applyBorder="1" applyAlignment="1">
      <alignment vertical="center"/>
    </xf>
    <xf numFmtId="179" fontId="1" fillId="2" borderId="0" xfId="0" applyNumberFormat="1" applyFont="1" applyFill="1" applyBorder="1" applyAlignment="1">
      <alignment vertical="center"/>
    </xf>
    <xf numFmtId="177" fontId="6" fillId="2" borderId="7" xfId="0" applyNumberFormat="1" applyFont="1" applyFill="1" applyBorder="1" applyAlignment="1">
      <alignment vertical="center"/>
    </xf>
    <xf numFmtId="179" fontId="1" fillId="2" borderId="0" xfId="0" applyNumberFormat="1" applyFont="1" applyFill="1" applyAlignment="1">
      <alignment vertical="center"/>
    </xf>
    <xf numFmtId="177" fontId="10" fillId="5" borderId="0" xfId="0" applyNumberFormat="1" applyFont="1" applyFill="1" applyAlignment="1">
      <alignment horizontal="center" vertical="center" wrapText="1"/>
    </xf>
    <xf numFmtId="7" fontId="10" fillId="5" borderId="7" xfId="0" applyNumberFormat="1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left" vertical="center" wrapText="1"/>
    </xf>
    <xf numFmtId="177" fontId="11" fillId="6" borderId="0" xfId="0" applyNumberFormat="1" applyFont="1" applyFill="1" applyAlignment="1">
      <alignment horizontal="center" vertical="center" wrapText="1"/>
    </xf>
    <xf numFmtId="177" fontId="11" fillId="6" borderId="7" xfId="0" applyNumberFormat="1" applyFont="1" applyFill="1" applyBorder="1" applyAlignment="1">
      <alignment horizontal="center" vertical="center" wrapText="1"/>
    </xf>
    <xf numFmtId="181" fontId="19" fillId="2" borderId="0" xfId="0" applyNumberFormat="1" applyFont="1" applyFill="1" applyAlignment="1">
      <alignment horizontal="center" vertical="center" wrapText="1"/>
    </xf>
    <xf numFmtId="181" fontId="18" fillId="2" borderId="0" xfId="0" applyNumberFormat="1" applyFont="1" applyFill="1" applyAlignment="1">
      <alignment horizontal="center" vertical="center" wrapText="1"/>
    </xf>
    <xf numFmtId="177" fontId="22" fillId="2" borderId="0" xfId="0" applyNumberFormat="1" applyFont="1" applyFill="1" applyAlignment="1">
      <alignment horizontal="center" vertical="center" wrapText="1"/>
    </xf>
    <xf numFmtId="177" fontId="23" fillId="2" borderId="7" xfId="0" applyNumberFormat="1" applyFont="1" applyFill="1" applyBorder="1" applyAlignment="1">
      <alignment horizontal="center" vertical="center" wrapText="1"/>
    </xf>
    <xf numFmtId="181" fontId="19" fillId="5" borderId="0" xfId="0" applyNumberFormat="1" applyFont="1" applyFill="1" applyAlignment="1">
      <alignment horizontal="center" vertical="center" wrapText="1"/>
    </xf>
    <xf numFmtId="181" fontId="18" fillId="5" borderId="0" xfId="0" applyNumberFormat="1" applyFont="1" applyFill="1" applyAlignment="1">
      <alignment horizontal="center" vertical="center" wrapText="1"/>
    </xf>
    <xf numFmtId="177" fontId="22" fillId="5" borderId="0" xfId="0" applyNumberFormat="1" applyFont="1" applyFill="1" applyAlignment="1">
      <alignment horizontal="center" vertical="center" wrapText="1"/>
    </xf>
    <xf numFmtId="177" fontId="23" fillId="5" borderId="7" xfId="0" applyNumberFormat="1" applyFont="1" applyFill="1" applyBorder="1" applyAlignment="1">
      <alignment horizontal="center" vertical="center" wrapText="1"/>
    </xf>
    <xf numFmtId="181" fontId="24" fillId="2" borderId="0" xfId="0" applyNumberFormat="1" applyFont="1" applyFill="1" applyAlignment="1">
      <alignment horizontal="center" vertical="center" wrapText="1"/>
    </xf>
    <xf numFmtId="181" fontId="24" fillId="5" borderId="0" xfId="0" applyNumberFormat="1" applyFont="1" applyFill="1" applyAlignment="1">
      <alignment horizontal="center" vertical="center" wrapText="1"/>
    </xf>
    <xf numFmtId="0" fontId="21" fillId="6" borderId="0" xfId="0" applyFont="1" applyFill="1" applyBorder="1" applyAlignment="1">
      <alignment vertical="center"/>
    </xf>
    <xf numFmtId="0" fontId="18" fillId="6" borderId="7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vertical="center"/>
    </xf>
    <xf numFmtId="0" fontId="18" fillId="2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25" fillId="5" borderId="3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7" fillId="2" borderId="0" xfId="0" applyFont="1" applyFill="1" applyBorder="1" applyAlignment="1">
      <alignment horizontal="center" vertical="center"/>
    </xf>
    <xf numFmtId="177" fontId="27" fillId="2" borderId="0" xfId="0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177" fontId="14" fillId="5" borderId="0" xfId="0" applyNumberFormat="1" applyFont="1" applyFill="1" applyAlignment="1">
      <alignment horizontal="center" vertical="center"/>
    </xf>
    <xf numFmtId="177" fontId="4" fillId="5" borderId="0" xfId="0" applyNumberFormat="1" applyFont="1" applyFill="1" applyAlignment="1">
      <alignment horizontal="center" vertical="center" wrapText="1"/>
    </xf>
    <xf numFmtId="177" fontId="28" fillId="2" borderId="0" xfId="0" applyNumberFormat="1" applyFont="1" applyFill="1" applyAlignment="1">
      <alignment horizontal="center" vertical="center"/>
    </xf>
    <xf numFmtId="177" fontId="20" fillId="2" borderId="0" xfId="0" applyNumberFormat="1" applyFont="1" applyFill="1" applyAlignment="1">
      <alignment horizontal="center" vertical="center"/>
    </xf>
    <xf numFmtId="177" fontId="20" fillId="5" borderId="0" xfId="0" applyNumberFormat="1" applyFont="1" applyFill="1" applyBorder="1" applyAlignment="1">
      <alignment vertical="center" wrapText="1"/>
    </xf>
    <xf numFmtId="177" fontId="20" fillId="5" borderId="0" xfId="0" applyNumberFormat="1" applyFont="1" applyFill="1" applyBorder="1" applyAlignment="1">
      <alignment horizontal="right" vertical="center" wrapText="1"/>
    </xf>
    <xf numFmtId="177" fontId="20" fillId="5" borderId="0" xfId="0" applyNumberFormat="1" applyFont="1" applyFill="1" applyBorder="1" applyAlignment="1">
      <alignment horizontal="center" vertical="center" wrapText="1"/>
    </xf>
    <xf numFmtId="0" fontId="21" fillId="5" borderId="0" xfId="0" applyFont="1" applyFill="1" applyBorder="1" applyAlignment="1">
      <alignment horizontal="center" vertical="center"/>
    </xf>
    <xf numFmtId="177" fontId="20" fillId="6" borderId="0" xfId="0" applyNumberFormat="1" applyFont="1" applyFill="1" applyBorder="1" applyAlignment="1">
      <alignment vertical="center" wrapText="1"/>
    </xf>
    <xf numFmtId="177" fontId="28" fillId="6" borderId="0" xfId="0" applyNumberFormat="1" applyFont="1" applyFill="1" applyBorder="1" applyAlignment="1">
      <alignment horizontal="right" vertical="center" wrapText="1"/>
    </xf>
    <xf numFmtId="177" fontId="20" fillId="6" borderId="0" xfId="0" applyNumberFormat="1" applyFont="1" applyFill="1" applyBorder="1" applyAlignment="1">
      <alignment horizontal="right" vertical="center" wrapText="1"/>
    </xf>
    <xf numFmtId="177" fontId="20" fillId="6" borderId="0" xfId="0" applyNumberFormat="1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vertical="center" wrapText="1"/>
    </xf>
    <xf numFmtId="10" fontId="1" fillId="2" borderId="0" xfId="0" applyNumberFormat="1" applyFont="1" applyFill="1" applyBorder="1" applyAlignment="1">
      <alignment vertical="center"/>
    </xf>
    <xf numFmtId="10" fontId="1" fillId="2" borderId="0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5" fillId="2" borderId="7" xfId="0" applyFont="1" applyFill="1" applyBorder="1" applyAlignment="1">
      <alignment horizontal="center" vertical="center"/>
    </xf>
    <xf numFmtId="177" fontId="23" fillId="2" borderId="0" xfId="0" applyNumberFormat="1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vertical="center" wrapText="1"/>
    </xf>
    <xf numFmtId="0" fontId="21" fillId="5" borderId="0" xfId="0" applyFont="1" applyFill="1" applyBorder="1" applyAlignment="1">
      <alignment vertical="center"/>
    </xf>
    <xf numFmtId="0" fontId="18" fillId="5" borderId="7" xfId="0" applyFont="1" applyFill="1" applyBorder="1" applyAlignment="1">
      <alignment horizontal="center" vertical="center" wrapText="1"/>
    </xf>
    <xf numFmtId="179" fontId="11" fillId="5" borderId="0" xfId="0" applyNumberFormat="1" applyFont="1" applyFill="1" applyBorder="1" applyAlignment="1">
      <alignment horizontal="center" vertical="center"/>
    </xf>
    <xf numFmtId="7" fontId="10" fillId="5" borderId="0" xfId="0" applyNumberFormat="1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179" fontId="11" fillId="6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179" fontId="7" fillId="2" borderId="0" xfId="0" applyNumberFormat="1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left" vertical="center" wrapText="1"/>
    </xf>
    <xf numFmtId="179" fontId="7" fillId="5" borderId="0" xfId="0" applyNumberFormat="1" applyFont="1" applyFill="1" applyBorder="1" applyAlignment="1">
      <alignment horizontal="center" vertical="center"/>
    </xf>
    <xf numFmtId="179" fontId="1" fillId="5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177" fontId="22" fillId="2" borderId="0" xfId="0" applyNumberFormat="1" applyFont="1" applyFill="1" applyBorder="1" applyAlignment="1">
      <alignment horizontal="center" vertical="center" wrapText="1"/>
    </xf>
    <xf numFmtId="179" fontId="23" fillId="6" borderId="0" xfId="0" applyNumberFormat="1" applyFont="1" applyFill="1" applyBorder="1" applyAlignment="1">
      <alignment vertical="center"/>
    </xf>
    <xf numFmtId="177" fontId="23" fillId="6" borderId="0" xfId="0" applyNumberFormat="1" applyFont="1" applyFill="1" applyBorder="1" applyAlignment="1">
      <alignment vertical="center"/>
    </xf>
    <xf numFmtId="177" fontId="10" fillId="5" borderId="0" xfId="0" applyNumberFormat="1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177" fontId="11" fillId="6" borderId="0" xfId="0" applyNumberFormat="1" applyFont="1" applyFill="1" applyBorder="1" applyAlignment="1">
      <alignment horizontal="center" vertical="center"/>
    </xf>
    <xf numFmtId="177" fontId="19" fillId="2" borderId="0" xfId="0" applyNumberFormat="1" applyFont="1" applyFill="1" applyBorder="1" applyAlignment="1">
      <alignment horizontal="center" vertical="center" wrapText="1"/>
    </xf>
    <xf numFmtId="177" fontId="1" fillId="2" borderId="7" xfId="0" applyNumberFormat="1" applyFont="1" applyFill="1" applyBorder="1" applyAlignment="1">
      <alignment horizontal="center" vertical="center"/>
    </xf>
    <xf numFmtId="177" fontId="1" fillId="6" borderId="7" xfId="0" applyNumberFormat="1" applyFont="1" applyFill="1" applyBorder="1" applyAlignment="1">
      <alignment vertical="center"/>
    </xf>
    <xf numFmtId="177" fontId="10" fillId="5" borderId="7" xfId="0" applyNumberFormat="1" applyFont="1" applyFill="1" applyBorder="1" applyAlignment="1">
      <alignment horizontal="center" vertical="center" wrapText="1"/>
    </xf>
    <xf numFmtId="181" fontId="19" fillId="2" borderId="0" xfId="0" applyNumberFormat="1" applyFont="1" applyFill="1" applyBorder="1" applyAlignment="1">
      <alignment horizontal="center" vertical="center" wrapText="1"/>
    </xf>
    <xf numFmtId="181" fontId="18" fillId="2" borderId="0" xfId="0" applyNumberFormat="1" applyFont="1" applyFill="1" applyBorder="1" applyAlignment="1">
      <alignment horizontal="center" vertical="center" wrapText="1"/>
    </xf>
    <xf numFmtId="181" fontId="19" fillId="5" borderId="0" xfId="0" applyNumberFormat="1" applyFont="1" applyFill="1" applyBorder="1" applyAlignment="1">
      <alignment horizontal="center" vertical="center" wrapText="1"/>
    </xf>
    <xf numFmtId="181" fontId="18" fillId="5" borderId="0" xfId="0" applyNumberFormat="1" applyFont="1" applyFill="1" applyBorder="1" applyAlignment="1">
      <alignment horizontal="center" vertical="center" wrapText="1"/>
    </xf>
    <xf numFmtId="181" fontId="24" fillId="2" borderId="0" xfId="0" applyNumberFormat="1" applyFont="1" applyFill="1" applyBorder="1" applyAlignment="1">
      <alignment horizontal="center" vertical="center" wrapText="1"/>
    </xf>
    <xf numFmtId="181" fontId="24" fillId="5" borderId="0" xfId="0" applyNumberFormat="1" applyFont="1" applyFill="1" applyBorder="1" applyAlignment="1">
      <alignment horizontal="center"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6" fillId="0" borderId="0" xfId="0" applyFont="1">
      <alignment vertical="center"/>
    </xf>
    <xf numFmtId="0" fontId="31" fillId="7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31" fillId="8" borderId="0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30" fillId="10" borderId="0" xfId="0" applyFont="1" applyFill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3" borderId="1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4" fillId="5" borderId="3" xfId="0" applyFont="1" applyFill="1" applyBorder="1" applyAlignment="1">
      <alignment horizontal="center" vertical="center"/>
    </xf>
    <xf numFmtId="0" fontId="32" fillId="5" borderId="0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34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35" fillId="11" borderId="3" xfId="0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 vertical="center" wrapText="1"/>
    </xf>
    <xf numFmtId="0" fontId="35" fillId="11" borderId="0" xfId="0" applyFont="1" applyFill="1" applyBorder="1" applyAlignment="1">
      <alignment horizontal="center" vertical="center"/>
    </xf>
    <xf numFmtId="0" fontId="8" fillId="11" borderId="0" xfId="0" applyFont="1" applyFill="1" applyBorder="1" applyAlignment="1">
      <alignment horizontal="center" vertical="center"/>
    </xf>
    <xf numFmtId="0" fontId="37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0" fontId="34" fillId="5" borderId="0" xfId="0" applyFont="1" applyFill="1" applyBorder="1" applyAlignment="1">
      <alignment horizontal="center" vertical="center"/>
    </xf>
    <xf numFmtId="0" fontId="18" fillId="5" borderId="0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37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37" fillId="3" borderId="4" xfId="0" applyFont="1" applyFill="1" applyBorder="1" applyAlignment="1">
      <alignment horizontal="center" vertical="center"/>
    </xf>
    <xf numFmtId="0" fontId="37" fillId="3" borderId="5" xfId="0" applyFont="1" applyFill="1" applyBorder="1" applyAlignment="1">
      <alignment horizontal="center" vertical="center"/>
    </xf>
    <xf numFmtId="0" fontId="33" fillId="3" borderId="6" xfId="0" applyFont="1" applyFill="1" applyBorder="1" applyAlignment="1">
      <alignment horizontal="center" vertical="center"/>
    </xf>
    <xf numFmtId="178" fontId="34" fillId="5" borderId="0" xfId="0" applyNumberFormat="1" applyFont="1" applyFill="1" applyAlignment="1">
      <alignment horizontal="center" vertical="center"/>
    </xf>
    <xf numFmtId="177" fontId="34" fillId="5" borderId="0" xfId="0" applyNumberFormat="1" applyFont="1" applyFill="1" applyAlignment="1">
      <alignment horizontal="center" vertical="center"/>
    </xf>
    <xf numFmtId="177" fontId="24" fillId="5" borderId="0" xfId="0" applyNumberFormat="1" applyFont="1" applyFill="1" applyAlignment="1">
      <alignment horizontal="center" vertical="center" wrapText="1"/>
    </xf>
    <xf numFmtId="22" fontId="6" fillId="5" borderId="7" xfId="0" applyNumberFormat="1" applyFont="1" applyFill="1" applyBorder="1" applyAlignment="1">
      <alignment horizontal="center" vertical="center"/>
    </xf>
    <xf numFmtId="178" fontId="35" fillId="11" borderId="0" xfId="0" applyNumberFormat="1" applyFont="1" applyFill="1" applyBorder="1" applyAlignment="1">
      <alignment horizontal="center" vertical="center"/>
    </xf>
    <xf numFmtId="177" fontId="35" fillId="11" borderId="0" xfId="0" applyNumberFormat="1" applyFont="1" applyFill="1" applyBorder="1" applyAlignment="1">
      <alignment horizontal="center" vertical="center"/>
    </xf>
    <xf numFmtId="177" fontId="38" fillId="11" borderId="0" xfId="0" applyNumberFormat="1" applyFont="1" applyFill="1" applyBorder="1" applyAlignment="1">
      <alignment horizontal="center" vertical="center"/>
    </xf>
    <xf numFmtId="22" fontId="35" fillId="11" borderId="7" xfId="0" applyNumberFormat="1" applyFont="1" applyFill="1" applyBorder="1" applyAlignment="1">
      <alignment horizontal="center" vertical="center"/>
    </xf>
    <xf numFmtId="178" fontId="34" fillId="5" borderId="0" xfId="0" applyNumberFormat="1" applyFont="1" applyFill="1" applyBorder="1" applyAlignment="1">
      <alignment horizontal="center" vertical="center"/>
    </xf>
    <xf numFmtId="177" fontId="34" fillId="5" borderId="0" xfId="0" applyNumberFormat="1" applyFont="1" applyFill="1" applyBorder="1" applyAlignment="1">
      <alignment horizontal="center" vertical="center"/>
    </xf>
    <xf numFmtId="177" fontId="24" fillId="5" borderId="0" xfId="0" applyNumberFormat="1" applyFont="1" applyFill="1" applyBorder="1" applyAlignment="1">
      <alignment horizontal="center" vertical="center"/>
    </xf>
    <xf numFmtId="178" fontId="34" fillId="2" borderId="0" xfId="0" applyNumberFormat="1" applyFont="1" applyFill="1" applyBorder="1" applyAlignment="1">
      <alignment horizontal="center" vertical="center"/>
    </xf>
    <xf numFmtId="177" fontId="34" fillId="2" borderId="0" xfId="0" applyNumberFormat="1" applyFont="1" applyFill="1" applyBorder="1" applyAlignment="1">
      <alignment horizontal="center" vertical="center"/>
    </xf>
    <xf numFmtId="177" fontId="24" fillId="2" borderId="0" xfId="0" applyNumberFormat="1" applyFont="1" applyFill="1" applyBorder="1" applyAlignment="1">
      <alignment horizontal="center" vertical="center"/>
    </xf>
    <xf numFmtId="22" fontId="6" fillId="2" borderId="7" xfId="0" applyNumberFormat="1" applyFont="1" applyFill="1" applyBorder="1" applyAlignment="1">
      <alignment horizontal="center" vertical="center"/>
    </xf>
    <xf numFmtId="177" fontId="39" fillId="5" borderId="0" xfId="0" applyNumberFormat="1" applyFont="1" applyFill="1" applyBorder="1" applyAlignment="1">
      <alignment horizontal="center" vertical="center"/>
    </xf>
    <xf numFmtId="0" fontId="37" fillId="3" borderId="8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9525</xdr:rowOff>
    </xdr:to>
    <xdr:sp>
      <xdr:nvSpPr>
        <xdr:cNvPr id="25" name="Host Control  1"/>
        <xdr:cNvSpPr/>
      </xdr:nvSpPr>
      <xdr:spPr>
        <a:xfrm>
          <a:off x="19307175" y="12363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32"/>
  <sheetViews>
    <sheetView tabSelected="1" workbookViewId="0">
      <selection activeCell="J12" sqref="J12"/>
    </sheetView>
  </sheetViews>
  <sheetFormatPr defaultColWidth="9" defaultRowHeight="13.5"/>
  <cols>
    <col min="1" max="1" width="10.625" style="199" customWidth="1"/>
    <col min="2" max="2" width="15.625" style="199" customWidth="1"/>
    <col min="3" max="3" width="20.625" style="199" customWidth="1"/>
    <col min="4" max="12" width="15.625" style="199" customWidth="1"/>
    <col min="13" max="13" width="20.625" style="199" customWidth="1"/>
    <col min="14" max="14" width="15.625" style="199" customWidth="1"/>
    <col min="15" max="15" width="20.625" style="199" customWidth="1"/>
    <col min="16" max="16384" width="9" style="199"/>
  </cols>
  <sheetData>
    <row r="1" s="199" customFormat="1" ht="30" customHeight="1" spans="1:4">
      <c r="A1" s="203" t="s">
        <v>0</v>
      </c>
      <c r="B1" s="204" t="s">
        <v>1</v>
      </c>
      <c r="C1" s="205" t="s">
        <v>2</v>
      </c>
      <c r="D1" s="206" t="s">
        <v>3</v>
      </c>
    </row>
    <row r="2" s="199" customFormat="1" ht="30" customHeight="1" spans="1:16">
      <c r="A2" s="204" t="s">
        <v>0</v>
      </c>
      <c r="B2" s="207" t="s">
        <v>4</v>
      </c>
      <c r="C2" s="204" t="s">
        <v>5</v>
      </c>
      <c r="D2" s="204" t="s">
        <v>6</v>
      </c>
      <c r="G2" s="208"/>
      <c r="H2" s="208"/>
      <c r="J2" s="208"/>
      <c r="K2" s="208"/>
      <c r="L2" s="208"/>
      <c r="M2" s="208"/>
      <c r="N2" s="208"/>
      <c r="O2" s="208"/>
      <c r="P2" s="208"/>
    </row>
    <row r="3" s="199" customFormat="1" ht="30" customHeight="1" spans="1:16">
      <c r="A3" s="209" t="s">
        <v>0</v>
      </c>
      <c r="B3" s="204" t="s">
        <v>7</v>
      </c>
      <c r="C3" s="204" t="s">
        <v>8</v>
      </c>
      <c r="D3" s="204" t="s">
        <v>9</v>
      </c>
      <c r="G3" s="208"/>
      <c r="H3" s="208"/>
      <c r="J3" s="208"/>
      <c r="K3" s="208"/>
      <c r="L3" s="208"/>
      <c r="M3" s="208"/>
      <c r="N3" s="208"/>
      <c r="O3" s="208"/>
      <c r="P3" s="208"/>
    </row>
    <row r="4" s="199" customFormat="1" ht="30" customHeight="1" spans="1:16">
      <c r="A4" s="208"/>
      <c r="B4" s="208"/>
      <c r="C4" s="208"/>
      <c r="D4" s="208"/>
      <c r="E4" s="208"/>
      <c r="F4" s="208"/>
      <c r="G4" s="208"/>
      <c r="H4" s="208"/>
      <c r="J4" s="208"/>
      <c r="K4" s="208"/>
      <c r="L4" s="208"/>
      <c r="M4" s="208"/>
      <c r="N4" s="208"/>
      <c r="O4" s="201"/>
      <c r="P4" s="201"/>
    </row>
    <row r="5" s="200" customFormat="1" ht="30" customHeight="1" spans="1:16380">
      <c r="A5" s="210" t="s">
        <v>10</v>
      </c>
      <c r="B5" s="211" t="s">
        <v>11</v>
      </c>
      <c r="C5" s="211" t="s">
        <v>12</v>
      </c>
      <c r="D5" s="211" t="s">
        <v>13</v>
      </c>
      <c r="E5" s="211" t="s">
        <v>14</v>
      </c>
      <c r="F5" s="211" t="s">
        <v>15</v>
      </c>
      <c r="G5" s="211" t="s">
        <v>16</v>
      </c>
      <c r="H5" s="211" t="s">
        <v>17</v>
      </c>
      <c r="I5" s="211" t="s">
        <v>18</v>
      </c>
      <c r="S5" s="208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</row>
    <row r="6" s="201" customFormat="1" ht="30" customHeight="1" spans="1:19">
      <c r="A6" s="210" t="s">
        <v>19</v>
      </c>
      <c r="B6" s="211" t="s">
        <v>20</v>
      </c>
      <c r="C6" s="211" t="s">
        <v>21</v>
      </c>
      <c r="D6" s="211" t="s">
        <v>22</v>
      </c>
      <c r="E6" s="211" t="s">
        <v>23</v>
      </c>
      <c r="F6" s="211" t="s">
        <v>24</v>
      </c>
      <c r="G6" s="211" t="s">
        <v>25</v>
      </c>
      <c r="H6" s="211" t="s">
        <v>26</v>
      </c>
      <c r="I6" s="211" t="s">
        <v>27</v>
      </c>
      <c r="S6" s="255"/>
    </row>
    <row r="7" s="199" customFormat="1" ht="30" customHeight="1" spans="1:16">
      <c r="A7" s="212" t="s">
        <v>28</v>
      </c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ht="30" customHeight="1" spans="1:15">
      <c r="A8" s="213" t="s">
        <v>29</v>
      </c>
      <c r="B8" s="214" t="s">
        <v>30</v>
      </c>
      <c r="C8" s="214" t="s">
        <v>31</v>
      </c>
      <c r="D8" s="214" t="s">
        <v>32</v>
      </c>
      <c r="E8" s="214" t="s">
        <v>33</v>
      </c>
      <c r="F8" s="214" t="s">
        <v>34</v>
      </c>
      <c r="G8" s="214" t="s">
        <v>35</v>
      </c>
      <c r="H8" s="214" t="s">
        <v>36</v>
      </c>
      <c r="I8" s="214" t="s">
        <v>37</v>
      </c>
      <c r="J8" s="214" t="s">
        <v>38</v>
      </c>
      <c r="K8" s="214" t="s">
        <v>39</v>
      </c>
      <c r="L8" s="214" t="s">
        <v>40</v>
      </c>
      <c r="M8" s="214" t="s">
        <v>41</v>
      </c>
      <c r="N8" s="214" t="s">
        <v>42</v>
      </c>
      <c r="O8" s="237" t="s">
        <v>43</v>
      </c>
    </row>
    <row r="9" s="202" customFormat="1" ht="30" customHeight="1" spans="1:15">
      <c r="A9" s="215">
        <v>1</v>
      </c>
      <c r="B9" s="216" t="s">
        <v>44</v>
      </c>
      <c r="C9" s="217" t="s">
        <v>45</v>
      </c>
      <c r="D9" s="218" t="s">
        <v>46</v>
      </c>
      <c r="E9" s="218" t="s">
        <v>47</v>
      </c>
      <c r="F9" s="219" t="s">
        <v>48</v>
      </c>
      <c r="G9" s="218" t="s">
        <v>49</v>
      </c>
      <c r="H9" s="218" t="s">
        <v>50</v>
      </c>
      <c r="I9" s="238">
        <v>20</v>
      </c>
      <c r="J9" s="218">
        <v>10</v>
      </c>
      <c r="K9" s="239">
        <v>1000000</v>
      </c>
      <c r="L9" s="239">
        <v>0</v>
      </c>
      <c r="M9" s="240" t="s">
        <v>51</v>
      </c>
      <c r="N9" s="217" t="s">
        <v>52</v>
      </c>
      <c r="O9" s="241">
        <v>43763.9939467593</v>
      </c>
    </row>
    <row r="10" s="202" customFormat="1" ht="30" customHeight="1" spans="1:15">
      <c r="A10" s="215"/>
      <c r="B10" s="216" t="s">
        <v>53</v>
      </c>
      <c r="C10" s="217"/>
      <c r="D10" s="218"/>
      <c r="E10" s="218"/>
      <c r="F10" s="219"/>
      <c r="G10" s="218"/>
      <c r="H10" s="218"/>
      <c r="I10" s="238"/>
      <c r="J10" s="218"/>
      <c r="K10" s="239"/>
      <c r="L10" s="239"/>
      <c r="M10" s="240"/>
      <c r="N10" s="217"/>
      <c r="O10" s="241"/>
    </row>
    <row r="11" s="202" customFormat="1" ht="30" customHeight="1" spans="1:15">
      <c r="A11" s="215"/>
      <c r="B11" s="216" t="s">
        <v>54</v>
      </c>
      <c r="C11" s="217"/>
      <c r="D11" s="218"/>
      <c r="E11" s="218"/>
      <c r="F11" s="219"/>
      <c r="G11" s="218"/>
      <c r="H11" s="218"/>
      <c r="I11" s="238"/>
      <c r="J11" s="218"/>
      <c r="K11" s="239"/>
      <c r="L11" s="239"/>
      <c r="M11" s="240"/>
      <c r="N11" s="217"/>
      <c r="O11" s="241"/>
    </row>
    <row r="12" s="202" customFormat="1" ht="30" customHeight="1" spans="1:15">
      <c r="A12" s="220">
        <v>2</v>
      </c>
      <c r="B12" s="221" t="s">
        <v>55</v>
      </c>
      <c r="C12" s="222" t="s">
        <v>45</v>
      </c>
      <c r="D12" s="222" t="s">
        <v>56</v>
      </c>
      <c r="E12" s="222" t="s">
        <v>47</v>
      </c>
      <c r="F12" s="223" t="s">
        <v>57</v>
      </c>
      <c r="G12" s="222" t="s">
        <v>49</v>
      </c>
      <c r="H12" s="222" t="s">
        <v>50</v>
      </c>
      <c r="I12" s="242">
        <v>21</v>
      </c>
      <c r="J12" s="222">
        <v>11</v>
      </c>
      <c r="K12" s="243">
        <v>0</v>
      </c>
      <c r="L12" s="243">
        <v>50000</v>
      </c>
      <c r="M12" s="244" t="s">
        <v>58</v>
      </c>
      <c r="N12" s="222" t="s">
        <v>52</v>
      </c>
      <c r="O12" s="245">
        <v>43764.9939467593</v>
      </c>
    </row>
    <row r="13" s="202" customFormat="1" ht="30" customHeight="1" spans="1:15">
      <c r="A13" s="215">
        <v>3</v>
      </c>
      <c r="B13" s="224" t="s">
        <v>59</v>
      </c>
      <c r="C13" s="225" t="s">
        <v>45</v>
      </c>
      <c r="D13" s="226" t="s">
        <v>56</v>
      </c>
      <c r="E13" s="226" t="s">
        <v>47</v>
      </c>
      <c r="F13" s="227" t="s">
        <v>48</v>
      </c>
      <c r="G13" s="226" t="s">
        <v>49</v>
      </c>
      <c r="H13" s="226" t="s">
        <v>50</v>
      </c>
      <c r="I13" s="246">
        <v>22</v>
      </c>
      <c r="J13" s="226">
        <v>12</v>
      </c>
      <c r="K13" s="247">
        <v>15000</v>
      </c>
      <c r="L13" s="247">
        <v>0</v>
      </c>
      <c r="M13" s="248"/>
      <c r="N13" s="225" t="s">
        <v>52</v>
      </c>
      <c r="O13" s="241">
        <v>43765.9939467593</v>
      </c>
    </row>
    <row r="14" s="202" customFormat="1" ht="30" customHeight="1" spans="1:15">
      <c r="A14" s="228">
        <v>4</v>
      </c>
      <c r="B14" s="229" t="s">
        <v>60</v>
      </c>
      <c r="C14" s="230" t="s">
        <v>45</v>
      </c>
      <c r="D14" s="231" t="s">
        <v>56</v>
      </c>
      <c r="E14" s="231" t="s">
        <v>47</v>
      </c>
      <c r="F14" s="232" t="s">
        <v>61</v>
      </c>
      <c r="G14" s="231" t="s">
        <v>49</v>
      </c>
      <c r="H14" s="231" t="s">
        <v>50</v>
      </c>
      <c r="I14" s="249">
        <v>23</v>
      </c>
      <c r="J14" s="231">
        <v>13</v>
      </c>
      <c r="K14" s="250">
        <v>0</v>
      </c>
      <c r="L14" s="250">
        <v>50000</v>
      </c>
      <c r="M14" s="251" t="s">
        <v>58</v>
      </c>
      <c r="N14" s="230" t="s">
        <v>52</v>
      </c>
      <c r="O14" s="252">
        <v>43766.9939467593</v>
      </c>
    </row>
    <row r="15" s="202" customFormat="1" ht="30" customHeight="1" spans="1:15">
      <c r="A15" s="215">
        <v>5</v>
      </c>
      <c r="B15" s="224" t="s">
        <v>62</v>
      </c>
      <c r="C15" s="225" t="s">
        <v>45</v>
      </c>
      <c r="D15" s="226" t="s">
        <v>56</v>
      </c>
      <c r="E15" s="226" t="s">
        <v>47</v>
      </c>
      <c r="F15" s="227" t="s">
        <v>61</v>
      </c>
      <c r="G15" s="226" t="s">
        <v>63</v>
      </c>
      <c r="H15" s="226" t="s">
        <v>50</v>
      </c>
      <c r="I15" s="246">
        <v>24</v>
      </c>
      <c r="J15" s="226">
        <v>29</v>
      </c>
      <c r="K15" s="247">
        <v>0</v>
      </c>
      <c r="L15" s="247">
        <v>15000</v>
      </c>
      <c r="M15" s="248" t="s">
        <v>58</v>
      </c>
      <c r="N15" s="225" t="s">
        <v>52</v>
      </c>
      <c r="O15" s="241">
        <v>43767.9939467593</v>
      </c>
    </row>
    <row r="16" s="202" customFormat="1" ht="30" customHeight="1" spans="1:15">
      <c r="A16" s="228">
        <v>6</v>
      </c>
      <c r="B16" s="229" t="s">
        <v>64</v>
      </c>
      <c r="C16" s="230" t="s">
        <v>45</v>
      </c>
      <c r="D16" s="231" t="s">
        <v>56</v>
      </c>
      <c r="E16" s="231" t="s">
        <v>47</v>
      </c>
      <c r="F16" s="232" t="s">
        <v>57</v>
      </c>
      <c r="G16" s="231" t="s">
        <v>49</v>
      </c>
      <c r="H16" s="231" t="s">
        <v>50</v>
      </c>
      <c r="I16" s="249">
        <v>25</v>
      </c>
      <c r="J16" s="231">
        <v>30</v>
      </c>
      <c r="K16" s="250">
        <v>0</v>
      </c>
      <c r="L16" s="250">
        <v>50000</v>
      </c>
      <c r="M16" s="251" t="s">
        <v>58</v>
      </c>
      <c r="N16" s="230" t="s">
        <v>52</v>
      </c>
      <c r="O16" s="252">
        <v>43768.9939467593</v>
      </c>
    </row>
    <row r="17" s="202" customFormat="1" ht="30" customHeight="1" spans="1:15">
      <c r="A17" s="215">
        <v>7</v>
      </c>
      <c r="B17" s="224" t="s">
        <v>65</v>
      </c>
      <c r="C17" s="225" t="s">
        <v>45</v>
      </c>
      <c r="D17" s="226" t="s">
        <v>56</v>
      </c>
      <c r="E17" s="226" t="s">
        <v>47</v>
      </c>
      <c r="F17" s="227" t="s">
        <v>48</v>
      </c>
      <c r="G17" s="226" t="s">
        <v>63</v>
      </c>
      <c r="H17" s="226" t="s">
        <v>66</v>
      </c>
      <c r="I17" s="246">
        <v>26</v>
      </c>
      <c r="J17" s="226">
        <v>31</v>
      </c>
      <c r="K17" s="247">
        <v>0</v>
      </c>
      <c r="L17" s="247">
        <v>15000</v>
      </c>
      <c r="M17" s="248" t="s">
        <v>58</v>
      </c>
      <c r="N17" s="225" t="s">
        <v>52</v>
      </c>
      <c r="O17" s="241">
        <v>43769.9939467593</v>
      </c>
    </row>
    <row r="18" s="202" customFormat="1" ht="30" customHeight="1" spans="1:15">
      <c r="A18" s="228">
        <v>8</v>
      </c>
      <c r="B18" s="229" t="s">
        <v>67</v>
      </c>
      <c r="C18" s="230" t="s">
        <v>45</v>
      </c>
      <c r="D18" s="231" t="s">
        <v>56</v>
      </c>
      <c r="E18" s="231" t="s">
        <v>47</v>
      </c>
      <c r="F18" s="232" t="s">
        <v>61</v>
      </c>
      <c r="G18" s="231" t="s">
        <v>63</v>
      </c>
      <c r="H18" s="231" t="s">
        <v>66</v>
      </c>
      <c r="I18" s="249">
        <v>27</v>
      </c>
      <c r="J18" s="231">
        <v>32</v>
      </c>
      <c r="K18" s="250">
        <v>0</v>
      </c>
      <c r="L18" s="250">
        <v>50000</v>
      </c>
      <c r="M18" s="251" t="s">
        <v>58</v>
      </c>
      <c r="N18" s="230" t="s">
        <v>52</v>
      </c>
      <c r="O18" s="252">
        <v>43770.9939467593</v>
      </c>
    </row>
    <row r="19" s="202" customFormat="1" ht="30" customHeight="1" spans="1:15">
      <c r="A19" s="215">
        <v>9</v>
      </c>
      <c r="B19" s="224" t="s">
        <v>68</v>
      </c>
      <c r="C19" s="225" t="s">
        <v>45</v>
      </c>
      <c r="D19" s="226" t="s">
        <v>56</v>
      </c>
      <c r="E19" s="226" t="s">
        <v>47</v>
      </c>
      <c r="F19" s="227" t="s">
        <v>61</v>
      </c>
      <c r="G19" s="226" t="s">
        <v>63</v>
      </c>
      <c r="H19" s="226" t="s">
        <v>66</v>
      </c>
      <c r="I19" s="246">
        <v>28</v>
      </c>
      <c r="J19" s="226">
        <v>33</v>
      </c>
      <c r="K19" s="247">
        <v>0</v>
      </c>
      <c r="L19" s="247">
        <v>15000</v>
      </c>
      <c r="M19" s="248" t="s">
        <v>58</v>
      </c>
      <c r="N19" s="225" t="s">
        <v>52</v>
      </c>
      <c r="O19" s="241">
        <v>43771.9939467593</v>
      </c>
    </row>
    <row r="20" s="202" customFormat="1" ht="30" customHeight="1" spans="1:15">
      <c r="A20" s="228">
        <v>10</v>
      </c>
      <c r="B20" s="229" t="s">
        <v>69</v>
      </c>
      <c r="C20" s="230" t="s">
        <v>45</v>
      </c>
      <c r="D20" s="231" t="s">
        <v>56</v>
      </c>
      <c r="E20" s="231" t="s">
        <v>47</v>
      </c>
      <c r="F20" s="232" t="s">
        <v>57</v>
      </c>
      <c r="G20" s="231" t="s">
        <v>63</v>
      </c>
      <c r="H20" s="231" t="s">
        <v>66</v>
      </c>
      <c r="I20" s="249">
        <v>29</v>
      </c>
      <c r="J20" s="231">
        <v>19</v>
      </c>
      <c r="K20" s="250">
        <v>0</v>
      </c>
      <c r="L20" s="250">
        <v>50000</v>
      </c>
      <c r="M20" s="251" t="s">
        <v>58</v>
      </c>
      <c r="N20" s="230" t="s">
        <v>52</v>
      </c>
      <c r="O20" s="252">
        <v>43772.9939467593</v>
      </c>
    </row>
    <row r="21" s="202" customFormat="1" ht="30" customHeight="1" spans="1:15">
      <c r="A21" s="215">
        <v>11</v>
      </c>
      <c r="B21" s="224" t="s">
        <v>70</v>
      </c>
      <c r="C21" s="225" t="s">
        <v>45</v>
      </c>
      <c r="D21" s="226" t="s">
        <v>56</v>
      </c>
      <c r="E21" s="226" t="s">
        <v>47</v>
      </c>
      <c r="F21" s="227" t="s">
        <v>48</v>
      </c>
      <c r="G21" s="226" t="s">
        <v>49</v>
      </c>
      <c r="H21" s="226" t="s">
        <v>50</v>
      </c>
      <c r="I21" s="246">
        <v>30</v>
      </c>
      <c r="J21" s="226">
        <v>20</v>
      </c>
      <c r="K21" s="247">
        <v>0</v>
      </c>
      <c r="L21" s="247">
        <v>15000</v>
      </c>
      <c r="M21" s="248" t="s">
        <v>58</v>
      </c>
      <c r="N21" s="225" t="s">
        <v>52</v>
      </c>
      <c r="O21" s="241">
        <v>43773.9939467593</v>
      </c>
    </row>
    <row r="22" s="202" customFormat="1" ht="30" customHeight="1" spans="1:15">
      <c r="A22" s="228">
        <v>12</v>
      </c>
      <c r="B22" s="229" t="s">
        <v>71</v>
      </c>
      <c r="C22" s="230" t="s">
        <v>45</v>
      </c>
      <c r="D22" s="231" t="s">
        <v>56</v>
      </c>
      <c r="E22" s="231" t="s">
        <v>47</v>
      </c>
      <c r="F22" s="232" t="s">
        <v>61</v>
      </c>
      <c r="G22" s="231" t="s">
        <v>49</v>
      </c>
      <c r="H22" s="231" t="s">
        <v>50</v>
      </c>
      <c r="I22" s="249">
        <v>31</v>
      </c>
      <c r="J22" s="231">
        <v>21</v>
      </c>
      <c r="K22" s="250">
        <v>0</v>
      </c>
      <c r="L22" s="250">
        <v>50000</v>
      </c>
      <c r="M22" s="251" t="s">
        <v>58</v>
      </c>
      <c r="N22" s="230" t="s">
        <v>52</v>
      </c>
      <c r="O22" s="252">
        <v>43774.9939467593</v>
      </c>
    </row>
    <row r="23" s="202" customFormat="1" ht="30" customHeight="1" spans="1:15">
      <c r="A23" s="215">
        <v>13</v>
      </c>
      <c r="B23" s="224" t="s">
        <v>72</v>
      </c>
      <c r="C23" s="225" t="s">
        <v>45</v>
      </c>
      <c r="D23" s="226" t="s">
        <v>56</v>
      </c>
      <c r="E23" s="226" t="s">
        <v>47</v>
      </c>
      <c r="F23" s="227" t="s">
        <v>61</v>
      </c>
      <c r="G23" s="226" t="s">
        <v>49</v>
      </c>
      <c r="H23" s="226" t="s">
        <v>50</v>
      </c>
      <c r="I23" s="246">
        <v>32</v>
      </c>
      <c r="J23" s="226">
        <v>22</v>
      </c>
      <c r="K23" s="247">
        <v>15000</v>
      </c>
      <c r="L23" s="247">
        <v>0</v>
      </c>
      <c r="M23" s="248" t="s">
        <v>73</v>
      </c>
      <c r="N23" s="225" t="s">
        <v>52</v>
      </c>
      <c r="O23" s="241">
        <v>43775.9939467593</v>
      </c>
    </row>
    <row r="24" s="202" customFormat="1" ht="30" customHeight="1" spans="1:15">
      <c r="A24" s="228">
        <v>14</v>
      </c>
      <c r="B24" s="229" t="s">
        <v>60</v>
      </c>
      <c r="C24" s="230" t="s">
        <v>45</v>
      </c>
      <c r="D24" s="231" t="s">
        <v>46</v>
      </c>
      <c r="E24" s="231" t="s">
        <v>47</v>
      </c>
      <c r="F24" s="232" t="s">
        <v>57</v>
      </c>
      <c r="G24" s="231" t="s">
        <v>49</v>
      </c>
      <c r="H24" s="231" t="s">
        <v>50</v>
      </c>
      <c r="I24" s="249">
        <v>33</v>
      </c>
      <c r="J24" s="231">
        <v>23</v>
      </c>
      <c r="K24" s="250">
        <v>50000</v>
      </c>
      <c r="L24" s="250">
        <v>0</v>
      </c>
      <c r="M24" s="251" t="s">
        <v>73</v>
      </c>
      <c r="N24" s="230" t="s">
        <v>52</v>
      </c>
      <c r="O24" s="252">
        <v>43776.9939467593</v>
      </c>
    </row>
    <row r="25" s="202" customFormat="1" ht="30" customHeight="1" spans="1:15">
      <c r="A25" s="215">
        <v>15</v>
      </c>
      <c r="B25" s="224" t="s">
        <v>74</v>
      </c>
      <c r="C25" s="225" t="s">
        <v>45</v>
      </c>
      <c r="D25" s="226" t="s">
        <v>46</v>
      </c>
      <c r="E25" s="226" t="s">
        <v>47</v>
      </c>
      <c r="F25" s="227" t="s">
        <v>48</v>
      </c>
      <c r="G25" s="226" t="s">
        <v>63</v>
      </c>
      <c r="H25" s="226" t="s">
        <v>50</v>
      </c>
      <c r="I25" s="246">
        <v>34</v>
      </c>
      <c r="J25" s="226">
        <v>24</v>
      </c>
      <c r="K25" s="247">
        <v>15000</v>
      </c>
      <c r="L25" s="247">
        <v>0</v>
      </c>
      <c r="M25" s="248" t="s">
        <v>73</v>
      </c>
      <c r="N25" s="225" t="s">
        <v>52</v>
      </c>
      <c r="O25" s="241">
        <v>43777.9939467593</v>
      </c>
    </row>
    <row r="26" s="202" customFormat="1" ht="30" customHeight="1" spans="1:15">
      <c r="A26" s="228">
        <v>16</v>
      </c>
      <c r="B26" s="229" t="s">
        <v>75</v>
      </c>
      <c r="C26" s="230" t="s">
        <v>45</v>
      </c>
      <c r="D26" s="231" t="s">
        <v>46</v>
      </c>
      <c r="E26" s="231" t="s">
        <v>47</v>
      </c>
      <c r="F26" s="232" t="s">
        <v>61</v>
      </c>
      <c r="G26" s="231" t="s">
        <v>63</v>
      </c>
      <c r="H26" s="231" t="s">
        <v>50</v>
      </c>
      <c r="I26" s="249">
        <v>35</v>
      </c>
      <c r="J26" s="231">
        <v>25</v>
      </c>
      <c r="K26" s="250">
        <v>50000</v>
      </c>
      <c r="L26" s="250">
        <v>0</v>
      </c>
      <c r="M26" s="251" t="s">
        <v>73</v>
      </c>
      <c r="N26" s="230" t="s">
        <v>52</v>
      </c>
      <c r="O26" s="252">
        <v>43778.9939467593</v>
      </c>
    </row>
    <row r="27" s="202" customFormat="1" ht="30" customHeight="1" spans="1:15">
      <c r="A27" s="215">
        <v>17</v>
      </c>
      <c r="B27" s="224" t="s">
        <v>76</v>
      </c>
      <c r="C27" s="225" t="s">
        <v>45</v>
      </c>
      <c r="D27" s="226" t="s">
        <v>46</v>
      </c>
      <c r="E27" s="226" t="s">
        <v>47</v>
      </c>
      <c r="F27" s="227" t="s">
        <v>61</v>
      </c>
      <c r="G27" s="226" t="s">
        <v>63</v>
      </c>
      <c r="H27" s="226" t="s">
        <v>50</v>
      </c>
      <c r="I27" s="246">
        <v>36</v>
      </c>
      <c r="J27" s="226">
        <v>26</v>
      </c>
      <c r="K27" s="247">
        <v>15000</v>
      </c>
      <c r="L27" s="247">
        <v>0</v>
      </c>
      <c r="M27" s="248" t="s">
        <v>73</v>
      </c>
      <c r="N27" s="225" t="s">
        <v>52</v>
      </c>
      <c r="O27" s="241">
        <v>43779.9939467593</v>
      </c>
    </row>
    <row r="28" s="202" customFormat="1" ht="30" customHeight="1" spans="1:15">
      <c r="A28" s="228">
        <v>18</v>
      </c>
      <c r="B28" s="229" t="s">
        <v>77</v>
      </c>
      <c r="C28" s="230" t="s">
        <v>45</v>
      </c>
      <c r="D28" s="231" t="s">
        <v>46</v>
      </c>
      <c r="E28" s="231" t="s">
        <v>47</v>
      </c>
      <c r="F28" s="232" t="s">
        <v>61</v>
      </c>
      <c r="G28" s="231" t="s">
        <v>63</v>
      </c>
      <c r="H28" s="231" t="s">
        <v>50</v>
      </c>
      <c r="I28" s="249">
        <v>37</v>
      </c>
      <c r="J28" s="231">
        <v>27</v>
      </c>
      <c r="K28" s="250">
        <v>50000</v>
      </c>
      <c r="L28" s="250">
        <v>0</v>
      </c>
      <c r="M28" s="251" t="s">
        <v>73</v>
      </c>
      <c r="N28" s="230" t="s">
        <v>52</v>
      </c>
      <c r="O28" s="252">
        <v>43780.9939467593</v>
      </c>
    </row>
    <row r="29" s="202" customFormat="1" ht="30" customHeight="1" spans="1:15">
      <c r="A29" s="215">
        <v>19</v>
      </c>
      <c r="B29" s="224" t="s">
        <v>78</v>
      </c>
      <c r="C29" s="225" t="s">
        <v>45</v>
      </c>
      <c r="D29" s="226" t="s">
        <v>46</v>
      </c>
      <c r="E29" s="226" t="s">
        <v>47</v>
      </c>
      <c r="F29" s="227" t="s">
        <v>61</v>
      </c>
      <c r="G29" s="226" t="s">
        <v>63</v>
      </c>
      <c r="H29" s="226" t="s">
        <v>50</v>
      </c>
      <c r="I29" s="246">
        <v>38</v>
      </c>
      <c r="J29" s="226">
        <v>28</v>
      </c>
      <c r="K29" s="247">
        <v>15000</v>
      </c>
      <c r="L29" s="247">
        <v>0</v>
      </c>
      <c r="M29" s="248" t="s">
        <v>73</v>
      </c>
      <c r="N29" s="225" t="s">
        <v>52</v>
      </c>
      <c r="O29" s="241">
        <v>43781.9939467593</v>
      </c>
    </row>
    <row r="30" s="202" customFormat="1" ht="30" customHeight="1" spans="1:15">
      <c r="A30" s="228">
        <v>20</v>
      </c>
      <c r="B30" s="233" t="s">
        <v>79</v>
      </c>
      <c r="C30" s="230" t="s">
        <v>45</v>
      </c>
      <c r="D30" s="231" t="s">
        <v>46</v>
      </c>
      <c r="E30" s="231" t="s">
        <v>47</v>
      </c>
      <c r="F30" s="232" t="s">
        <v>61</v>
      </c>
      <c r="G30" s="231" t="s">
        <v>63</v>
      </c>
      <c r="H30" s="231" t="s">
        <v>50</v>
      </c>
      <c r="I30" s="249">
        <v>39</v>
      </c>
      <c r="J30" s="231">
        <v>29</v>
      </c>
      <c r="K30" s="250">
        <v>50000</v>
      </c>
      <c r="L30" s="250">
        <v>0</v>
      </c>
      <c r="M30" s="251" t="s">
        <v>73</v>
      </c>
      <c r="N30" s="230" t="s">
        <v>52</v>
      </c>
      <c r="O30" s="252">
        <v>43782.9939467593</v>
      </c>
    </row>
    <row r="31" s="202" customFormat="1" ht="30" customHeight="1" spans="1:15">
      <c r="A31" s="215"/>
      <c r="B31" s="234"/>
      <c r="C31" s="225"/>
      <c r="D31" s="226"/>
      <c r="E31" s="226"/>
      <c r="F31" s="227"/>
      <c r="G31" s="226"/>
      <c r="H31" s="226"/>
      <c r="I31" s="246"/>
      <c r="J31" s="226"/>
      <c r="K31" s="253">
        <f>SUM(K9:K30)</f>
        <v>1275000</v>
      </c>
      <c r="L31" s="253">
        <f>SUM(L9:L30)</f>
        <v>360000</v>
      </c>
      <c r="M31" s="253"/>
      <c r="N31" s="225"/>
      <c r="O31" s="241"/>
    </row>
    <row r="32" ht="30" customHeight="1" spans="1:15">
      <c r="A32" s="235"/>
      <c r="B32" s="236"/>
      <c r="C32" s="236"/>
      <c r="D32" s="236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54"/>
    </row>
  </sheetData>
  <mergeCells count="16">
    <mergeCell ref="A4:B4"/>
    <mergeCell ref="A32:O32"/>
    <mergeCell ref="A9:A11"/>
    <mergeCell ref="C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N9:N11"/>
    <mergeCell ref="O9:O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48"/>
  <sheetViews>
    <sheetView workbookViewId="0">
      <selection activeCell="B17" sqref="B17:T17"/>
    </sheetView>
  </sheetViews>
  <sheetFormatPr defaultColWidth="9" defaultRowHeight="12"/>
  <cols>
    <col min="1" max="1" width="9" style="2"/>
    <col min="2" max="20" width="10.625" style="2" customWidth="1"/>
    <col min="21" max="16384" width="9" style="2"/>
  </cols>
  <sheetData>
    <row r="1" ht="25" customHeight="1" spans="2:20">
      <c r="B1" s="4" t="s">
        <v>80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0">
      <c r="B2" s="7" t="s">
        <v>81</v>
      </c>
      <c r="C2" s="8"/>
      <c r="D2" s="9" t="s">
        <v>82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1"/>
      <c r="Q2" s="71"/>
      <c r="R2" s="71"/>
      <c r="S2" s="71"/>
      <c r="T2" s="105"/>
    </row>
    <row r="3" s="1" customFormat="1" ht="25" customHeight="1" spans="2:20">
      <c r="B3" s="7" t="s">
        <v>83</v>
      </c>
      <c r="C3" s="8"/>
      <c r="D3" s="8" t="s">
        <v>84</v>
      </c>
      <c r="E3" s="8"/>
      <c r="F3" s="9" t="s">
        <v>85</v>
      </c>
      <c r="G3" s="9"/>
      <c r="H3" s="9"/>
      <c r="I3" s="9" t="s">
        <v>86</v>
      </c>
      <c r="J3" s="9"/>
      <c r="K3" s="9"/>
      <c r="L3" s="8" t="s">
        <v>87</v>
      </c>
      <c r="M3" s="8"/>
      <c r="N3" s="8" t="s">
        <v>88</v>
      </c>
      <c r="O3" s="8"/>
      <c r="P3" s="71"/>
      <c r="Q3" s="71"/>
      <c r="R3" s="71"/>
      <c r="S3" s="71"/>
      <c r="T3" s="105"/>
    </row>
    <row r="4" ht="25" customHeight="1" spans="2:20">
      <c r="B4" s="10" t="s">
        <v>89</v>
      </c>
      <c r="C4" s="11"/>
      <c r="D4" s="11"/>
      <c r="E4" s="12" t="s">
        <v>90</v>
      </c>
      <c r="F4" s="12"/>
      <c r="G4" s="12"/>
      <c r="H4" s="12" t="s">
        <v>91</v>
      </c>
      <c r="I4" s="12"/>
      <c r="J4" s="12"/>
      <c r="K4" s="72"/>
      <c r="L4" s="73"/>
      <c r="M4" s="74"/>
      <c r="N4" s="74"/>
      <c r="O4" s="74"/>
      <c r="P4" s="74"/>
      <c r="Q4" s="74"/>
      <c r="R4" s="74"/>
      <c r="S4" s="74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30</v>
      </c>
      <c r="C6" s="16"/>
      <c r="D6" s="17" t="s">
        <v>92</v>
      </c>
      <c r="E6" s="18" t="s">
        <v>93</v>
      </c>
      <c r="F6" s="18"/>
      <c r="G6" s="18" t="s">
        <v>38</v>
      </c>
      <c r="H6" s="18" t="s">
        <v>94</v>
      </c>
      <c r="I6" s="18"/>
      <c r="J6" s="18" t="s">
        <v>95</v>
      </c>
      <c r="K6" s="18"/>
      <c r="L6" s="18" t="s">
        <v>96</v>
      </c>
      <c r="M6" s="18"/>
      <c r="N6" s="75" t="s">
        <v>97</v>
      </c>
      <c r="O6" s="75"/>
      <c r="P6" s="75" t="s">
        <v>98</v>
      </c>
      <c r="Q6" s="75"/>
      <c r="R6" s="161"/>
      <c r="S6" s="17"/>
      <c r="T6" s="109"/>
    </row>
    <row r="7" ht="25" customHeight="1" spans="2:20">
      <c r="B7" s="19" t="s">
        <v>99</v>
      </c>
      <c r="C7" s="20"/>
      <c r="D7" s="21" t="s">
        <v>100</v>
      </c>
      <c r="E7" s="22">
        <v>50</v>
      </c>
      <c r="F7" s="22"/>
      <c r="G7" s="23">
        <v>20</v>
      </c>
      <c r="H7" s="22">
        <v>1300</v>
      </c>
      <c r="I7" s="22"/>
      <c r="J7" s="76">
        <v>0.52</v>
      </c>
      <c r="K7" s="76"/>
      <c r="L7" s="76">
        <v>0.52</v>
      </c>
      <c r="M7" s="76"/>
      <c r="N7" s="77">
        <v>0.52</v>
      </c>
      <c r="O7" s="77"/>
      <c r="P7" s="110">
        <v>0.9</v>
      </c>
      <c r="Q7" s="110"/>
      <c r="R7" s="162"/>
      <c r="S7" s="21"/>
      <c r="T7" s="111"/>
    </row>
    <row r="8" ht="25" customHeight="1" spans="2:20">
      <c r="B8" s="24" t="s">
        <v>101</v>
      </c>
      <c r="C8" s="25"/>
      <c r="D8" s="21" t="s">
        <v>102</v>
      </c>
      <c r="E8" s="22">
        <v>20</v>
      </c>
      <c r="F8" s="22"/>
      <c r="G8" s="23">
        <v>20</v>
      </c>
      <c r="H8" s="22">
        <v>1000</v>
      </c>
      <c r="I8" s="22"/>
      <c r="J8" s="76">
        <v>0.4</v>
      </c>
      <c r="K8" s="76"/>
      <c r="L8" s="76">
        <v>0.4</v>
      </c>
      <c r="M8" s="76"/>
      <c r="N8" s="77">
        <v>0.4</v>
      </c>
      <c r="O8" s="77"/>
      <c r="P8" s="110">
        <v>0.7</v>
      </c>
      <c r="Q8" s="110"/>
      <c r="R8" s="162"/>
      <c r="S8" s="25"/>
      <c r="T8" s="111"/>
    </row>
    <row r="9" ht="25" customHeight="1" spans="2:20">
      <c r="B9" s="24" t="s">
        <v>103</v>
      </c>
      <c r="C9" s="25"/>
      <c r="D9" s="21" t="s">
        <v>104</v>
      </c>
      <c r="E9" s="22">
        <v>5</v>
      </c>
      <c r="F9" s="22"/>
      <c r="G9" s="23">
        <v>5</v>
      </c>
      <c r="H9" s="22">
        <v>200</v>
      </c>
      <c r="I9" s="22"/>
      <c r="J9" s="76">
        <v>0.08</v>
      </c>
      <c r="K9" s="76"/>
      <c r="L9" s="76">
        <v>0.08</v>
      </c>
      <c r="M9" s="76"/>
      <c r="N9" s="77">
        <v>0.08</v>
      </c>
      <c r="O9" s="77"/>
      <c r="P9" s="77">
        <v>0.5</v>
      </c>
      <c r="Q9" s="77"/>
      <c r="R9" s="163"/>
      <c r="S9" s="21"/>
      <c r="T9" s="111"/>
    </row>
    <row r="10" ht="25" customHeight="1" spans="2:20">
      <c r="B10" s="24"/>
      <c r="C10" s="21"/>
      <c r="D10" s="21"/>
      <c r="E10" s="26">
        <f t="shared" ref="E10:H10" si="0">SUM(E7:E9)</f>
        <v>75</v>
      </c>
      <c r="F10" s="26"/>
      <c r="G10" s="27">
        <f t="shared" si="0"/>
        <v>45</v>
      </c>
      <c r="H10" s="26">
        <f t="shared" si="0"/>
        <v>2500</v>
      </c>
      <c r="I10" s="26"/>
      <c r="J10" s="79"/>
      <c r="K10" s="79"/>
      <c r="L10" s="79"/>
      <c r="M10" s="79"/>
      <c r="N10" s="25"/>
      <c r="O10" s="25"/>
      <c r="P10" s="25"/>
      <c r="Q10" s="25"/>
      <c r="R10" s="164"/>
      <c r="S10" s="21"/>
      <c r="T10" s="111"/>
    </row>
    <row r="11" ht="1" customHeight="1" spans="2:20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08"/>
    </row>
    <row r="12" ht="25" customHeight="1" spans="2:20">
      <c r="B12" s="141" t="s">
        <v>105</v>
      </c>
      <c r="C12" s="142" t="s">
        <v>106</v>
      </c>
      <c r="D12" s="143" t="s">
        <v>107</v>
      </c>
      <c r="E12" s="144"/>
      <c r="F12" s="143" t="s">
        <v>108</v>
      </c>
      <c r="G12" s="144"/>
      <c r="H12" s="143" t="s">
        <v>109</v>
      </c>
      <c r="I12" s="144"/>
      <c r="J12" s="143" t="s">
        <v>105</v>
      </c>
      <c r="K12" s="144"/>
      <c r="L12" s="150" t="s">
        <v>110</v>
      </c>
      <c r="M12" s="143" t="s">
        <v>105</v>
      </c>
      <c r="N12" s="144"/>
      <c r="O12" s="143" t="s">
        <v>111</v>
      </c>
      <c r="P12" s="143" t="s">
        <v>112</v>
      </c>
      <c r="Q12" s="144"/>
      <c r="R12" s="143" t="s">
        <v>113</v>
      </c>
      <c r="S12" s="144"/>
      <c r="T12" s="165" t="s">
        <v>114</v>
      </c>
    </row>
    <row r="13" ht="25" customHeight="1" spans="2:20">
      <c r="B13" s="141"/>
      <c r="C13" s="145" t="s">
        <v>115</v>
      </c>
      <c r="D13" s="146">
        <v>5000000</v>
      </c>
      <c r="E13" s="146"/>
      <c r="F13" s="146">
        <v>-3000000</v>
      </c>
      <c r="G13" s="146"/>
      <c r="H13" s="146">
        <v>-100000</v>
      </c>
      <c r="I13" s="146"/>
      <c r="J13" s="146" t="s">
        <v>116</v>
      </c>
      <c r="K13" s="146"/>
      <c r="L13" s="150"/>
      <c r="M13" s="146" t="s">
        <v>116</v>
      </c>
      <c r="N13" s="146"/>
      <c r="O13" s="146">
        <v>93</v>
      </c>
      <c r="P13" s="146" t="s">
        <v>117</v>
      </c>
      <c r="Q13" s="146"/>
      <c r="R13" s="166" t="s">
        <v>118</v>
      </c>
      <c r="S13" s="166"/>
      <c r="T13" s="167" t="s">
        <v>119</v>
      </c>
    </row>
    <row r="14" ht="25" customHeight="1" spans="2:20">
      <c r="B14" s="141"/>
      <c r="C14" s="145" t="s">
        <v>120</v>
      </c>
      <c r="D14" s="146">
        <v>300</v>
      </c>
      <c r="E14" s="146"/>
      <c r="F14" s="146">
        <v>0</v>
      </c>
      <c r="G14" s="146"/>
      <c r="H14" s="146">
        <v>0</v>
      </c>
      <c r="I14" s="146"/>
      <c r="J14" s="146" t="s">
        <v>121</v>
      </c>
      <c r="K14" s="146"/>
      <c r="L14" s="150"/>
      <c r="M14" s="146" t="s">
        <v>121</v>
      </c>
      <c r="N14" s="146"/>
      <c r="O14" s="146">
        <v>6.35</v>
      </c>
      <c r="P14" s="146" t="s">
        <v>122</v>
      </c>
      <c r="Q14" s="146"/>
      <c r="R14" s="166" t="s">
        <v>118</v>
      </c>
      <c r="S14" s="166"/>
      <c r="T14" s="167" t="s">
        <v>119</v>
      </c>
    </row>
    <row r="15" ht="25" customHeight="1" spans="2:20">
      <c r="B15" s="141"/>
      <c r="C15" s="147"/>
      <c r="D15" s="146"/>
      <c r="E15" s="146"/>
      <c r="F15" s="146"/>
      <c r="G15" s="146"/>
      <c r="H15" s="146"/>
      <c r="I15" s="146"/>
      <c r="J15" s="146"/>
      <c r="K15" s="146"/>
      <c r="L15" s="150"/>
      <c r="M15" s="146"/>
      <c r="N15" s="146"/>
      <c r="O15" s="151" t="s">
        <v>123</v>
      </c>
      <c r="P15" s="152">
        <v>22335</v>
      </c>
      <c r="Q15" s="152"/>
      <c r="R15" s="166"/>
      <c r="S15" s="166"/>
      <c r="T15" s="168"/>
    </row>
    <row r="16" ht="1" customHeight="1" spans="2:20">
      <c r="B16" s="148"/>
      <c r="C16" s="149"/>
      <c r="D16" s="149"/>
      <c r="E16" s="149"/>
      <c r="F16" s="149"/>
      <c r="G16" s="149"/>
      <c r="H16" s="149"/>
      <c r="I16" s="149"/>
      <c r="J16" s="149"/>
      <c r="K16" s="153"/>
      <c r="L16" s="154"/>
      <c r="M16" s="154"/>
      <c r="N16" s="155"/>
      <c r="O16" s="155"/>
      <c r="P16" s="156"/>
      <c r="Q16" s="156"/>
      <c r="R16" s="169"/>
      <c r="S16" s="156"/>
      <c r="T16" s="170"/>
    </row>
    <row r="17" ht="25" customHeight="1" spans="2:20">
      <c r="B17" s="30" t="s">
        <v>124</v>
      </c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113"/>
    </row>
    <row r="18" ht="25" customHeight="1" spans="2:20">
      <c r="B18" s="33" t="s">
        <v>125</v>
      </c>
      <c r="C18" s="34" t="s">
        <v>126</v>
      </c>
      <c r="D18" s="34"/>
      <c r="E18" s="34" t="s">
        <v>127</v>
      </c>
      <c r="F18" s="34"/>
      <c r="G18" s="171" t="s">
        <v>31</v>
      </c>
      <c r="H18" s="34"/>
      <c r="I18" s="171" t="s">
        <v>128</v>
      </c>
      <c r="J18" s="34"/>
      <c r="K18" s="171" t="s">
        <v>111</v>
      </c>
      <c r="L18" s="34"/>
      <c r="M18" s="171" t="s">
        <v>129</v>
      </c>
      <c r="N18" s="34"/>
      <c r="O18" s="171" t="s">
        <v>130</v>
      </c>
      <c r="P18" s="34"/>
      <c r="Q18" s="171" t="s">
        <v>131</v>
      </c>
      <c r="R18" s="34"/>
      <c r="S18" s="171" t="s">
        <v>132</v>
      </c>
      <c r="T18" s="114"/>
    </row>
    <row r="19" ht="25" customHeight="1" spans="2:20">
      <c r="B19" s="36" t="s">
        <v>133</v>
      </c>
      <c r="C19" s="37" t="s">
        <v>134</v>
      </c>
      <c r="D19" s="37"/>
      <c r="E19" s="37" t="s">
        <v>135</v>
      </c>
      <c r="F19" s="37"/>
      <c r="G19" s="37" t="s">
        <v>136</v>
      </c>
      <c r="H19" s="37"/>
      <c r="I19" s="88">
        <v>1</v>
      </c>
      <c r="J19" s="88"/>
      <c r="K19" s="88">
        <v>580</v>
      </c>
      <c r="L19" s="88"/>
      <c r="M19" s="88">
        <v>10000</v>
      </c>
      <c r="N19" s="88"/>
      <c r="O19" s="183" t="s">
        <v>137</v>
      </c>
      <c r="P19" s="166"/>
      <c r="Q19" s="88">
        <v>10000</v>
      </c>
      <c r="R19" s="88"/>
      <c r="S19" s="88">
        <v>0</v>
      </c>
      <c r="T19" s="190"/>
    </row>
    <row r="20" ht="25" customHeight="1" spans="2:20">
      <c r="B20" s="39"/>
      <c r="C20" s="37" t="s">
        <v>138</v>
      </c>
      <c r="D20" s="37"/>
      <c r="E20" s="37" t="s">
        <v>135</v>
      </c>
      <c r="F20" s="37"/>
      <c r="G20" s="37" t="s">
        <v>136</v>
      </c>
      <c r="H20" s="37"/>
      <c r="I20" s="88">
        <v>2</v>
      </c>
      <c r="J20" s="88"/>
      <c r="K20" s="88">
        <v>580</v>
      </c>
      <c r="L20" s="88"/>
      <c r="M20" s="88">
        <v>10001</v>
      </c>
      <c r="N20" s="88"/>
      <c r="O20" s="183" t="s">
        <v>137</v>
      </c>
      <c r="P20" s="166"/>
      <c r="Q20" s="88">
        <v>0</v>
      </c>
      <c r="R20" s="88"/>
      <c r="S20" s="88">
        <v>10001</v>
      </c>
      <c r="T20" s="190"/>
    </row>
    <row r="21" ht="25" customHeight="1" spans="2:20">
      <c r="B21" s="39"/>
      <c r="C21" s="37" t="s">
        <v>139</v>
      </c>
      <c r="D21" s="37"/>
      <c r="E21" s="37" t="s">
        <v>135</v>
      </c>
      <c r="F21" s="37"/>
      <c r="G21" s="37" t="s">
        <v>136</v>
      </c>
      <c r="H21" s="37"/>
      <c r="I21" s="88">
        <v>3</v>
      </c>
      <c r="J21" s="88"/>
      <c r="K21" s="88">
        <v>580</v>
      </c>
      <c r="L21" s="88"/>
      <c r="M21" s="88">
        <v>10002</v>
      </c>
      <c r="N21" s="88"/>
      <c r="O21" s="183" t="s">
        <v>137</v>
      </c>
      <c r="P21" s="166"/>
      <c r="Q21" s="88">
        <v>0</v>
      </c>
      <c r="R21" s="88"/>
      <c r="S21" s="88">
        <v>10002</v>
      </c>
      <c r="T21" s="190"/>
    </row>
    <row r="22" ht="25" customHeight="1" spans="2:20">
      <c r="B22" s="39"/>
      <c r="C22" s="37" t="s">
        <v>140</v>
      </c>
      <c r="D22" s="37"/>
      <c r="E22" s="37" t="s">
        <v>135</v>
      </c>
      <c r="F22" s="37"/>
      <c r="G22" s="37" t="s">
        <v>136</v>
      </c>
      <c r="H22" s="37"/>
      <c r="I22" s="88">
        <v>4</v>
      </c>
      <c r="J22" s="88"/>
      <c r="K22" s="88">
        <v>580</v>
      </c>
      <c r="L22" s="88"/>
      <c r="M22" s="88">
        <v>10000</v>
      </c>
      <c r="N22" s="88"/>
      <c r="O22" s="183" t="s">
        <v>141</v>
      </c>
      <c r="P22" s="166"/>
      <c r="Q22" s="88">
        <v>0</v>
      </c>
      <c r="R22" s="88"/>
      <c r="S22" s="88">
        <v>0</v>
      </c>
      <c r="T22" s="190"/>
    </row>
    <row r="23" ht="1" customHeight="1" spans="2:20">
      <c r="B23" s="40"/>
      <c r="C23" s="41"/>
      <c r="D23" s="41"/>
      <c r="E23" s="43"/>
      <c r="F23" s="41"/>
      <c r="G23" s="41"/>
      <c r="H23" s="41"/>
      <c r="I23" s="43"/>
      <c r="J23" s="43"/>
      <c r="K23" s="43"/>
      <c r="L23" s="43"/>
      <c r="M23" s="43"/>
      <c r="N23" s="43"/>
      <c r="O23" s="184"/>
      <c r="P23" s="185"/>
      <c r="Q23" s="41"/>
      <c r="R23" s="43"/>
      <c r="S23" s="43"/>
      <c r="T23" s="191"/>
    </row>
    <row r="24" ht="25" customHeight="1" spans="2:20">
      <c r="B24" s="36" t="s">
        <v>142</v>
      </c>
      <c r="C24" s="37" t="s">
        <v>140</v>
      </c>
      <c r="D24" s="37"/>
      <c r="E24" s="37" t="s">
        <v>135</v>
      </c>
      <c r="F24" s="37"/>
      <c r="G24" s="37" t="s">
        <v>136</v>
      </c>
      <c r="H24" s="37"/>
      <c r="I24" s="88">
        <v>4</v>
      </c>
      <c r="J24" s="88"/>
      <c r="K24" s="88">
        <v>580</v>
      </c>
      <c r="L24" s="88"/>
      <c r="M24" s="88">
        <v>10000</v>
      </c>
      <c r="N24" s="88"/>
      <c r="O24" s="183" t="s">
        <v>143</v>
      </c>
      <c r="P24" s="166"/>
      <c r="Q24" s="88">
        <v>0</v>
      </c>
      <c r="R24" s="88"/>
      <c r="S24" s="88">
        <v>10000</v>
      </c>
      <c r="T24" s="190"/>
    </row>
    <row r="25" ht="25" customHeight="1" spans="2:20">
      <c r="B25" s="39"/>
      <c r="C25" s="37" t="s">
        <v>144</v>
      </c>
      <c r="D25" s="37"/>
      <c r="E25" s="37" t="s">
        <v>135</v>
      </c>
      <c r="F25" s="37"/>
      <c r="G25" s="37" t="s">
        <v>136</v>
      </c>
      <c r="H25" s="37"/>
      <c r="I25" s="88">
        <v>5</v>
      </c>
      <c r="J25" s="88"/>
      <c r="K25" s="88">
        <v>580</v>
      </c>
      <c r="L25" s="88"/>
      <c r="M25" s="88">
        <v>10001</v>
      </c>
      <c r="N25" s="88"/>
      <c r="O25" s="183" t="s">
        <v>145</v>
      </c>
      <c r="P25" s="166"/>
      <c r="Q25" s="88">
        <v>0</v>
      </c>
      <c r="R25" s="88"/>
      <c r="S25" s="88">
        <v>10001</v>
      </c>
      <c r="T25" s="190"/>
    </row>
    <row r="26" ht="25" customHeight="1" spans="2:20">
      <c r="B26" s="39"/>
      <c r="C26" s="37" t="s">
        <v>146</v>
      </c>
      <c r="D26" s="37"/>
      <c r="E26" s="37" t="s">
        <v>135</v>
      </c>
      <c r="F26" s="37"/>
      <c r="G26" s="37" t="s">
        <v>136</v>
      </c>
      <c r="H26" s="37"/>
      <c r="I26" s="88">
        <v>6</v>
      </c>
      <c r="J26" s="88"/>
      <c r="K26" s="88">
        <v>580</v>
      </c>
      <c r="L26" s="88"/>
      <c r="M26" s="88">
        <v>10002</v>
      </c>
      <c r="N26" s="88"/>
      <c r="O26" s="183" t="s">
        <v>147</v>
      </c>
      <c r="P26" s="166"/>
      <c r="Q26" s="88">
        <v>0</v>
      </c>
      <c r="R26" s="88"/>
      <c r="S26" s="88">
        <v>10002</v>
      </c>
      <c r="T26" s="190"/>
    </row>
    <row r="27" ht="25" customHeight="1" spans="2:20">
      <c r="B27" s="39"/>
      <c r="C27" s="37" t="s">
        <v>148</v>
      </c>
      <c r="D27" s="37"/>
      <c r="E27" s="37" t="s">
        <v>135</v>
      </c>
      <c r="F27" s="37"/>
      <c r="G27" s="37" t="s">
        <v>136</v>
      </c>
      <c r="H27" s="37"/>
      <c r="I27" s="88">
        <v>7</v>
      </c>
      <c r="J27" s="88"/>
      <c r="K27" s="88">
        <v>580</v>
      </c>
      <c r="L27" s="88"/>
      <c r="M27" s="88">
        <v>10003</v>
      </c>
      <c r="N27" s="88"/>
      <c r="O27" s="183" t="s">
        <v>149</v>
      </c>
      <c r="P27" s="166"/>
      <c r="Q27" s="88">
        <v>0</v>
      </c>
      <c r="R27" s="88"/>
      <c r="S27" s="88">
        <v>10003</v>
      </c>
      <c r="T27" s="190"/>
    </row>
    <row r="28" ht="25" customHeight="1" spans="2:20">
      <c r="B28" s="39"/>
      <c r="C28" s="37" t="s">
        <v>150</v>
      </c>
      <c r="D28" s="37"/>
      <c r="E28" s="37" t="s">
        <v>135</v>
      </c>
      <c r="F28" s="37"/>
      <c r="G28" s="37" t="s">
        <v>136</v>
      </c>
      <c r="H28" s="37"/>
      <c r="I28" s="88">
        <v>8</v>
      </c>
      <c r="J28" s="88"/>
      <c r="K28" s="88">
        <v>580</v>
      </c>
      <c r="L28" s="88"/>
      <c r="M28" s="88">
        <v>10004</v>
      </c>
      <c r="N28" s="88"/>
      <c r="O28" s="183" t="s">
        <v>137</v>
      </c>
      <c r="P28" s="166"/>
      <c r="Q28" s="88">
        <v>0</v>
      </c>
      <c r="R28" s="88"/>
      <c r="S28" s="88">
        <v>10004</v>
      </c>
      <c r="T28" s="190"/>
    </row>
    <row r="29" ht="1" customHeight="1" spans="2:20">
      <c r="B29" s="40"/>
      <c r="C29" s="41"/>
      <c r="D29" s="41"/>
      <c r="E29" s="44"/>
      <c r="F29" s="41"/>
      <c r="G29" s="41"/>
      <c r="H29" s="41"/>
      <c r="I29" s="43"/>
      <c r="J29" s="43"/>
      <c r="K29" s="43"/>
      <c r="L29" s="43"/>
      <c r="M29" s="43"/>
      <c r="N29" s="43"/>
      <c r="O29" s="184"/>
      <c r="P29" s="185"/>
      <c r="Q29" s="41"/>
      <c r="R29" s="44"/>
      <c r="S29" s="43"/>
      <c r="T29" s="191"/>
    </row>
    <row r="30" ht="25" customHeight="1" spans="2:20">
      <c r="B30" s="36" t="s">
        <v>151</v>
      </c>
      <c r="C30" s="37" t="s">
        <v>150</v>
      </c>
      <c r="D30" s="37"/>
      <c r="E30" s="37" t="s">
        <v>135</v>
      </c>
      <c r="F30" s="37"/>
      <c r="G30" s="37" t="s">
        <v>136</v>
      </c>
      <c r="H30" s="37"/>
      <c r="I30" s="88">
        <v>8</v>
      </c>
      <c r="J30" s="88"/>
      <c r="K30" s="88">
        <v>580</v>
      </c>
      <c r="L30" s="88"/>
      <c r="M30" s="88">
        <v>10004</v>
      </c>
      <c r="N30" s="88"/>
      <c r="O30" s="183" t="s">
        <v>137</v>
      </c>
      <c r="P30" s="166"/>
      <c r="Q30" s="88">
        <v>0</v>
      </c>
      <c r="R30" s="88"/>
      <c r="S30" s="88">
        <v>10004</v>
      </c>
      <c r="T30" s="190"/>
    </row>
    <row r="31" ht="25" customHeight="1" spans="2:20">
      <c r="B31" s="45"/>
      <c r="C31" s="46"/>
      <c r="D31" s="46"/>
      <c r="E31" s="172"/>
      <c r="F31" s="48"/>
      <c r="G31" s="48"/>
      <c r="H31" s="172"/>
      <c r="I31" s="186">
        <f>SUM(I19:I30)</f>
        <v>48</v>
      </c>
      <c r="J31" s="186"/>
      <c r="K31" s="187"/>
      <c r="L31" s="187"/>
      <c r="M31" s="186">
        <f>SUM(M19:M30)</f>
        <v>100017</v>
      </c>
      <c r="N31" s="186"/>
      <c r="O31" s="83"/>
      <c r="P31" s="83"/>
      <c r="Q31" s="186">
        <f>SUM(Q19:Q30)</f>
        <v>10000</v>
      </c>
      <c r="R31" s="186"/>
      <c r="S31" s="186">
        <f>SUM(S19:S30)</f>
        <v>80017</v>
      </c>
      <c r="T31" s="192"/>
    </row>
    <row r="32" ht="1" customHeight="1" spans="2:20">
      <c r="B32" s="28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112"/>
    </row>
    <row r="33" ht="25" customHeight="1" spans="2:20">
      <c r="B33" s="49" t="s">
        <v>152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123"/>
    </row>
    <row r="34" ht="25" customHeight="1" spans="2:20">
      <c r="B34" s="51" t="s">
        <v>29</v>
      </c>
      <c r="C34" s="173" t="s">
        <v>153</v>
      </c>
      <c r="D34" s="174"/>
      <c r="E34" s="174"/>
      <c r="F34" s="174"/>
      <c r="G34" s="175" t="s">
        <v>154</v>
      </c>
      <c r="H34" s="175"/>
      <c r="I34" s="188" t="s">
        <v>155</v>
      </c>
      <c r="J34" s="188"/>
      <c r="K34" s="85" t="s">
        <v>156</v>
      </c>
      <c r="L34" s="85"/>
      <c r="M34" s="86" t="s">
        <v>157</v>
      </c>
      <c r="N34" s="86" t="s">
        <v>158</v>
      </c>
      <c r="O34" s="86"/>
      <c r="P34" s="87" t="s">
        <v>159</v>
      </c>
      <c r="Q34" s="87" t="s">
        <v>160</v>
      </c>
      <c r="R34" s="87"/>
      <c r="S34" s="87" t="s">
        <v>161</v>
      </c>
      <c r="T34" s="125"/>
    </row>
    <row r="35" ht="30" customHeight="1" spans="2:20">
      <c r="B35" s="55">
        <v>1</v>
      </c>
      <c r="C35" s="176" t="s">
        <v>162</v>
      </c>
      <c r="D35" s="176"/>
      <c r="E35" s="176"/>
      <c r="F35" s="176"/>
      <c r="G35" s="177" t="s">
        <v>163</v>
      </c>
      <c r="H35" s="37"/>
      <c r="I35" s="88" t="s">
        <v>164</v>
      </c>
      <c r="J35" s="88"/>
      <c r="K35" s="88">
        <v>30</v>
      </c>
      <c r="L35" s="88"/>
      <c r="M35" s="89">
        <v>2500</v>
      </c>
      <c r="N35" s="89">
        <v>75000</v>
      </c>
      <c r="O35" s="89"/>
      <c r="P35" s="189" t="s">
        <v>141</v>
      </c>
      <c r="Q35" s="193" t="s">
        <v>163</v>
      </c>
      <c r="R35" s="194"/>
      <c r="S35" s="128" t="s">
        <v>165</v>
      </c>
      <c r="T35" s="129"/>
    </row>
    <row r="36" ht="30" customHeight="1" spans="2:20">
      <c r="B36" s="57">
        <v>2</v>
      </c>
      <c r="C36" s="178" t="s">
        <v>166</v>
      </c>
      <c r="D36" s="179"/>
      <c r="E36" s="179"/>
      <c r="F36" s="179"/>
      <c r="G36" s="180" t="s">
        <v>163</v>
      </c>
      <c r="H36" s="181"/>
      <c r="I36" s="92" t="s">
        <v>167</v>
      </c>
      <c r="J36" s="92"/>
      <c r="K36" s="92">
        <v>350</v>
      </c>
      <c r="L36" s="92"/>
      <c r="M36" s="93">
        <v>1</v>
      </c>
      <c r="N36" s="93">
        <v>350</v>
      </c>
      <c r="O36" s="93"/>
      <c r="P36" s="93" t="s">
        <v>168</v>
      </c>
      <c r="Q36" s="195" t="s">
        <v>163</v>
      </c>
      <c r="R36" s="196"/>
      <c r="S36" s="132" t="s">
        <v>169</v>
      </c>
      <c r="T36" s="133"/>
    </row>
    <row r="37" ht="30" customHeight="1" spans="2:20">
      <c r="B37" s="55">
        <v>3</v>
      </c>
      <c r="C37" s="182" t="s">
        <v>170</v>
      </c>
      <c r="D37" s="176"/>
      <c r="E37" s="176"/>
      <c r="F37" s="176"/>
      <c r="G37" s="37" t="s">
        <v>171</v>
      </c>
      <c r="H37" s="37"/>
      <c r="I37" s="88" t="s">
        <v>172</v>
      </c>
      <c r="J37" s="88"/>
      <c r="K37" s="88">
        <v>30</v>
      </c>
      <c r="L37" s="88"/>
      <c r="M37" s="89">
        <v>1</v>
      </c>
      <c r="N37" s="89">
        <v>30</v>
      </c>
      <c r="O37" s="89"/>
      <c r="P37" s="89" t="s">
        <v>168</v>
      </c>
      <c r="Q37" s="193" t="s">
        <v>163</v>
      </c>
      <c r="R37" s="194"/>
      <c r="S37" s="128" t="s">
        <v>173</v>
      </c>
      <c r="T37" s="129"/>
    </row>
    <row r="38" ht="30" customHeight="1" spans="2:20">
      <c r="B38" s="57">
        <v>4</v>
      </c>
      <c r="C38" s="178" t="s">
        <v>170</v>
      </c>
      <c r="D38" s="179"/>
      <c r="E38" s="179"/>
      <c r="F38" s="179"/>
      <c r="G38" s="181" t="s">
        <v>171</v>
      </c>
      <c r="H38" s="181"/>
      <c r="I38" s="92" t="s">
        <v>174</v>
      </c>
      <c r="J38" s="92"/>
      <c r="K38" s="92">
        <v>30</v>
      </c>
      <c r="L38" s="92"/>
      <c r="M38" s="93">
        <v>1</v>
      </c>
      <c r="N38" s="93">
        <v>30</v>
      </c>
      <c r="O38" s="93"/>
      <c r="P38" s="93" t="s">
        <v>168</v>
      </c>
      <c r="Q38" s="195" t="s">
        <v>163</v>
      </c>
      <c r="R38" s="196"/>
      <c r="S38" s="132" t="s">
        <v>175</v>
      </c>
      <c r="T38" s="133"/>
    </row>
    <row r="39" ht="30" customHeight="1" spans="2:20">
      <c r="B39" s="55">
        <v>5</v>
      </c>
      <c r="C39" s="182" t="s">
        <v>170</v>
      </c>
      <c r="D39" s="176"/>
      <c r="E39" s="176"/>
      <c r="F39" s="176"/>
      <c r="G39" s="37" t="s">
        <v>171</v>
      </c>
      <c r="H39" s="37"/>
      <c r="I39" s="88" t="s">
        <v>176</v>
      </c>
      <c r="J39" s="88"/>
      <c r="K39" s="88">
        <v>30</v>
      </c>
      <c r="L39" s="88"/>
      <c r="M39" s="89">
        <v>2</v>
      </c>
      <c r="N39" s="89">
        <v>60</v>
      </c>
      <c r="O39" s="89"/>
      <c r="P39" s="89" t="s">
        <v>168</v>
      </c>
      <c r="Q39" s="193" t="s">
        <v>163</v>
      </c>
      <c r="R39" s="194"/>
      <c r="S39" s="128" t="s">
        <v>177</v>
      </c>
      <c r="T39" s="129"/>
    </row>
    <row r="40" ht="30" customHeight="1" spans="2:20">
      <c r="B40" s="57">
        <v>6</v>
      </c>
      <c r="C40" s="178" t="s">
        <v>170</v>
      </c>
      <c r="D40" s="179"/>
      <c r="E40" s="179"/>
      <c r="F40" s="179"/>
      <c r="G40" s="181">
        <v>190922000006</v>
      </c>
      <c r="H40" s="181"/>
      <c r="I40" s="92" t="s">
        <v>178</v>
      </c>
      <c r="J40" s="92"/>
      <c r="K40" s="92">
        <v>30</v>
      </c>
      <c r="L40" s="92"/>
      <c r="M40" s="93">
        <v>1</v>
      </c>
      <c r="N40" s="93">
        <v>30</v>
      </c>
      <c r="O40" s="93"/>
      <c r="P40" s="93" t="s">
        <v>168</v>
      </c>
      <c r="Q40" s="195" t="s">
        <v>163</v>
      </c>
      <c r="R40" s="196"/>
      <c r="S40" s="132" t="s">
        <v>179</v>
      </c>
      <c r="T40" s="133"/>
    </row>
    <row r="41" ht="30" customHeight="1" spans="2:20">
      <c r="B41" s="55">
        <v>7</v>
      </c>
      <c r="C41" s="182" t="s">
        <v>180</v>
      </c>
      <c r="D41" s="176"/>
      <c r="E41" s="176"/>
      <c r="F41" s="176"/>
      <c r="G41" s="37">
        <v>190922000006</v>
      </c>
      <c r="H41" s="37"/>
      <c r="I41" s="88" t="s">
        <v>181</v>
      </c>
      <c r="J41" s="88"/>
      <c r="K41" s="88">
        <v>30</v>
      </c>
      <c r="L41" s="88"/>
      <c r="M41" s="89">
        <v>2</v>
      </c>
      <c r="N41" s="89">
        <v>60</v>
      </c>
      <c r="O41" s="89"/>
      <c r="P41" s="89" t="s">
        <v>168</v>
      </c>
      <c r="Q41" s="193" t="s">
        <v>163</v>
      </c>
      <c r="R41" s="194"/>
      <c r="S41" s="128" t="s">
        <v>182</v>
      </c>
      <c r="T41" s="129"/>
    </row>
    <row r="42" ht="30" customHeight="1" spans="2:20">
      <c r="B42" s="57">
        <v>8</v>
      </c>
      <c r="C42" s="178" t="s">
        <v>183</v>
      </c>
      <c r="D42" s="179"/>
      <c r="E42" s="179"/>
      <c r="F42" s="179"/>
      <c r="G42" s="181">
        <v>191013000009</v>
      </c>
      <c r="H42" s="181"/>
      <c r="I42" s="92" t="s">
        <v>184</v>
      </c>
      <c r="J42" s="92"/>
      <c r="K42" s="92">
        <v>30</v>
      </c>
      <c r="L42" s="92"/>
      <c r="M42" s="93">
        <v>1</v>
      </c>
      <c r="N42" s="93">
        <v>30</v>
      </c>
      <c r="O42" s="93"/>
      <c r="P42" s="93" t="s">
        <v>168</v>
      </c>
      <c r="Q42" s="195" t="s">
        <v>163</v>
      </c>
      <c r="R42" s="196"/>
      <c r="S42" s="132" t="s">
        <v>185</v>
      </c>
      <c r="T42" s="133"/>
    </row>
    <row r="43" ht="30" customHeight="1" spans="2:20">
      <c r="B43" s="55">
        <v>9</v>
      </c>
      <c r="C43" s="182" t="s">
        <v>186</v>
      </c>
      <c r="D43" s="176"/>
      <c r="E43" s="176"/>
      <c r="F43" s="176"/>
      <c r="G43" s="37" t="s">
        <v>171</v>
      </c>
      <c r="H43" s="37"/>
      <c r="I43" s="88" t="s">
        <v>181</v>
      </c>
      <c r="J43" s="88"/>
      <c r="K43" s="88">
        <v>30</v>
      </c>
      <c r="L43" s="88"/>
      <c r="M43" s="89">
        <v>1</v>
      </c>
      <c r="N43" s="89">
        <v>30</v>
      </c>
      <c r="O43" s="89"/>
      <c r="P43" s="89" t="s">
        <v>168</v>
      </c>
      <c r="Q43" s="193" t="s">
        <v>163</v>
      </c>
      <c r="R43" s="194"/>
      <c r="S43" s="128" t="s">
        <v>187</v>
      </c>
      <c r="T43" s="129"/>
    </row>
    <row r="44" ht="30" customHeight="1" spans="2:20">
      <c r="B44" s="57">
        <v>10</v>
      </c>
      <c r="C44" s="178" t="s">
        <v>188</v>
      </c>
      <c r="D44" s="179"/>
      <c r="E44" s="179"/>
      <c r="F44" s="179"/>
      <c r="G44" s="181" t="s">
        <v>171</v>
      </c>
      <c r="H44" s="181"/>
      <c r="I44" s="92" t="s">
        <v>181</v>
      </c>
      <c r="J44" s="92"/>
      <c r="K44" s="92">
        <v>30</v>
      </c>
      <c r="L44" s="92"/>
      <c r="M44" s="93">
        <v>1</v>
      </c>
      <c r="N44" s="93">
        <v>30</v>
      </c>
      <c r="O44" s="93"/>
      <c r="P44" s="93" t="s">
        <v>168</v>
      </c>
      <c r="Q44" s="195" t="s">
        <v>163</v>
      </c>
      <c r="R44" s="196"/>
      <c r="S44" s="132" t="s">
        <v>189</v>
      </c>
      <c r="T44" s="133"/>
    </row>
    <row r="45" ht="30" customHeight="1" spans="2:20">
      <c r="B45" s="55">
        <v>11</v>
      </c>
      <c r="C45" s="182" t="s">
        <v>190</v>
      </c>
      <c r="D45" s="176"/>
      <c r="E45" s="176"/>
      <c r="F45" s="176"/>
      <c r="G45" s="37" t="s">
        <v>171</v>
      </c>
      <c r="H45" s="37"/>
      <c r="I45" s="88" t="s">
        <v>181</v>
      </c>
      <c r="J45" s="88"/>
      <c r="K45" s="88">
        <v>30</v>
      </c>
      <c r="L45" s="88"/>
      <c r="M45" s="89">
        <v>1</v>
      </c>
      <c r="N45" s="89">
        <v>30</v>
      </c>
      <c r="O45" s="89"/>
      <c r="P45" s="89" t="s">
        <v>191</v>
      </c>
      <c r="Q45" s="197" t="s">
        <v>192</v>
      </c>
      <c r="R45" s="197"/>
      <c r="S45" s="128" t="s">
        <v>193</v>
      </c>
      <c r="T45" s="129"/>
    </row>
    <row r="46" ht="30" customHeight="1" spans="2:20">
      <c r="B46" s="57">
        <v>12</v>
      </c>
      <c r="C46" s="178" t="s">
        <v>194</v>
      </c>
      <c r="D46" s="179"/>
      <c r="E46" s="179"/>
      <c r="F46" s="179"/>
      <c r="G46" s="181" t="s">
        <v>171</v>
      </c>
      <c r="H46" s="181"/>
      <c r="I46" s="92" t="s">
        <v>181</v>
      </c>
      <c r="J46" s="92"/>
      <c r="K46" s="92">
        <v>30</v>
      </c>
      <c r="L46" s="92"/>
      <c r="M46" s="93">
        <v>1</v>
      </c>
      <c r="N46" s="93">
        <v>30</v>
      </c>
      <c r="O46" s="93"/>
      <c r="P46" s="93" t="s">
        <v>191</v>
      </c>
      <c r="Q46" s="198" t="s">
        <v>195</v>
      </c>
      <c r="R46" s="198"/>
      <c r="S46" s="132" t="s">
        <v>196</v>
      </c>
      <c r="T46" s="133"/>
    </row>
    <row r="47" s="2" customFormat="1" ht="30" customHeight="1" spans="2:20">
      <c r="B47" s="63"/>
      <c r="C47" s="64"/>
      <c r="D47" s="64"/>
      <c r="E47" s="64"/>
      <c r="F47" s="64"/>
      <c r="G47" s="64"/>
      <c r="H47" s="65"/>
      <c r="I47" s="65"/>
      <c r="J47" s="65"/>
      <c r="K47" s="157"/>
      <c r="L47" s="159" t="s">
        <v>197</v>
      </c>
      <c r="M47" s="159"/>
      <c r="N47" s="160">
        <f>SUM(N35:N46)</f>
        <v>75710</v>
      </c>
      <c r="O47" s="160"/>
      <c r="P47" s="99"/>
      <c r="Q47" s="99"/>
      <c r="R47" s="136"/>
      <c r="S47" s="99"/>
      <c r="T47" s="137"/>
    </row>
    <row r="48" ht="25" customHeight="1" spans="2:20">
      <c r="B48" s="69" t="s">
        <v>198</v>
      </c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140"/>
    </row>
  </sheetData>
  <mergeCells count="283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H3"/>
    <mergeCell ref="I3:K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H6:I6"/>
    <mergeCell ref="J6:K6"/>
    <mergeCell ref="L6:M6"/>
    <mergeCell ref="N6:O6"/>
    <mergeCell ref="P6:Q6"/>
    <mergeCell ref="B7:C7"/>
    <mergeCell ref="E7:F7"/>
    <mergeCell ref="H7:I7"/>
    <mergeCell ref="J7:K7"/>
    <mergeCell ref="L7:M7"/>
    <mergeCell ref="N7:O7"/>
    <mergeCell ref="P7:Q7"/>
    <mergeCell ref="B8:C8"/>
    <mergeCell ref="E8:F8"/>
    <mergeCell ref="H8:I8"/>
    <mergeCell ref="J8:K8"/>
    <mergeCell ref="L8:M8"/>
    <mergeCell ref="N8:O8"/>
    <mergeCell ref="P8:Q8"/>
    <mergeCell ref="B9:C9"/>
    <mergeCell ref="E9:F9"/>
    <mergeCell ref="H9:I9"/>
    <mergeCell ref="J9:K9"/>
    <mergeCell ref="L9:M9"/>
    <mergeCell ref="N9:O9"/>
    <mergeCell ref="P9:Q9"/>
    <mergeCell ref="E10:F10"/>
    <mergeCell ref="H10:I10"/>
    <mergeCell ref="J10:K10"/>
    <mergeCell ref="L10:M10"/>
    <mergeCell ref="N10:O10"/>
    <mergeCell ref="P10:Q10"/>
    <mergeCell ref="B11:T11"/>
    <mergeCell ref="D12:E12"/>
    <mergeCell ref="F12:G12"/>
    <mergeCell ref="H12:I12"/>
    <mergeCell ref="J12:K12"/>
    <mergeCell ref="M12:N12"/>
    <mergeCell ref="P12:Q12"/>
    <mergeCell ref="R12:S12"/>
    <mergeCell ref="D13:E13"/>
    <mergeCell ref="F13:G13"/>
    <mergeCell ref="H13:I13"/>
    <mergeCell ref="J13:K13"/>
    <mergeCell ref="M13:N13"/>
    <mergeCell ref="P13:Q13"/>
    <mergeCell ref="R13:S13"/>
    <mergeCell ref="D14:E14"/>
    <mergeCell ref="F14:G14"/>
    <mergeCell ref="H14:I14"/>
    <mergeCell ref="J14:K14"/>
    <mergeCell ref="M14:N14"/>
    <mergeCell ref="P14:Q14"/>
    <mergeCell ref="R14:S14"/>
    <mergeCell ref="P15:Q15"/>
    <mergeCell ref="B17:T17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I31:J31"/>
    <mergeCell ref="K31:L31"/>
    <mergeCell ref="M31:N31"/>
    <mergeCell ref="O31:P31"/>
    <mergeCell ref="Q31:R31"/>
    <mergeCell ref="S31:T31"/>
    <mergeCell ref="B32:T32"/>
    <mergeCell ref="B33:T33"/>
    <mergeCell ref="C34:F34"/>
    <mergeCell ref="G34:H34"/>
    <mergeCell ref="I34:J34"/>
    <mergeCell ref="K34:L34"/>
    <mergeCell ref="N34:O34"/>
    <mergeCell ref="Q34:R34"/>
    <mergeCell ref="S34:T34"/>
    <mergeCell ref="C35:F35"/>
    <mergeCell ref="G35:H35"/>
    <mergeCell ref="I35:J35"/>
    <mergeCell ref="K35:L35"/>
    <mergeCell ref="N35:O35"/>
    <mergeCell ref="Q35:R35"/>
    <mergeCell ref="S35:T35"/>
    <mergeCell ref="C36:F36"/>
    <mergeCell ref="G36:H36"/>
    <mergeCell ref="I36:J36"/>
    <mergeCell ref="K36:L36"/>
    <mergeCell ref="N36:O36"/>
    <mergeCell ref="Q36:R36"/>
    <mergeCell ref="S36:T36"/>
    <mergeCell ref="C37:F37"/>
    <mergeCell ref="G37:H37"/>
    <mergeCell ref="I37:J37"/>
    <mergeCell ref="K37:L37"/>
    <mergeCell ref="N37:O37"/>
    <mergeCell ref="Q37:R37"/>
    <mergeCell ref="S37:T37"/>
    <mergeCell ref="C38:F38"/>
    <mergeCell ref="G38:H38"/>
    <mergeCell ref="I38:J38"/>
    <mergeCell ref="K38:L38"/>
    <mergeCell ref="N38:O38"/>
    <mergeCell ref="Q38:R38"/>
    <mergeCell ref="S38:T38"/>
    <mergeCell ref="C39:F39"/>
    <mergeCell ref="G39:H39"/>
    <mergeCell ref="I39:J39"/>
    <mergeCell ref="K39:L39"/>
    <mergeCell ref="N39:O39"/>
    <mergeCell ref="Q39:R39"/>
    <mergeCell ref="S39:T39"/>
    <mergeCell ref="C40:F40"/>
    <mergeCell ref="G40:H40"/>
    <mergeCell ref="I40:J40"/>
    <mergeCell ref="K40:L40"/>
    <mergeCell ref="N40:O40"/>
    <mergeCell ref="Q40:R40"/>
    <mergeCell ref="S40:T40"/>
    <mergeCell ref="C41:F41"/>
    <mergeCell ref="G41:H41"/>
    <mergeCell ref="I41:J41"/>
    <mergeCell ref="K41:L41"/>
    <mergeCell ref="N41:O41"/>
    <mergeCell ref="Q41:R41"/>
    <mergeCell ref="S41:T41"/>
    <mergeCell ref="C42:F42"/>
    <mergeCell ref="G42:H42"/>
    <mergeCell ref="I42:J42"/>
    <mergeCell ref="K42:L42"/>
    <mergeCell ref="N42:O42"/>
    <mergeCell ref="Q42:R42"/>
    <mergeCell ref="S42:T42"/>
    <mergeCell ref="C43:F43"/>
    <mergeCell ref="G43:H43"/>
    <mergeCell ref="I43:J43"/>
    <mergeCell ref="K43:L43"/>
    <mergeCell ref="N43:O43"/>
    <mergeCell ref="Q43:R43"/>
    <mergeCell ref="S43:T43"/>
    <mergeCell ref="C44:F44"/>
    <mergeCell ref="G44:H44"/>
    <mergeCell ref="I44:J44"/>
    <mergeCell ref="K44:L44"/>
    <mergeCell ref="N44:O44"/>
    <mergeCell ref="Q44:R44"/>
    <mergeCell ref="S44:T44"/>
    <mergeCell ref="C45:F45"/>
    <mergeCell ref="G45:H45"/>
    <mergeCell ref="I45:J45"/>
    <mergeCell ref="K45:L45"/>
    <mergeCell ref="N45:O45"/>
    <mergeCell ref="Q45:R45"/>
    <mergeCell ref="S45:T45"/>
    <mergeCell ref="C46:F46"/>
    <mergeCell ref="G46:H46"/>
    <mergeCell ref="I46:J46"/>
    <mergeCell ref="K46:L46"/>
    <mergeCell ref="N46:O46"/>
    <mergeCell ref="Q46:R46"/>
    <mergeCell ref="S46:T46"/>
    <mergeCell ref="L47:M47"/>
    <mergeCell ref="N47:O47"/>
    <mergeCell ref="B48:T48"/>
    <mergeCell ref="B12:B15"/>
    <mergeCell ref="B19:B22"/>
    <mergeCell ref="B24:B28"/>
    <mergeCell ref="L12:L15"/>
  </mergeCells>
  <pageMargins left="1.10208333333333" right="0.393055555555556" top="0" bottom="0" header="0.5" footer="0.5"/>
  <pageSetup paperSize="5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21"/>
  <sheetViews>
    <sheetView workbookViewId="0">
      <selection activeCell="B17" sqref="B17:T17"/>
    </sheetView>
  </sheetViews>
  <sheetFormatPr defaultColWidth="9" defaultRowHeight="12"/>
  <cols>
    <col min="1" max="1" width="9" style="2"/>
    <col min="2" max="20" width="10.625" style="2" customWidth="1"/>
    <col min="21" max="16384" width="9" style="2"/>
  </cols>
  <sheetData>
    <row r="1" ht="25" customHeight="1" spans="2:20">
      <c r="B1" s="4" t="s">
        <v>80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0">
      <c r="B2" s="7" t="s">
        <v>81</v>
      </c>
      <c r="C2" s="8"/>
      <c r="D2" s="9" t="s">
        <v>82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1"/>
      <c r="Q2" s="71"/>
      <c r="R2" s="71"/>
      <c r="S2" s="71"/>
      <c r="T2" s="105"/>
    </row>
    <row r="3" s="1" customFormat="1" ht="25" customHeight="1" spans="2:20">
      <c r="B3" s="7" t="s">
        <v>83</v>
      </c>
      <c r="C3" s="8"/>
      <c r="D3" s="8" t="s">
        <v>84</v>
      </c>
      <c r="E3" s="8"/>
      <c r="F3" s="9" t="s">
        <v>85</v>
      </c>
      <c r="G3" s="9"/>
      <c r="H3" s="9"/>
      <c r="I3" s="9" t="s">
        <v>86</v>
      </c>
      <c r="J3" s="9"/>
      <c r="K3" s="9"/>
      <c r="L3" s="8" t="s">
        <v>87</v>
      </c>
      <c r="M3" s="8"/>
      <c r="N3" s="8" t="s">
        <v>88</v>
      </c>
      <c r="O3" s="8"/>
      <c r="P3" s="71"/>
      <c r="Q3" s="71"/>
      <c r="R3" s="71"/>
      <c r="S3" s="71"/>
      <c r="T3" s="105"/>
    </row>
    <row r="4" ht="25" customHeight="1" spans="2:20">
      <c r="B4" s="10" t="s">
        <v>89</v>
      </c>
      <c r="C4" s="11"/>
      <c r="D4" s="11"/>
      <c r="E4" s="12" t="s">
        <v>90</v>
      </c>
      <c r="F4" s="12"/>
      <c r="G4" s="12"/>
      <c r="H4" s="12" t="s">
        <v>91</v>
      </c>
      <c r="I4" s="12"/>
      <c r="J4" s="12"/>
      <c r="K4" s="72"/>
      <c r="L4" s="73"/>
      <c r="M4" s="74"/>
      <c r="N4" s="74"/>
      <c r="O4" s="74"/>
      <c r="P4" s="74"/>
      <c r="Q4" s="74"/>
      <c r="R4" s="74"/>
      <c r="S4" s="74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30</v>
      </c>
      <c r="C6" s="16"/>
      <c r="D6" s="17" t="s">
        <v>92</v>
      </c>
      <c r="E6" s="18" t="s">
        <v>93</v>
      </c>
      <c r="F6" s="18"/>
      <c r="G6" s="18" t="s">
        <v>38</v>
      </c>
      <c r="H6" s="18" t="s">
        <v>94</v>
      </c>
      <c r="I6" s="18"/>
      <c r="J6" s="18" t="s">
        <v>95</v>
      </c>
      <c r="K6" s="18"/>
      <c r="L6" s="18" t="s">
        <v>96</v>
      </c>
      <c r="M6" s="18"/>
      <c r="N6" s="75" t="s">
        <v>97</v>
      </c>
      <c r="O6" s="75"/>
      <c r="P6" s="75" t="s">
        <v>98</v>
      </c>
      <c r="Q6" s="75"/>
      <c r="R6" s="161"/>
      <c r="S6" s="17"/>
      <c r="T6" s="109"/>
    </row>
    <row r="7" ht="25" customHeight="1" spans="2:20">
      <c r="B7" s="19" t="s">
        <v>99</v>
      </c>
      <c r="C7" s="20"/>
      <c r="D7" s="21" t="s">
        <v>100</v>
      </c>
      <c r="E7" s="22">
        <v>50</v>
      </c>
      <c r="F7" s="22"/>
      <c r="G7" s="23">
        <v>20</v>
      </c>
      <c r="H7" s="22">
        <v>1300</v>
      </c>
      <c r="I7" s="22"/>
      <c r="J7" s="76">
        <v>0.52</v>
      </c>
      <c r="K7" s="76"/>
      <c r="L7" s="76">
        <v>0.52</v>
      </c>
      <c r="M7" s="76"/>
      <c r="N7" s="77">
        <v>0.52</v>
      </c>
      <c r="O7" s="77"/>
      <c r="P7" s="110">
        <v>0.9</v>
      </c>
      <c r="Q7" s="110"/>
      <c r="R7" s="162"/>
      <c r="S7" s="21"/>
      <c r="T7" s="111"/>
    </row>
    <row r="8" ht="25" customHeight="1" spans="2:20">
      <c r="B8" s="24" t="s">
        <v>101</v>
      </c>
      <c r="C8" s="25"/>
      <c r="D8" s="21" t="s">
        <v>102</v>
      </c>
      <c r="E8" s="22">
        <v>20</v>
      </c>
      <c r="F8" s="22"/>
      <c r="G8" s="23">
        <v>20</v>
      </c>
      <c r="H8" s="22">
        <v>1000</v>
      </c>
      <c r="I8" s="22"/>
      <c r="J8" s="76">
        <v>0.4</v>
      </c>
      <c r="K8" s="76"/>
      <c r="L8" s="76">
        <v>0.4</v>
      </c>
      <c r="M8" s="76"/>
      <c r="N8" s="77">
        <v>0.4</v>
      </c>
      <c r="O8" s="77"/>
      <c r="P8" s="110">
        <v>0.7</v>
      </c>
      <c r="Q8" s="110"/>
      <c r="R8" s="162"/>
      <c r="S8" s="25"/>
      <c r="T8" s="111"/>
    </row>
    <row r="9" ht="25" customHeight="1" spans="2:20">
      <c r="B9" s="24" t="s">
        <v>103</v>
      </c>
      <c r="C9" s="25"/>
      <c r="D9" s="21" t="s">
        <v>104</v>
      </c>
      <c r="E9" s="22">
        <v>5</v>
      </c>
      <c r="F9" s="22"/>
      <c r="G9" s="23">
        <v>5</v>
      </c>
      <c r="H9" s="22">
        <v>200</v>
      </c>
      <c r="I9" s="22"/>
      <c r="J9" s="76">
        <v>0.08</v>
      </c>
      <c r="K9" s="76"/>
      <c r="L9" s="76">
        <v>0.08</v>
      </c>
      <c r="M9" s="76"/>
      <c r="N9" s="77">
        <v>0.08</v>
      </c>
      <c r="O9" s="77"/>
      <c r="P9" s="77">
        <v>0.5</v>
      </c>
      <c r="Q9" s="77"/>
      <c r="R9" s="163"/>
      <c r="S9" s="21"/>
      <c r="T9" s="111"/>
    </row>
    <row r="10" ht="25" customHeight="1" spans="2:20">
      <c r="B10" s="24"/>
      <c r="C10" s="21"/>
      <c r="D10" s="21"/>
      <c r="E10" s="26">
        <f t="shared" ref="E10:H10" si="0">SUM(E7:E9)</f>
        <v>75</v>
      </c>
      <c r="F10" s="26"/>
      <c r="G10" s="27">
        <f t="shared" si="0"/>
        <v>45</v>
      </c>
      <c r="H10" s="26">
        <f t="shared" si="0"/>
        <v>2500</v>
      </c>
      <c r="I10" s="26"/>
      <c r="J10" s="79"/>
      <c r="K10" s="79"/>
      <c r="L10" s="79"/>
      <c r="M10" s="79"/>
      <c r="N10" s="25"/>
      <c r="O10" s="25"/>
      <c r="P10" s="25"/>
      <c r="Q10" s="25"/>
      <c r="R10" s="164"/>
      <c r="S10" s="21"/>
      <c r="T10" s="111"/>
    </row>
    <row r="11" ht="1" customHeight="1" spans="2:20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08"/>
    </row>
    <row r="12" ht="25" customHeight="1" spans="2:20">
      <c r="B12" s="141" t="s">
        <v>105</v>
      </c>
      <c r="C12" s="142" t="s">
        <v>106</v>
      </c>
      <c r="D12" s="143" t="s">
        <v>107</v>
      </c>
      <c r="E12" s="144"/>
      <c r="F12" s="143" t="s">
        <v>108</v>
      </c>
      <c r="G12" s="144"/>
      <c r="H12" s="143" t="s">
        <v>109</v>
      </c>
      <c r="I12" s="144"/>
      <c r="J12" s="143" t="s">
        <v>105</v>
      </c>
      <c r="K12" s="144"/>
      <c r="L12" s="150" t="s">
        <v>110</v>
      </c>
      <c r="M12" s="143" t="s">
        <v>105</v>
      </c>
      <c r="N12" s="144"/>
      <c r="O12" s="143" t="s">
        <v>111</v>
      </c>
      <c r="P12" s="143" t="s">
        <v>112</v>
      </c>
      <c r="Q12" s="144"/>
      <c r="R12" s="143" t="s">
        <v>113</v>
      </c>
      <c r="S12" s="144"/>
      <c r="T12" s="165" t="s">
        <v>114</v>
      </c>
    </row>
    <row r="13" ht="25" customHeight="1" spans="2:20">
      <c r="B13" s="141"/>
      <c r="C13" s="145" t="s">
        <v>115</v>
      </c>
      <c r="D13" s="146">
        <v>5000000</v>
      </c>
      <c r="E13" s="146"/>
      <c r="F13" s="146">
        <v>-3000000</v>
      </c>
      <c r="G13" s="146"/>
      <c r="H13" s="146">
        <v>-100000</v>
      </c>
      <c r="I13" s="146"/>
      <c r="J13" s="146" t="s">
        <v>116</v>
      </c>
      <c r="K13" s="146"/>
      <c r="L13" s="150"/>
      <c r="M13" s="146" t="s">
        <v>116</v>
      </c>
      <c r="N13" s="146"/>
      <c r="O13" s="146">
        <v>93</v>
      </c>
      <c r="P13" s="146" t="s">
        <v>117</v>
      </c>
      <c r="Q13" s="146"/>
      <c r="R13" s="166" t="s">
        <v>118</v>
      </c>
      <c r="S13" s="166"/>
      <c r="T13" s="167" t="s">
        <v>119</v>
      </c>
    </row>
    <row r="14" ht="25" customHeight="1" spans="2:20">
      <c r="B14" s="141"/>
      <c r="C14" s="145" t="s">
        <v>120</v>
      </c>
      <c r="D14" s="146">
        <v>300</v>
      </c>
      <c r="E14" s="146"/>
      <c r="F14" s="146">
        <v>0</v>
      </c>
      <c r="G14" s="146"/>
      <c r="H14" s="146">
        <v>0</v>
      </c>
      <c r="I14" s="146"/>
      <c r="J14" s="146" t="s">
        <v>121</v>
      </c>
      <c r="K14" s="146"/>
      <c r="L14" s="150"/>
      <c r="M14" s="146" t="s">
        <v>121</v>
      </c>
      <c r="N14" s="146"/>
      <c r="O14" s="146">
        <v>6.35</v>
      </c>
      <c r="P14" s="146" t="s">
        <v>122</v>
      </c>
      <c r="Q14" s="146"/>
      <c r="R14" s="166" t="s">
        <v>118</v>
      </c>
      <c r="S14" s="166"/>
      <c r="T14" s="167" t="s">
        <v>119</v>
      </c>
    </row>
    <row r="15" ht="25" customHeight="1" spans="2:20">
      <c r="B15" s="141"/>
      <c r="C15" s="147"/>
      <c r="D15" s="146"/>
      <c r="E15" s="146"/>
      <c r="F15" s="146"/>
      <c r="G15" s="146"/>
      <c r="H15" s="146"/>
      <c r="I15" s="146"/>
      <c r="J15" s="146"/>
      <c r="K15" s="146"/>
      <c r="L15" s="150"/>
      <c r="M15" s="146"/>
      <c r="N15" s="146"/>
      <c r="O15" s="151" t="s">
        <v>123</v>
      </c>
      <c r="P15" s="152">
        <v>22335</v>
      </c>
      <c r="Q15" s="152"/>
      <c r="R15" s="166"/>
      <c r="S15" s="166"/>
      <c r="T15" s="168"/>
    </row>
    <row r="16" ht="1" customHeight="1" spans="2:20">
      <c r="B16" s="148"/>
      <c r="C16" s="149"/>
      <c r="D16" s="149"/>
      <c r="E16" s="149"/>
      <c r="F16" s="149"/>
      <c r="G16" s="149"/>
      <c r="H16" s="149"/>
      <c r="I16" s="149"/>
      <c r="J16" s="149"/>
      <c r="K16" s="153"/>
      <c r="L16" s="154"/>
      <c r="M16" s="154"/>
      <c r="N16" s="155"/>
      <c r="O16" s="155"/>
      <c r="P16" s="156"/>
      <c r="Q16" s="156"/>
      <c r="R16" s="169"/>
      <c r="S16" s="156"/>
      <c r="T16" s="170"/>
    </row>
    <row r="17" ht="25" customHeight="1" spans="2:20">
      <c r="B17" s="30" t="s">
        <v>199</v>
      </c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113"/>
    </row>
    <row r="18" ht="1" customHeight="1" spans="2:20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112"/>
    </row>
    <row r="19" ht="25" customHeight="1" spans="2:20">
      <c r="B19" s="49" t="s">
        <v>152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123"/>
    </row>
    <row r="20" s="2" customFormat="1" ht="25" customHeight="1" spans="2:20">
      <c r="B20" s="63"/>
      <c r="C20" s="64"/>
      <c r="D20" s="64"/>
      <c r="E20" s="64"/>
      <c r="F20" s="64"/>
      <c r="G20" s="64"/>
      <c r="H20" s="65"/>
      <c r="I20" s="65"/>
      <c r="J20" s="65"/>
      <c r="K20" s="157"/>
      <c r="L20" s="158" t="s">
        <v>197</v>
      </c>
      <c r="M20" s="159"/>
      <c r="N20" s="160">
        <v>123444</v>
      </c>
      <c r="O20" s="160"/>
      <c r="P20" s="99"/>
      <c r="Q20" s="99"/>
      <c r="R20" s="136"/>
      <c r="S20" s="99"/>
      <c r="T20" s="137"/>
    </row>
    <row r="21" ht="25" customHeight="1" spans="2:20">
      <c r="B21" s="69" t="s">
        <v>198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140"/>
    </row>
  </sheetData>
  <mergeCells count="85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H3"/>
    <mergeCell ref="I3:K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H6:I6"/>
    <mergeCell ref="J6:K6"/>
    <mergeCell ref="L6:M6"/>
    <mergeCell ref="N6:O6"/>
    <mergeCell ref="P6:Q6"/>
    <mergeCell ref="B7:C7"/>
    <mergeCell ref="E7:F7"/>
    <mergeCell ref="H7:I7"/>
    <mergeCell ref="J7:K7"/>
    <mergeCell ref="L7:M7"/>
    <mergeCell ref="N7:O7"/>
    <mergeCell ref="P7:Q7"/>
    <mergeCell ref="B8:C8"/>
    <mergeCell ref="E8:F8"/>
    <mergeCell ref="H8:I8"/>
    <mergeCell ref="J8:K8"/>
    <mergeCell ref="L8:M8"/>
    <mergeCell ref="N8:O8"/>
    <mergeCell ref="P8:Q8"/>
    <mergeCell ref="B9:C9"/>
    <mergeCell ref="E9:F9"/>
    <mergeCell ref="H9:I9"/>
    <mergeCell ref="J9:K9"/>
    <mergeCell ref="L9:M9"/>
    <mergeCell ref="N9:O9"/>
    <mergeCell ref="P9:Q9"/>
    <mergeCell ref="E10:F10"/>
    <mergeCell ref="H10:I10"/>
    <mergeCell ref="J10:K10"/>
    <mergeCell ref="L10:M10"/>
    <mergeCell ref="N10:O10"/>
    <mergeCell ref="P10:Q10"/>
    <mergeCell ref="B11:T11"/>
    <mergeCell ref="D12:E12"/>
    <mergeCell ref="F12:G12"/>
    <mergeCell ref="H12:I12"/>
    <mergeCell ref="J12:K12"/>
    <mergeCell ref="M12:N12"/>
    <mergeCell ref="P12:Q12"/>
    <mergeCell ref="R12:S12"/>
    <mergeCell ref="D13:E13"/>
    <mergeCell ref="F13:G13"/>
    <mergeCell ref="H13:I13"/>
    <mergeCell ref="J13:K13"/>
    <mergeCell ref="M13:N13"/>
    <mergeCell ref="P13:Q13"/>
    <mergeCell ref="R13:S13"/>
    <mergeCell ref="D14:E14"/>
    <mergeCell ref="F14:G14"/>
    <mergeCell ref="H14:I14"/>
    <mergeCell ref="J14:K14"/>
    <mergeCell ref="M14:N14"/>
    <mergeCell ref="P14:Q14"/>
    <mergeCell ref="R14:S14"/>
    <mergeCell ref="P15:Q15"/>
    <mergeCell ref="B17:T17"/>
    <mergeCell ref="B18:T18"/>
    <mergeCell ref="B19:T19"/>
    <mergeCell ref="L20:M20"/>
    <mergeCell ref="N20:O20"/>
    <mergeCell ref="B21:T21"/>
    <mergeCell ref="B12:B15"/>
    <mergeCell ref="L12:L15"/>
  </mergeCells>
  <pageMargins left="1.10208333333333" right="0.393055555555556" top="0" bottom="0" header="0.5" footer="0.5"/>
  <pageSetup paperSize="5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59"/>
  <sheetViews>
    <sheetView workbookViewId="0">
      <selection activeCell="I15" sqref="I15:J15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200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201</v>
      </c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1"/>
      <c r="Q2" s="71"/>
      <c r="R2" s="71"/>
      <c r="S2" s="71"/>
      <c r="T2" s="105"/>
      <c r="U2" s="106"/>
    </row>
    <row r="3" s="1" customFormat="1" ht="25" customHeight="1" spans="2:21">
      <c r="B3" s="7" t="s">
        <v>84</v>
      </c>
      <c r="C3" s="8"/>
      <c r="D3" s="9" t="s">
        <v>202</v>
      </c>
      <c r="E3" s="8"/>
      <c r="F3" s="9" t="s">
        <v>203</v>
      </c>
      <c r="G3" s="8"/>
      <c r="H3" s="9" t="s">
        <v>204</v>
      </c>
      <c r="I3" s="8"/>
      <c r="J3" s="8"/>
      <c r="K3" s="8"/>
      <c r="L3" s="8"/>
      <c r="M3" s="8"/>
      <c r="N3" s="8"/>
      <c r="O3" s="8"/>
      <c r="P3" s="71"/>
      <c r="Q3" s="71"/>
      <c r="R3" s="71"/>
      <c r="S3" s="71"/>
      <c r="T3" s="105"/>
      <c r="U3" s="106"/>
    </row>
    <row r="4" ht="25" customHeight="1" spans="2:20">
      <c r="B4" s="10" t="s">
        <v>89</v>
      </c>
      <c r="C4" s="11"/>
      <c r="D4" s="11"/>
      <c r="E4" s="12" t="s">
        <v>90</v>
      </c>
      <c r="F4" s="12"/>
      <c r="G4" s="12"/>
      <c r="H4" s="12" t="s">
        <v>91</v>
      </c>
      <c r="I4" s="12"/>
      <c r="J4" s="12"/>
      <c r="K4" s="72"/>
      <c r="L4" s="73"/>
      <c r="M4" s="74"/>
      <c r="N4" s="74"/>
      <c r="O4" s="74"/>
      <c r="P4" s="74"/>
      <c r="Q4" s="74"/>
      <c r="R4" s="74"/>
      <c r="S4" s="74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30</v>
      </c>
      <c r="C6" s="16"/>
      <c r="D6" s="17" t="s">
        <v>92</v>
      </c>
      <c r="E6" s="18" t="s">
        <v>93</v>
      </c>
      <c r="F6" s="18"/>
      <c r="G6" s="18" t="s">
        <v>38</v>
      </c>
      <c r="H6" s="18"/>
      <c r="I6" s="18" t="s">
        <v>94</v>
      </c>
      <c r="J6" s="18"/>
      <c r="K6" s="18" t="s">
        <v>95</v>
      </c>
      <c r="L6" s="18"/>
      <c r="M6" s="18" t="s">
        <v>96</v>
      </c>
      <c r="N6" s="18"/>
      <c r="O6" s="75" t="s">
        <v>97</v>
      </c>
      <c r="P6" s="75"/>
      <c r="Q6" s="75" t="s">
        <v>98</v>
      </c>
      <c r="R6" s="75"/>
      <c r="S6" s="17"/>
      <c r="T6" s="109"/>
    </row>
    <row r="7" ht="25" customHeight="1" spans="2:20">
      <c r="B7" s="19" t="s">
        <v>99</v>
      </c>
      <c r="C7" s="20"/>
      <c r="D7" s="21" t="s">
        <v>100</v>
      </c>
      <c r="E7" s="22">
        <v>50</v>
      </c>
      <c r="F7" s="22"/>
      <c r="G7" s="23">
        <v>20</v>
      </c>
      <c r="H7" s="23"/>
      <c r="I7" s="22">
        <v>1300</v>
      </c>
      <c r="J7" s="22"/>
      <c r="K7" s="76">
        <v>0.52</v>
      </c>
      <c r="L7" s="76"/>
      <c r="M7" s="76">
        <v>0.52</v>
      </c>
      <c r="N7" s="76"/>
      <c r="O7" s="77">
        <v>0.52</v>
      </c>
      <c r="P7" s="77"/>
      <c r="Q7" s="110">
        <v>0.9</v>
      </c>
      <c r="R7" s="110"/>
      <c r="S7" s="21"/>
      <c r="T7" s="111"/>
    </row>
    <row r="8" ht="25" customHeight="1" spans="2:20">
      <c r="B8" s="24" t="s">
        <v>101</v>
      </c>
      <c r="C8" s="25"/>
      <c r="D8" s="21" t="s">
        <v>102</v>
      </c>
      <c r="E8" s="22">
        <v>20</v>
      </c>
      <c r="F8" s="22"/>
      <c r="G8" s="23">
        <v>20</v>
      </c>
      <c r="H8" s="23"/>
      <c r="I8" s="22">
        <v>1000</v>
      </c>
      <c r="J8" s="22"/>
      <c r="K8" s="76">
        <v>0.4</v>
      </c>
      <c r="L8" s="76"/>
      <c r="M8" s="76">
        <v>0.4</v>
      </c>
      <c r="N8" s="76"/>
      <c r="O8" s="77">
        <v>0.4</v>
      </c>
      <c r="P8" s="77"/>
      <c r="Q8" s="110">
        <v>0.7</v>
      </c>
      <c r="R8" s="110"/>
      <c r="S8" s="25"/>
      <c r="T8" s="111"/>
    </row>
    <row r="9" ht="25" customHeight="1" spans="2:20">
      <c r="B9" s="24" t="s">
        <v>103</v>
      </c>
      <c r="C9" s="25"/>
      <c r="D9" s="21" t="s">
        <v>104</v>
      </c>
      <c r="E9" s="22">
        <v>5</v>
      </c>
      <c r="F9" s="22"/>
      <c r="G9" s="23">
        <v>5</v>
      </c>
      <c r="H9" s="23"/>
      <c r="I9" s="22">
        <v>200</v>
      </c>
      <c r="J9" s="22"/>
      <c r="K9" s="76">
        <v>0.08</v>
      </c>
      <c r="L9" s="76"/>
      <c r="M9" s="76">
        <v>0.08</v>
      </c>
      <c r="N9" s="76"/>
      <c r="O9" s="77">
        <v>0.08</v>
      </c>
      <c r="P9" s="77"/>
      <c r="Q9" s="77">
        <v>0.5</v>
      </c>
      <c r="R9" s="77"/>
      <c r="S9" s="21"/>
      <c r="T9" s="111"/>
    </row>
    <row r="10" ht="25" customHeight="1" spans="2:20">
      <c r="B10" s="24"/>
      <c r="C10" s="21"/>
      <c r="D10" s="21"/>
      <c r="E10" s="26">
        <f t="shared" ref="E10:I10" si="0">SUM(E7:E9)</f>
        <v>75</v>
      </c>
      <c r="F10" s="26"/>
      <c r="G10" s="27">
        <f t="shared" si="0"/>
        <v>45</v>
      </c>
      <c r="H10" s="27"/>
      <c r="I10" s="26">
        <f t="shared" si="0"/>
        <v>2500</v>
      </c>
      <c r="J10" s="26"/>
      <c r="K10" s="78"/>
      <c r="L10" s="78"/>
      <c r="M10" s="79"/>
      <c r="N10" s="79"/>
      <c r="O10" s="25"/>
      <c r="P10" s="25"/>
      <c r="Q10" s="25"/>
      <c r="R10" s="25"/>
      <c r="S10" s="21"/>
      <c r="T10" s="111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2"/>
    </row>
    <row r="12" ht="25" customHeight="1" spans="2:20">
      <c r="B12" s="30" t="s">
        <v>205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3"/>
    </row>
    <row r="13" ht="25" customHeight="1" spans="2:20">
      <c r="B13" s="33" t="s">
        <v>125</v>
      </c>
      <c r="C13" s="34" t="s">
        <v>126</v>
      </c>
      <c r="D13" s="35"/>
      <c r="E13" s="35" t="s">
        <v>127</v>
      </c>
      <c r="F13" s="35"/>
      <c r="G13" s="35" t="s">
        <v>206</v>
      </c>
      <c r="H13" s="35"/>
      <c r="I13" s="80" t="s">
        <v>31</v>
      </c>
      <c r="J13" s="35"/>
      <c r="K13" s="35" t="s">
        <v>207</v>
      </c>
      <c r="L13" s="35"/>
      <c r="M13" s="80" t="s">
        <v>208</v>
      </c>
      <c r="N13" s="35"/>
      <c r="O13" s="35" t="s">
        <v>209</v>
      </c>
      <c r="P13" s="35"/>
      <c r="Q13" s="35" t="s">
        <v>210</v>
      </c>
      <c r="R13" s="35"/>
      <c r="S13" s="35"/>
      <c r="T13" s="114"/>
    </row>
    <row r="14" ht="25" customHeight="1" spans="2:20">
      <c r="B14" s="36" t="s">
        <v>133</v>
      </c>
      <c r="C14" s="37" t="s">
        <v>134</v>
      </c>
      <c r="D14" s="38"/>
      <c r="E14" s="38" t="s">
        <v>135</v>
      </c>
      <c r="F14" s="38"/>
      <c r="G14" s="38" t="s">
        <v>211</v>
      </c>
      <c r="H14" s="38"/>
      <c r="I14" s="38" t="s">
        <v>136</v>
      </c>
      <c r="J14" s="38"/>
      <c r="K14" s="38">
        <v>1</v>
      </c>
      <c r="L14" s="38"/>
      <c r="M14" s="81">
        <v>30</v>
      </c>
      <c r="N14" s="81"/>
      <c r="O14" s="77">
        <v>0.01</v>
      </c>
      <c r="P14" s="77"/>
      <c r="Q14" s="38">
        <v>10000</v>
      </c>
      <c r="R14" s="38"/>
      <c r="S14" s="115"/>
      <c r="T14" s="116"/>
    </row>
    <row r="15" ht="25" customHeight="1" spans="2:20">
      <c r="B15" s="39"/>
      <c r="C15" s="37" t="s">
        <v>138</v>
      </c>
      <c r="D15" s="38"/>
      <c r="E15" s="38" t="s">
        <v>135</v>
      </c>
      <c r="F15" s="38"/>
      <c r="G15" s="38" t="s">
        <v>211</v>
      </c>
      <c r="H15" s="38"/>
      <c r="I15" s="38" t="s">
        <v>136</v>
      </c>
      <c r="J15" s="38"/>
      <c r="K15" s="38">
        <v>2</v>
      </c>
      <c r="L15" s="38"/>
      <c r="M15" s="81">
        <v>31</v>
      </c>
      <c r="N15" s="81"/>
      <c r="O15" s="77">
        <v>0.02</v>
      </c>
      <c r="P15" s="77"/>
      <c r="Q15" s="38">
        <v>233</v>
      </c>
      <c r="R15" s="38"/>
      <c r="S15" s="115"/>
      <c r="T15" s="116"/>
    </row>
    <row r="16" ht="25" customHeight="1" spans="2:20">
      <c r="B16" s="39"/>
      <c r="C16" s="37" t="s">
        <v>139</v>
      </c>
      <c r="D16" s="38"/>
      <c r="E16" s="38" t="s">
        <v>135</v>
      </c>
      <c r="F16" s="38"/>
      <c r="G16" s="38" t="s">
        <v>211</v>
      </c>
      <c r="H16" s="38"/>
      <c r="I16" s="38" t="s">
        <v>136</v>
      </c>
      <c r="J16" s="38"/>
      <c r="K16" s="38">
        <v>3</v>
      </c>
      <c r="L16" s="38"/>
      <c r="M16" s="81">
        <v>32</v>
      </c>
      <c r="N16" s="81"/>
      <c r="O16" s="77">
        <v>0.03</v>
      </c>
      <c r="P16" s="77"/>
      <c r="Q16" s="38">
        <v>323</v>
      </c>
      <c r="R16" s="38"/>
      <c r="S16" s="115"/>
      <c r="T16" s="116"/>
    </row>
    <row r="17" ht="25" customHeight="1" spans="2:20">
      <c r="B17" s="39"/>
      <c r="C17" s="37" t="s">
        <v>140</v>
      </c>
      <c r="D17" s="38"/>
      <c r="E17" s="38" t="s">
        <v>135</v>
      </c>
      <c r="F17" s="38"/>
      <c r="G17" s="38" t="s">
        <v>211</v>
      </c>
      <c r="H17" s="38"/>
      <c r="I17" s="38" t="s">
        <v>136</v>
      </c>
      <c r="J17" s="38"/>
      <c r="K17" s="38">
        <v>4</v>
      </c>
      <c r="L17" s="38"/>
      <c r="M17" s="81">
        <v>33</v>
      </c>
      <c r="N17" s="81"/>
      <c r="O17" s="77">
        <v>0.05</v>
      </c>
      <c r="P17" s="77"/>
      <c r="Q17" s="38">
        <v>122</v>
      </c>
      <c r="R17" s="38"/>
      <c r="S17" s="115"/>
      <c r="T17" s="116"/>
    </row>
    <row r="18" ht="1" customHeight="1" spans="2:20">
      <c r="B18" s="40"/>
      <c r="C18" s="41"/>
      <c r="D18" s="42"/>
      <c r="E18" s="43"/>
      <c r="F18" s="41"/>
      <c r="G18" s="41"/>
      <c r="H18" s="43"/>
      <c r="I18" s="41"/>
      <c r="J18" s="41"/>
      <c r="K18" s="41"/>
      <c r="L18" s="41"/>
      <c r="M18" s="43"/>
      <c r="N18" s="43"/>
      <c r="O18" s="41"/>
      <c r="P18" s="43"/>
      <c r="Q18" s="41"/>
      <c r="R18" s="41"/>
      <c r="S18" s="41"/>
      <c r="T18" s="117"/>
    </row>
    <row r="19" ht="25" customHeight="1" spans="2:20">
      <c r="B19" s="36" t="s">
        <v>142</v>
      </c>
      <c r="C19" s="37" t="s">
        <v>140</v>
      </c>
      <c r="D19" s="38"/>
      <c r="E19" s="38" t="s">
        <v>135</v>
      </c>
      <c r="F19" s="38"/>
      <c r="G19" s="38" t="s">
        <v>211</v>
      </c>
      <c r="H19" s="38"/>
      <c r="I19" s="38" t="s">
        <v>136</v>
      </c>
      <c r="J19" s="38"/>
      <c r="K19" s="38">
        <v>4</v>
      </c>
      <c r="L19" s="38"/>
      <c r="M19" s="81">
        <v>33</v>
      </c>
      <c r="N19" s="81"/>
      <c r="O19" s="77">
        <v>0.06</v>
      </c>
      <c r="P19" s="77"/>
      <c r="Q19" s="38">
        <v>1333</v>
      </c>
      <c r="R19" s="38"/>
      <c r="S19" s="118"/>
      <c r="T19" s="119"/>
    </row>
    <row r="20" ht="25" customHeight="1" spans="2:20">
      <c r="B20" s="39"/>
      <c r="C20" s="37" t="s">
        <v>144</v>
      </c>
      <c r="D20" s="38"/>
      <c r="E20" s="38" t="s">
        <v>135</v>
      </c>
      <c r="F20" s="38"/>
      <c r="G20" s="38" t="s">
        <v>211</v>
      </c>
      <c r="H20" s="38"/>
      <c r="I20" s="38" t="s">
        <v>136</v>
      </c>
      <c r="J20" s="38"/>
      <c r="K20" s="38">
        <v>5</v>
      </c>
      <c r="L20" s="38"/>
      <c r="M20" s="81">
        <v>34</v>
      </c>
      <c r="N20" s="81"/>
      <c r="O20" s="77">
        <v>0.08</v>
      </c>
      <c r="P20" s="77"/>
      <c r="Q20" s="38">
        <v>333</v>
      </c>
      <c r="R20" s="38"/>
      <c r="S20" s="118"/>
      <c r="T20" s="119"/>
    </row>
    <row r="21" ht="25" customHeight="1" spans="2:20">
      <c r="B21" s="39"/>
      <c r="C21" s="37" t="s">
        <v>146</v>
      </c>
      <c r="D21" s="38"/>
      <c r="E21" s="38" t="s">
        <v>135</v>
      </c>
      <c r="F21" s="38"/>
      <c r="G21" s="38" t="s">
        <v>211</v>
      </c>
      <c r="H21" s="38"/>
      <c r="I21" s="38" t="s">
        <v>136</v>
      </c>
      <c r="J21" s="38"/>
      <c r="K21" s="38">
        <v>6</v>
      </c>
      <c r="L21" s="38"/>
      <c r="M21" s="81">
        <v>35</v>
      </c>
      <c r="N21" s="81"/>
      <c r="O21" s="77">
        <v>0.1</v>
      </c>
      <c r="P21" s="77"/>
      <c r="Q21" s="38">
        <v>456</v>
      </c>
      <c r="R21" s="38"/>
      <c r="S21" s="118"/>
      <c r="T21" s="119"/>
    </row>
    <row r="22" ht="25" customHeight="1" spans="2:20">
      <c r="B22" s="39"/>
      <c r="C22" s="37" t="s">
        <v>148</v>
      </c>
      <c r="D22" s="38"/>
      <c r="E22" s="38" t="s">
        <v>135</v>
      </c>
      <c r="F22" s="38"/>
      <c r="G22" s="38" t="s">
        <v>211</v>
      </c>
      <c r="H22" s="38"/>
      <c r="I22" s="38" t="s">
        <v>136</v>
      </c>
      <c r="J22" s="38"/>
      <c r="K22" s="38">
        <v>7</v>
      </c>
      <c r="L22" s="38"/>
      <c r="M22" s="81">
        <v>36</v>
      </c>
      <c r="N22" s="81"/>
      <c r="O22" s="77">
        <v>0.2</v>
      </c>
      <c r="P22" s="77"/>
      <c r="Q22" s="38">
        <v>7788</v>
      </c>
      <c r="R22" s="38"/>
      <c r="S22" s="118"/>
      <c r="T22" s="119"/>
    </row>
    <row r="23" ht="25" customHeight="1" spans="2:20">
      <c r="B23" s="39"/>
      <c r="C23" s="37" t="s">
        <v>150</v>
      </c>
      <c r="D23" s="38"/>
      <c r="E23" s="38" t="s">
        <v>135</v>
      </c>
      <c r="F23" s="38"/>
      <c r="G23" s="38" t="s">
        <v>211</v>
      </c>
      <c r="H23" s="38"/>
      <c r="I23" s="38" t="s">
        <v>136</v>
      </c>
      <c r="J23" s="38"/>
      <c r="K23" s="38">
        <v>8</v>
      </c>
      <c r="L23" s="38"/>
      <c r="M23" s="81">
        <v>37</v>
      </c>
      <c r="N23" s="81"/>
      <c r="O23" s="77">
        <v>0.18</v>
      </c>
      <c r="P23" s="77"/>
      <c r="Q23" s="38">
        <v>34500</v>
      </c>
      <c r="R23" s="38"/>
      <c r="S23" s="118"/>
      <c r="T23" s="119"/>
    </row>
    <row r="24" ht="1" customHeight="1" spans="2:20">
      <c r="B24" s="40"/>
      <c r="C24" s="41"/>
      <c r="D24" s="42"/>
      <c r="E24" s="44"/>
      <c r="F24" s="41"/>
      <c r="G24" s="41"/>
      <c r="H24" s="44"/>
      <c r="I24" s="41"/>
      <c r="J24" s="41"/>
      <c r="K24" s="41"/>
      <c r="L24" s="41"/>
      <c r="M24" s="44"/>
      <c r="N24" s="43"/>
      <c r="O24" s="41"/>
      <c r="P24" s="44"/>
      <c r="Q24" s="41"/>
      <c r="R24" s="41"/>
      <c r="S24" s="41"/>
      <c r="T24" s="117"/>
    </row>
    <row r="25" ht="25" customHeight="1" spans="2:20">
      <c r="B25" s="36" t="s">
        <v>151</v>
      </c>
      <c r="C25" s="37" t="s">
        <v>150</v>
      </c>
      <c r="D25" s="38"/>
      <c r="E25" s="38" t="s">
        <v>135</v>
      </c>
      <c r="F25" s="38"/>
      <c r="G25" s="38" t="s">
        <v>211</v>
      </c>
      <c r="H25" s="38"/>
      <c r="I25" s="38" t="s">
        <v>136</v>
      </c>
      <c r="J25" s="38"/>
      <c r="K25" s="38">
        <v>8</v>
      </c>
      <c r="L25" s="38"/>
      <c r="M25" s="81">
        <v>37</v>
      </c>
      <c r="N25" s="81"/>
      <c r="O25" s="77">
        <v>0.2</v>
      </c>
      <c r="P25" s="77"/>
      <c r="Q25" s="38">
        <v>2000</v>
      </c>
      <c r="R25" s="120"/>
      <c r="S25" s="118"/>
      <c r="T25" s="119"/>
    </row>
    <row r="26" ht="25" customHeight="1" spans="2:20">
      <c r="B26" s="45"/>
      <c r="C26" s="46"/>
      <c r="D26" s="46"/>
      <c r="E26" s="47"/>
      <c r="F26" s="48"/>
      <c r="G26" s="48"/>
      <c r="H26" s="47"/>
      <c r="I26" s="48"/>
      <c r="J26" s="48"/>
      <c r="K26" s="82">
        <f>SUM(K14:K25)</f>
        <v>48</v>
      </c>
      <c r="L26" s="82"/>
      <c r="M26" s="47"/>
      <c r="N26" s="48"/>
      <c r="O26" s="83">
        <v>1</v>
      </c>
      <c r="P26" s="83"/>
      <c r="Q26" s="121">
        <f>SUM(Q14:Q25)</f>
        <v>57088</v>
      </c>
      <c r="R26" s="121"/>
      <c r="S26" s="48"/>
      <c r="T26" s="122"/>
    </row>
    <row r="27" ht="1" customHeight="1" spans="2:20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12"/>
    </row>
    <row r="28" ht="25" customHeight="1" spans="2:20">
      <c r="B28" s="49" t="s">
        <v>212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123"/>
    </row>
    <row r="29" ht="25" customHeight="1" spans="2:20">
      <c r="B29" s="51" t="s">
        <v>29</v>
      </c>
      <c r="C29" s="52" t="s">
        <v>153</v>
      </c>
      <c r="D29" s="53"/>
      <c r="E29" s="53"/>
      <c r="F29" s="53"/>
      <c r="G29" s="54" t="s">
        <v>154</v>
      </c>
      <c r="H29" s="54"/>
      <c r="I29" s="84" t="s">
        <v>155</v>
      </c>
      <c r="J29" s="84"/>
      <c r="K29" s="85" t="s">
        <v>156</v>
      </c>
      <c r="L29" s="85"/>
      <c r="M29" s="86" t="s">
        <v>157</v>
      </c>
      <c r="N29" s="86" t="s">
        <v>158</v>
      </c>
      <c r="O29" s="86"/>
      <c r="P29" s="87" t="s">
        <v>159</v>
      </c>
      <c r="Q29" s="124" t="s">
        <v>160</v>
      </c>
      <c r="R29" s="124"/>
      <c r="S29" s="124" t="s">
        <v>161</v>
      </c>
      <c r="T29" s="125"/>
    </row>
    <row r="30" ht="25" customHeight="1" spans="2:20">
      <c r="B30" s="55">
        <v>1</v>
      </c>
      <c r="C30" s="25" t="s">
        <v>213</v>
      </c>
      <c r="D30" s="25"/>
      <c r="E30" s="25"/>
      <c r="F30" s="25"/>
      <c r="G30" s="56" t="s">
        <v>163</v>
      </c>
      <c r="H30" s="38"/>
      <c r="I30" s="81" t="s">
        <v>164</v>
      </c>
      <c r="J30" s="81"/>
      <c r="K30" s="88">
        <v>30</v>
      </c>
      <c r="L30" s="88"/>
      <c r="M30" s="89">
        <v>2500</v>
      </c>
      <c r="N30" s="89">
        <v>75000</v>
      </c>
      <c r="O30" s="89"/>
      <c r="P30" s="90" t="s">
        <v>141</v>
      </c>
      <c r="Q30" s="126" t="s">
        <v>163</v>
      </c>
      <c r="R30" s="127"/>
      <c r="S30" s="128" t="s">
        <v>165</v>
      </c>
      <c r="T30" s="129"/>
    </row>
    <row r="31" ht="25" customHeight="1" spans="2:20">
      <c r="B31" s="57">
        <v>2</v>
      </c>
      <c r="C31" s="58" t="s">
        <v>166</v>
      </c>
      <c r="D31" s="59"/>
      <c r="E31" s="59"/>
      <c r="F31" s="59"/>
      <c r="G31" s="60" t="s">
        <v>163</v>
      </c>
      <c r="H31" s="61"/>
      <c r="I31" s="91" t="s">
        <v>167</v>
      </c>
      <c r="J31" s="91"/>
      <c r="K31" s="92">
        <v>350</v>
      </c>
      <c r="L31" s="92"/>
      <c r="M31" s="93">
        <v>1</v>
      </c>
      <c r="N31" s="93">
        <v>350</v>
      </c>
      <c r="O31" s="93"/>
      <c r="P31" s="94" t="s">
        <v>168</v>
      </c>
      <c r="Q31" s="130" t="s">
        <v>163</v>
      </c>
      <c r="R31" s="131"/>
      <c r="S31" s="132" t="s">
        <v>169</v>
      </c>
      <c r="T31" s="133"/>
    </row>
    <row r="32" ht="25" customHeight="1" spans="2:20">
      <c r="B32" s="55">
        <v>3</v>
      </c>
      <c r="C32" s="62" t="s">
        <v>170</v>
      </c>
      <c r="D32" s="25"/>
      <c r="E32" s="25"/>
      <c r="F32" s="25"/>
      <c r="G32" s="38" t="s">
        <v>171</v>
      </c>
      <c r="H32" s="38"/>
      <c r="I32" s="81" t="s">
        <v>172</v>
      </c>
      <c r="J32" s="81"/>
      <c r="K32" s="88">
        <v>30</v>
      </c>
      <c r="L32" s="88"/>
      <c r="M32" s="89">
        <v>1</v>
      </c>
      <c r="N32" s="89">
        <v>30</v>
      </c>
      <c r="O32" s="89"/>
      <c r="P32" s="95" t="s">
        <v>168</v>
      </c>
      <c r="Q32" s="126" t="s">
        <v>163</v>
      </c>
      <c r="R32" s="127"/>
      <c r="S32" s="128" t="s">
        <v>173</v>
      </c>
      <c r="T32" s="129"/>
    </row>
    <row r="33" ht="25" customHeight="1" spans="2:20">
      <c r="B33" s="57">
        <v>4</v>
      </c>
      <c r="C33" s="58" t="s">
        <v>170</v>
      </c>
      <c r="D33" s="59"/>
      <c r="E33" s="59"/>
      <c r="F33" s="59"/>
      <c r="G33" s="61" t="s">
        <v>171</v>
      </c>
      <c r="H33" s="61"/>
      <c r="I33" s="91" t="s">
        <v>174</v>
      </c>
      <c r="J33" s="91"/>
      <c r="K33" s="92">
        <v>30</v>
      </c>
      <c r="L33" s="92"/>
      <c r="M33" s="93">
        <v>1</v>
      </c>
      <c r="N33" s="93">
        <v>30</v>
      </c>
      <c r="O33" s="93"/>
      <c r="P33" s="94" t="s">
        <v>168</v>
      </c>
      <c r="Q33" s="130" t="s">
        <v>163</v>
      </c>
      <c r="R33" s="131"/>
      <c r="S33" s="132" t="s">
        <v>175</v>
      </c>
      <c r="T33" s="133"/>
    </row>
    <row r="34" ht="25" customHeight="1" spans="2:20">
      <c r="B34" s="55">
        <v>5</v>
      </c>
      <c r="C34" s="62" t="s">
        <v>170</v>
      </c>
      <c r="D34" s="25"/>
      <c r="E34" s="25"/>
      <c r="F34" s="25"/>
      <c r="G34" s="38" t="s">
        <v>171</v>
      </c>
      <c r="H34" s="38"/>
      <c r="I34" s="81" t="s">
        <v>176</v>
      </c>
      <c r="J34" s="81"/>
      <c r="K34" s="88">
        <v>30</v>
      </c>
      <c r="L34" s="88"/>
      <c r="M34" s="89">
        <v>2</v>
      </c>
      <c r="N34" s="89">
        <v>60</v>
      </c>
      <c r="O34" s="89"/>
      <c r="P34" s="95" t="s">
        <v>168</v>
      </c>
      <c r="Q34" s="126" t="s">
        <v>163</v>
      </c>
      <c r="R34" s="127"/>
      <c r="S34" s="128" t="s">
        <v>177</v>
      </c>
      <c r="T34" s="129"/>
    </row>
    <row r="35" ht="25" customHeight="1" spans="2:20">
      <c r="B35" s="57">
        <v>6</v>
      </c>
      <c r="C35" s="58" t="s">
        <v>170</v>
      </c>
      <c r="D35" s="59"/>
      <c r="E35" s="59"/>
      <c r="F35" s="59"/>
      <c r="G35" s="61">
        <v>190922000006</v>
      </c>
      <c r="H35" s="61"/>
      <c r="I35" s="91" t="s">
        <v>178</v>
      </c>
      <c r="J35" s="91"/>
      <c r="K35" s="92">
        <v>30</v>
      </c>
      <c r="L35" s="92"/>
      <c r="M35" s="93">
        <v>1</v>
      </c>
      <c r="N35" s="93">
        <v>30</v>
      </c>
      <c r="O35" s="93"/>
      <c r="P35" s="94" t="s">
        <v>168</v>
      </c>
      <c r="Q35" s="130" t="s">
        <v>163</v>
      </c>
      <c r="R35" s="131"/>
      <c r="S35" s="132" t="s">
        <v>179</v>
      </c>
      <c r="T35" s="133"/>
    </row>
    <row r="36" ht="25" customHeight="1" spans="2:20">
      <c r="B36" s="55">
        <v>7</v>
      </c>
      <c r="C36" s="62" t="s">
        <v>170</v>
      </c>
      <c r="D36" s="25"/>
      <c r="E36" s="25"/>
      <c r="F36" s="25"/>
      <c r="G36" s="38">
        <v>190922000006</v>
      </c>
      <c r="H36" s="38"/>
      <c r="I36" s="81" t="s">
        <v>181</v>
      </c>
      <c r="J36" s="81"/>
      <c r="K36" s="88">
        <v>30</v>
      </c>
      <c r="L36" s="88"/>
      <c r="M36" s="89">
        <v>2</v>
      </c>
      <c r="N36" s="89">
        <v>60</v>
      </c>
      <c r="O36" s="89"/>
      <c r="P36" s="95" t="s">
        <v>168</v>
      </c>
      <c r="Q36" s="126" t="s">
        <v>163</v>
      </c>
      <c r="R36" s="127"/>
      <c r="S36" s="128" t="s">
        <v>182</v>
      </c>
      <c r="T36" s="129"/>
    </row>
    <row r="37" ht="25" customHeight="1" spans="2:20">
      <c r="B37" s="57">
        <v>8</v>
      </c>
      <c r="C37" s="58" t="s">
        <v>170</v>
      </c>
      <c r="D37" s="59"/>
      <c r="E37" s="59"/>
      <c r="F37" s="59"/>
      <c r="G37" s="61">
        <v>191013000009</v>
      </c>
      <c r="H37" s="61"/>
      <c r="I37" s="91" t="s">
        <v>184</v>
      </c>
      <c r="J37" s="91"/>
      <c r="K37" s="92">
        <v>30</v>
      </c>
      <c r="L37" s="92"/>
      <c r="M37" s="93">
        <v>1</v>
      </c>
      <c r="N37" s="93">
        <v>30</v>
      </c>
      <c r="O37" s="93"/>
      <c r="P37" s="94" t="s">
        <v>168</v>
      </c>
      <c r="Q37" s="130" t="s">
        <v>163</v>
      </c>
      <c r="R37" s="131"/>
      <c r="S37" s="132" t="s">
        <v>185</v>
      </c>
      <c r="T37" s="133"/>
    </row>
    <row r="38" ht="25" customHeight="1" spans="2:20">
      <c r="B38" s="55">
        <v>9</v>
      </c>
      <c r="C38" s="62" t="s">
        <v>170</v>
      </c>
      <c r="D38" s="25"/>
      <c r="E38" s="25"/>
      <c r="F38" s="25"/>
      <c r="G38" s="38" t="s">
        <v>171</v>
      </c>
      <c r="H38" s="38"/>
      <c r="I38" s="81" t="s">
        <v>181</v>
      </c>
      <c r="J38" s="81"/>
      <c r="K38" s="88">
        <v>30</v>
      </c>
      <c r="L38" s="88"/>
      <c r="M38" s="89">
        <v>1</v>
      </c>
      <c r="N38" s="89">
        <v>30</v>
      </c>
      <c r="O38" s="89"/>
      <c r="P38" s="95" t="s">
        <v>168</v>
      </c>
      <c r="Q38" s="126" t="s">
        <v>163</v>
      </c>
      <c r="R38" s="127"/>
      <c r="S38" s="128" t="s">
        <v>187</v>
      </c>
      <c r="T38" s="129"/>
    </row>
    <row r="39" ht="25" customHeight="1" spans="2:20">
      <c r="B39" s="57">
        <v>10</v>
      </c>
      <c r="C39" s="58" t="s">
        <v>170</v>
      </c>
      <c r="D39" s="59"/>
      <c r="E39" s="59"/>
      <c r="F39" s="59"/>
      <c r="G39" s="61" t="s">
        <v>171</v>
      </c>
      <c r="H39" s="61"/>
      <c r="I39" s="91" t="s">
        <v>181</v>
      </c>
      <c r="J39" s="91"/>
      <c r="K39" s="92">
        <v>30</v>
      </c>
      <c r="L39" s="92"/>
      <c r="M39" s="93">
        <v>1</v>
      </c>
      <c r="N39" s="93">
        <v>30</v>
      </c>
      <c r="O39" s="93"/>
      <c r="P39" s="94" t="s">
        <v>168</v>
      </c>
      <c r="Q39" s="130" t="s">
        <v>163</v>
      </c>
      <c r="R39" s="131"/>
      <c r="S39" s="132" t="s">
        <v>189</v>
      </c>
      <c r="T39" s="133"/>
    </row>
    <row r="40" ht="25" customHeight="1" spans="2:20">
      <c r="B40" s="55">
        <v>11</v>
      </c>
      <c r="C40" s="62" t="s">
        <v>170</v>
      </c>
      <c r="D40" s="25"/>
      <c r="E40" s="25"/>
      <c r="F40" s="25"/>
      <c r="G40" s="38" t="s">
        <v>171</v>
      </c>
      <c r="H40" s="38"/>
      <c r="I40" s="81" t="s">
        <v>181</v>
      </c>
      <c r="J40" s="81"/>
      <c r="K40" s="88">
        <v>30</v>
      </c>
      <c r="L40" s="88"/>
      <c r="M40" s="89">
        <v>1</v>
      </c>
      <c r="N40" s="89">
        <v>30</v>
      </c>
      <c r="O40" s="89"/>
      <c r="P40" s="95" t="s">
        <v>191</v>
      </c>
      <c r="Q40" s="134" t="s">
        <v>192</v>
      </c>
      <c r="R40" s="134"/>
      <c r="S40" s="128" t="s">
        <v>193</v>
      </c>
      <c r="T40" s="129"/>
    </row>
    <row r="41" ht="25" customHeight="1" spans="2:20">
      <c r="B41" s="57">
        <v>12</v>
      </c>
      <c r="C41" s="58" t="s">
        <v>170</v>
      </c>
      <c r="D41" s="59"/>
      <c r="E41" s="59"/>
      <c r="F41" s="59"/>
      <c r="G41" s="61" t="s">
        <v>171</v>
      </c>
      <c r="H41" s="61"/>
      <c r="I41" s="91" t="s">
        <v>181</v>
      </c>
      <c r="J41" s="91"/>
      <c r="K41" s="91">
        <v>30</v>
      </c>
      <c r="L41" s="91"/>
      <c r="M41" s="93">
        <v>1</v>
      </c>
      <c r="N41" s="94">
        <v>30</v>
      </c>
      <c r="O41" s="94"/>
      <c r="P41" s="94" t="s">
        <v>191</v>
      </c>
      <c r="Q41" s="135" t="s">
        <v>195</v>
      </c>
      <c r="R41" s="135"/>
      <c r="S41" s="132" t="s">
        <v>196</v>
      </c>
      <c r="T41" s="133"/>
    </row>
    <row r="42" s="2" customFormat="1" ht="25" customHeight="1" spans="2:21">
      <c r="B42" s="63"/>
      <c r="C42" s="64"/>
      <c r="D42" s="64"/>
      <c r="E42" s="64"/>
      <c r="F42" s="64"/>
      <c r="G42" s="64"/>
      <c r="H42" s="65"/>
      <c r="I42" s="65"/>
      <c r="J42" s="65"/>
      <c r="K42" s="96"/>
      <c r="L42" s="97" t="s">
        <v>197</v>
      </c>
      <c r="M42" s="97"/>
      <c r="N42" s="98">
        <f>SUM(N30:N41)</f>
        <v>75710</v>
      </c>
      <c r="O42" s="98"/>
      <c r="P42" s="99"/>
      <c r="Q42" s="99"/>
      <c r="R42" s="136"/>
      <c r="S42" s="99"/>
      <c r="T42" s="137"/>
      <c r="U42" s="3"/>
    </row>
    <row r="43" s="2" customFormat="1" ht="1" customHeight="1" spans="2:21">
      <c r="B43" s="66"/>
      <c r="C43" s="67"/>
      <c r="D43" s="67"/>
      <c r="E43" s="67"/>
      <c r="F43" s="67"/>
      <c r="G43" s="67"/>
      <c r="H43" s="68"/>
      <c r="I43" s="68"/>
      <c r="J43" s="68"/>
      <c r="K43" s="100"/>
      <c r="L43" s="101"/>
      <c r="M43" s="101"/>
      <c r="N43" s="102"/>
      <c r="O43" s="102"/>
      <c r="P43" s="103"/>
      <c r="Q43" s="103"/>
      <c r="R43" s="138"/>
      <c r="S43" s="103"/>
      <c r="T43" s="139"/>
      <c r="U43" s="3"/>
    </row>
    <row r="44" s="2" customFormat="1" ht="25" customHeight="1" spans="2:21">
      <c r="B44" s="49" t="s">
        <v>214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123"/>
      <c r="U44" s="3"/>
    </row>
    <row r="45" s="2" customFormat="1" ht="25" customHeight="1" spans="2:21">
      <c r="B45" s="51" t="s">
        <v>29</v>
      </c>
      <c r="C45" s="52" t="s">
        <v>153</v>
      </c>
      <c r="D45" s="53"/>
      <c r="E45" s="53"/>
      <c r="F45" s="53"/>
      <c r="G45" s="54" t="s">
        <v>154</v>
      </c>
      <c r="H45" s="54"/>
      <c r="I45" s="84" t="s">
        <v>155</v>
      </c>
      <c r="J45" s="84"/>
      <c r="K45" s="85" t="s">
        <v>156</v>
      </c>
      <c r="L45" s="85"/>
      <c r="M45" s="86" t="s">
        <v>157</v>
      </c>
      <c r="N45" s="86" t="s">
        <v>158</v>
      </c>
      <c r="O45" s="86"/>
      <c r="P45" s="87" t="s">
        <v>159</v>
      </c>
      <c r="Q45" s="124" t="s">
        <v>160</v>
      </c>
      <c r="R45" s="124"/>
      <c r="S45" s="124" t="s">
        <v>161</v>
      </c>
      <c r="T45" s="125"/>
      <c r="U45" s="3"/>
    </row>
    <row r="46" s="2" customFormat="1" ht="25" customHeight="1" spans="2:21">
      <c r="B46" s="55">
        <v>1</v>
      </c>
      <c r="C46" s="25" t="s">
        <v>213</v>
      </c>
      <c r="D46" s="25"/>
      <c r="E46" s="25"/>
      <c r="F46" s="25"/>
      <c r="G46" s="56" t="s">
        <v>163</v>
      </c>
      <c r="H46" s="38"/>
      <c r="I46" s="81" t="s">
        <v>164</v>
      </c>
      <c r="J46" s="81"/>
      <c r="K46" s="88">
        <v>30</v>
      </c>
      <c r="L46" s="88"/>
      <c r="M46" s="89">
        <v>2500</v>
      </c>
      <c r="N46" s="89">
        <v>75000</v>
      </c>
      <c r="O46" s="89"/>
      <c r="P46" s="90" t="s">
        <v>141</v>
      </c>
      <c r="Q46" s="126" t="s">
        <v>163</v>
      </c>
      <c r="R46" s="127"/>
      <c r="S46" s="128" t="s">
        <v>165</v>
      </c>
      <c r="T46" s="129"/>
      <c r="U46" s="3"/>
    </row>
    <row r="47" s="2" customFormat="1" ht="25" customHeight="1" spans="2:21">
      <c r="B47" s="57">
        <v>2</v>
      </c>
      <c r="C47" s="58" t="s">
        <v>166</v>
      </c>
      <c r="D47" s="59"/>
      <c r="E47" s="59"/>
      <c r="F47" s="59"/>
      <c r="G47" s="60" t="s">
        <v>163</v>
      </c>
      <c r="H47" s="61"/>
      <c r="I47" s="91" t="s">
        <v>167</v>
      </c>
      <c r="J47" s="91"/>
      <c r="K47" s="92">
        <v>350</v>
      </c>
      <c r="L47" s="92"/>
      <c r="M47" s="93">
        <v>1</v>
      </c>
      <c r="N47" s="93">
        <v>350</v>
      </c>
      <c r="O47" s="93"/>
      <c r="P47" s="94" t="s">
        <v>168</v>
      </c>
      <c r="Q47" s="130" t="s">
        <v>163</v>
      </c>
      <c r="R47" s="131"/>
      <c r="S47" s="132" t="s">
        <v>169</v>
      </c>
      <c r="T47" s="133"/>
      <c r="U47" s="3"/>
    </row>
    <row r="48" s="2" customFormat="1" ht="25" customHeight="1" spans="2:21">
      <c r="B48" s="55">
        <v>3</v>
      </c>
      <c r="C48" s="62" t="s">
        <v>170</v>
      </c>
      <c r="D48" s="25"/>
      <c r="E48" s="25"/>
      <c r="F48" s="25"/>
      <c r="G48" s="38" t="s">
        <v>171</v>
      </c>
      <c r="H48" s="38"/>
      <c r="I48" s="81" t="s">
        <v>172</v>
      </c>
      <c r="J48" s="81"/>
      <c r="K48" s="88">
        <v>30</v>
      </c>
      <c r="L48" s="88"/>
      <c r="M48" s="89">
        <v>1</v>
      </c>
      <c r="N48" s="89">
        <v>30</v>
      </c>
      <c r="O48" s="89"/>
      <c r="P48" s="95" t="s">
        <v>168</v>
      </c>
      <c r="Q48" s="126" t="s">
        <v>163</v>
      </c>
      <c r="R48" s="127"/>
      <c r="S48" s="128" t="s">
        <v>173</v>
      </c>
      <c r="T48" s="129"/>
      <c r="U48" s="3"/>
    </row>
    <row r="49" s="2" customFormat="1" ht="25" customHeight="1" spans="2:21">
      <c r="B49" s="57">
        <v>4</v>
      </c>
      <c r="C49" s="58" t="s">
        <v>170</v>
      </c>
      <c r="D49" s="59"/>
      <c r="E49" s="59"/>
      <c r="F49" s="59"/>
      <c r="G49" s="61" t="s">
        <v>171</v>
      </c>
      <c r="H49" s="61"/>
      <c r="I49" s="91" t="s">
        <v>174</v>
      </c>
      <c r="J49" s="91"/>
      <c r="K49" s="92">
        <v>30</v>
      </c>
      <c r="L49" s="92"/>
      <c r="M49" s="93">
        <v>1</v>
      </c>
      <c r="N49" s="93">
        <v>30</v>
      </c>
      <c r="O49" s="93"/>
      <c r="P49" s="94" t="s">
        <v>168</v>
      </c>
      <c r="Q49" s="130" t="s">
        <v>163</v>
      </c>
      <c r="R49" s="131"/>
      <c r="S49" s="132" t="s">
        <v>175</v>
      </c>
      <c r="T49" s="133"/>
      <c r="U49" s="3"/>
    </row>
    <row r="50" s="2" customFormat="1" ht="25" customHeight="1" spans="2:21">
      <c r="B50" s="55">
        <v>5</v>
      </c>
      <c r="C50" s="62" t="s">
        <v>170</v>
      </c>
      <c r="D50" s="25"/>
      <c r="E50" s="25"/>
      <c r="F50" s="25"/>
      <c r="G50" s="38" t="s">
        <v>171</v>
      </c>
      <c r="H50" s="38"/>
      <c r="I50" s="81" t="s">
        <v>176</v>
      </c>
      <c r="J50" s="81"/>
      <c r="K50" s="88">
        <v>30</v>
      </c>
      <c r="L50" s="88"/>
      <c r="M50" s="89">
        <v>2</v>
      </c>
      <c r="N50" s="89">
        <v>60</v>
      </c>
      <c r="O50" s="89"/>
      <c r="P50" s="95" t="s">
        <v>168</v>
      </c>
      <c r="Q50" s="126" t="s">
        <v>163</v>
      </c>
      <c r="R50" s="127"/>
      <c r="S50" s="128" t="s">
        <v>177</v>
      </c>
      <c r="T50" s="129"/>
      <c r="U50" s="3"/>
    </row>
    <row r="51" s="2" customFormat="1" ht="25" customHeight="1" spans="2:21">
      <c r="B51" s="57">
        <v>6</v>
      </c>
      <c r="C51" s="58" t="s">
        <v>170</v>
      </c>
      <c r="D51" s="59"/>
      <c r="E51" s="59"/>
      <c r="F51" s="59"/>
      <c r="G51" s="61">
        <v>190922000006</v>
      </c>
      <c r="H51" s="61"/>
      <c r="I51" s="91" t="s">
        <v>178</v>
      </c>
      <c r="J51" s="91"/>
      <c r="K51" s="92">
        <v>30</v>
      </c>
      <c r="L51" s="92"/>
      <c r="M51" s="93">
        <v>1</v>
      </c>
      <c r="N51" s="93">
        <v>30</v>
      </c>
      <c r="O51" s="93"/>
      <c r="P51" s="94" t="s">
        <v>168</v>
      </c>
      <c r="Q51" s="130" t="s">
        <v>163</v>
      </c>
      <c r="R51" s="131"/>
      <c r="S51" s="132" t="s">
        <v>179</v>
      </c>
      <c r="T51" s="133"/>
      <c r="U51" s="3"/>
    </row>
    <row r="52" s="2" customFormat="1" ht="25" customHeight="1" spans="2:21">
      <c r="B52" s="55">
        <v>7</v>
      </c>
      <c r="C52" s="62" t="s">
        <v>170</v>
      </c>
      <c r="D52" s="25"/>
      <c r="E52" s="25"/>
      <c r="F52" s="25"/>
      <c r="G52" s="38">
        <v>190922000006</v>
      </c>
      <c r="H52" s="38"/>
      <c r="I52" s="81" t="s">
        <v>181</v>
      </c>
      <c r="J52" s="81"/>
      <c r="K52" s="88">
        <v>30</v>
      </c>
      <c r="L52" s="88"/>
      <c r="M52" s="89">
        <v>2</v>
      </c>
      <c r="N52" s="89">
        <v>60</v>
      </c>
      <c r="O52" s="89"/>
      <c r="P52" s="95" t="s">
        <v>168</v>
      </c>
      <c r="Q52" s="126" t="s">
        <v>163</v>
      </c>
      <c r="R52" s="127"/>
      <c r="S52" s="128" t="s">
        <v>182</v>
      </c>
      <c r="T52" s="129"/>
      <c r="U52" s="3"/>
    </row>
    <row r="53" s="2" customFormat="1" ht="25" customHeight="1" spans="2:21">
      <c r="B53" s="57">
        <v>8</v>
      </c>
      <c r="C53" s="58" t="s">
        <v>170</v>
      </c>
      <c r="D53" s="59"/>
      <c r="E53" s="59"/>
      <c r="F53" s="59"/>
      <c r="G53" s="61">
        <v>191013000009</v>
      </c>
      <c r="H53" s="61"/>
      <c r="I53" s="91" t="s">
        <v>184</v>
      </c>
      <c r="J53" s="91"/>
      <c r="K53" s="92">
        <v>30</v>
      </c>
      <c r="L53" s="92"/>
      <c r="M53" s="93">
        <v>1</v>
      </c>
      <c r="N53" s="93">
        <v>30</v>
      </c>
      <c r="O53" s="93"/>
      <c r="P53" s="94" t="s">
        <v>168</v>
      </c>
      <c r="Q53" s="130" t="s">
        <v>163</v>
      </c>
      <c r="R53" s="131"/>
      <c r="S53" s="132" t="s">
        <v>185</v>
      </c>
      <c r="T53" s="133"/>
      <c r="U53" s="3"/>
    </row>
    <row r="54" s="2" customFormat="1" ht="25" customHeight="1" spans="2:21">
      <c r="B54" s="55">
        <v>9</v>
      </c>
      <c r="C54" s="62" t="s">
        <v>170</v>
      </c>
      <c r="D54" s="25"/>
      <c r="E54" s="25"/>
      <c r="F54" s="25"/>
      <c r="G54" s="38" t="s">
        <v>171</v>
      </c>
      <c r="H54" s="38"/>
      <c r="I54" s="81" t="s">
        <v>181</v>
      </c>
      <c r="J54" s="81"/>
      <c r="K54" s="88">
        <v>30</v>
      </c>
      <c r="L54" s="88"/>
      <c r="M54" s="89">
        <v>1</v>
      </c>
      <c r="N54" s="89">
        <v>30</v>
      </c>
      <c r="O54" s="89"/>
      <c r="P54" s="95" t="s">
        <v>168</v>
      </c>
      <c r="Q54" s="126" t="s">
        <v>163</v>
      </c>
      <c r="R54" s="127"/>
      <c r="S54" s="128" t="s">
        <v>187</v>
      </c>
      <c r="T54" s="129"/>
      <c r="U54" s="3"/>
    </row>
    <row r="55" s="2" customFormat="1" ht="25" customHeight="1" spans="2:21">
      <c r="B55" s="57">
        <v>10</v>
      </c>
      <c r="C55" s="58" t="s">
        <v>170</v>
      </c>
      <c r="D55" s="59"/>
      <c r="E55" s="59"/>
      <c r="F55" s="59"/>
      <c r="G55" s="61" t="s">
        <v>171</v>
      </c>
      <c r="H55" s="61"/>
      <c r="I55" s="91" t="s">
        <v>181</v>
      </c>
      <c r="J55" s="91"/>
      <c r="K55" s="92">
        <v>30</v>
      </c>
      <c r="L55" s="92"/>
      <c r="M55" s="93">
        <v>1</v>
      </c>
      <c r="N55" s="93">
        <v>30</v>
      </c>
      <c r="O55" s="93"/>
      <c r="P55" s="94" t="s">
        <v>168</v>
      </c>
      <c r="Q55" s="130" t="s">
        <v>163</v>
      </c>
      <c r="R55" s="131"/>
      <c r="S55" s="132" t="s">
        <v>189</v>
      </c>
      <c r="T55" s="133"/>
      <c r="U55" s="3"/>
    </row>
    <row r="56" s="2" customFormat="1" ht="25" customHeight="1" spans="2:21">
      <c r="B56" s="55">
        <v>11</v>
      </c>
      <c r="C56" s="62" t="s">
        <v>170</v>
      </c>
      <c r="D56" s="25"/>
      <c r="E56" s="25"/>
      <c r="F56" s="25"/>
      <c r="G56" s="38" t="s">
        <v>171</v>
      </c>
      <c r="H56" s="38"/>
      <c r="I56" s="81" t="s">
        <v>181</v>
      </c>
      <c r="J56" s="81"/>
      <c r="K56" s="88">
        <v>30</v>
      </c>
      <c r="L56" s="88"/>
      <c r="M56" s="89">
        <v>1</v>
      </c>
      <c r="N56" s="89">
        <v>30</v>
      </c>
      <c r="O56" s="89"/>
      <c r="P56" s="95" t="s">
        <v>191</v>
      </c>
      <c r="Q56" s="134" t="s">
        <v>192</v>
      </c>
      <c r="R56" s="134"/>
      <c r="S56" s="128" t="s">
        <v>193</v>
      </c>
      <c r="T56" s="129"/>
      <c r="U56" s="3"/>
    </row>
    <row r="57" s="2" customFormat="1" ht="25" customHeight="1" spans="2:21">
      <c r="B57" s="57">
        <v>12</v>
      </c>
      <c r="C57" s="58" t="s">
        <v>170</v>
      </c>
      <c r="D57" s="59"/>
      <c r="E57" s="59"/>
      <c r="F57" s="59"/>
      <c r="G57" s="61" t="s">
        <v>171</v>
      </c>
      <c r="H57" s="61"/>
      <c r="I57" s="91" t="s">
        <v>181</v>
      </c>
      <c r="J57" s="91"/>
      <c r="K57" s="91">
        <v>30</v>
      </c>
      <c r="L57" s="91"/>
      <c r="M57" s="93">
        <v>1</v>
      </c>
      <c r="N57" s="94">
        <v>30</v>
      </c>
      <c r="O57" s="94"/>
      <c r="P57" s="94" t="s">
        <v>191</v>
      </c>
      <c r="Q57" s="135" t="s">
        <v>195</v>
      </c>
      <c r="R57" s="135"/>
      <c r="S57" s="132" t="s">
        <v>196</v>
      </c>
      <c r="T57" s="133"/>
      <c r="U57" s="3"/>
    </row>
    <row r="58" s="2" customFormat="1" ht="25" customHeight="1" spans="2:21">
      <c r="B58" s="63"/>
      <c r="C58" s="64"/>
      <c r="D58" s="64"/>
      <c r="E58" s="64"/>
      <c r="F58" s="64"/>
      <c r="G58" s="64"/>
      <c r="H58" s="65"/>
      <c r="I58" s="65"/>
      <c r="J58" s="65"/>
      <c r="K58" s="96"/>
      <c r="L58" s="97" t="s">
        <v>197</v>
      </c>
      <c r="M58" s="97"/>
      <c r="N58" s="98">
        <f>SUM(N46:N57)</f>
        <v>75710</v>
      </c>
      <c r="O58" s="98"/>
      <c r="P58" s="99"/>
      <c r="Q58" s="99"/>
      <c r="R58" s="136"/>
      <c r="S58" s="99"/>
      <c r="T58" s="137"/>
      <c r="U58" s="3"/>
    </row>
    <row r="59" ht="25" customHeight="1" spans="2:20">
      <c r="B59" s="69" t="s">
        <v>198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140"/>
    </row>
  </sheetData>
  <mergeCells count="349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5:D25"/>
    <mergeCell ref="E25:F25"/>
    <mergeCell ref="G25:H25"/>
    <mergeCell ref="I25:J25"/>
    <mergeCell ref="K25:L25"/>
    <mergeCell ref="M25:N25"/>
    <mergeCell ref="O25:P25"/>
    <mergeCell ref="Q25:R25"/>
    <mergeCell ref="K26:L26"/>
    <mergeCell ref="O26:P26"/>
    <mergeCell ref="Q26:R26"/>
    <mergeCell ref="B27:T27"/>
    <mergeCell ref="B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C32:F32"/>
    <mergeCell ref="G32:H32"/>
    <mergeCell ref="I32:J32"/>
    <mergeCell ref="K32:L32"/>
    <mergeCell ref="N32:O32"/>
    <mergeCell ref="Q32:R32"/>
    <mergeCell ref="S32:T32"/>
    <mergeCell ref="C33:F33"/>
    <mergeCell ref="G33:H33"/>
    <mergeCell ref="I33:J33"/>
    <mergeCell ref="K33:L33"/>
    <mergeCell ref="N33:O33"/>
    <mergeCell ref="Q33:R33"/>
    <mergeCell ref="S33:T33"/>
    <mergeCell ref="C34:F34"/>
    <mergeCell ref="G34:H34"/>
    <mergeCell ref="I34:J34"/>
    <mergeCell ref="K34:L34"/>
    <mergeCell ref="N34:O34"/>
    <mergeCell ref="Q34:R34"/>
    <mergeCell ref="S34:T34"/>
    <mergeCell ref="C35:F35"/>
    <mergeCell ref="G35:H35"/>
    <mergeCell ref="I35:J35"/>
    <mergeCell ref="K35:L35"/>
    <mergeCell ref="N35:O35"/>
    <mergeCell ref="Q35:R35"/>
    <mergeCell ref="S35:T35"/>
    <mergeCell ref="C36:F36"/>
    <mergeCell ref="G36:H36"/>
    <mergeCell ref="I36:J36"/>
    <mergeCell ref="K36:L36"/>
    <mergeCell ref="N36:O36"/>
    <mergeCell ref="Q36:R36"/>
    <mergeCell ref="S36:T36"/>
    <mergeCell ref="C37:F37"/>
    <mergeCell ref="G37:H37"/>
    <mergeCell ref="I37:J37"/>
    <mergeCell ref="K37:L37"/>
    <mergeCell ref="N37:O37"/>
    <mergeCell ref="Q37:R37"/>
    <mergeCell ref="S37:T37"/>
    <mergeCell ref="C38:F38"/>
    <mergeCell ref="G38:H38"/>
    <mergeCell ref="I38:J38"/>
    <mergeCell ref="K38:L38"/>
    <mergeCell ref="N38:O38"/>
    <mergeCell ref="Q38:R38"/>
    <mergeCell ref="S38:T38"/>
    <mergeCell ref="C39:F39"/>
    <mergeCell ref="G39:H39"/>
    <mergeCell ref="I39:J39"/>
    <mergeCell ref="K39:L39"/>
    <mergeCell ref="N39:O39"/>
    <mergeCell ref="Q39:R39"/>
    <mergeCell ref="S39:T39"/>
    <mergeCell ref="C40:F40"/>
    <mergeCell ref="G40:H40"/>
    <mergeCell ref="I40:J40"/>
    <mergeCell ref="K40:L40"/>
    <mergeCell ref="N40:O40"/>
    <mergeCell ref="Q40:R40"/>
    <mergeCell ref="S40:T40"/>
    <mergeCell ref="C41:F41"/>
    <mergeCell ref="G41:H41"/>
    <mergeCell ref="I41:J41"/>
    <mergeCell ref="K41:L41"/>
    <mergeCell ref="N41:O41"/>
    <mergeCell ref="Q41:R41"/>
    <mergeCell ref="S41:T41"/>
    <mergeCell ref="L42:M42"/>
    <mergeCell ref="N42:O42"/>
    <mergeCell ref="B44:T44"/>
    <mergeCell ref="C45:F45"/>
    <mergeCell ref="G45:H45"/>
    <mergeCell ref="I45:J45"/>
    <mergeCell ref="K45:L45"/>
    <mergeCell ref="N45:O45"/>
    <mergeCell ref="Q45:R45"/>
    <mergeCell ref="S45:T45"/>
    <mergeCell ref="C46:F46"/>
    <mergeCell ref="G46:H46"/>
    <mergeCell ref="I46:J46"/>
    <mergeCell ref="K46:L46"/>
    <mergeCell ref="N46:O46"/>
    <mergeCell ref="Q46:R46"/>
    <mergeCell ref="S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L58:M58"/>
    <mergeCell ref="N58:O58"/>
    <mergeCell ref="B59:T59"/>
    <mergeCell ref="B14:B17"/>
    <mergeCell ref="B19:B23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正常</vt:lpstr>
      <vt:lpstr>余额明细 展开</vt:lpstr>
      <vt:lpstr>余额明细 收起</vt:lpstr>
      <vt:lpstr>查看DPN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2022-08-12T07:37:10Z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957F74ABFE054151AA2F84B5E1BA0982</vt:lpwstr>
  </property>
</Properties>
</file>