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中国" sheetId="1" r:id="rId1"/>
    <sheet name="国外" sheetId="2" r:id="rId2"/>
  </sheets>
  <calcPr calcId="144525"/>
</workbook>
</file>

<file path=xl/sharedStrings.xml><?xml version="1.0" encoding="utf-8"?>
<sst xmlns="http://schemas.openxmlformats.org/spreadsheetml/2006/main" count="386" uniqueCount="68">
  <si>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</si>
  <si>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</si>
  <si>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</si>
  <si>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</si>
  <si>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</si>
  <si>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</si>
  <si>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</si>
  <si>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</si>
  <si>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</si>
  <si>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</si>
  <si>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</si>
  <si>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</si>
  <si>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</si>
  <si>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</si>
  <si>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</si>
  <si>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</si>
  <si>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</si>
  <si>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</si>
  <si>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</si>
  <si>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</si>
  <si>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</si>
  <si>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</si>
  <si>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</si>
  <si>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</si>
  <si>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</si>
  <si>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</si>
  <si>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</si>
  <si>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</si>
  <si>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</si>
  <si>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</si>
  <si>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r>
      <rPr>
        <sz val="10"/>
        <color theme="1"/>
        <rFont val="Microsoft JhengHei"/>
        <charset val="134"/>
      </rPr>
      <t xml:space="preserve">人民币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</si>
  <si>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奈拉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</si>
  <si>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美金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</si>
  <si>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微信/公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</si>
  <si>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微信/私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</si>
  <si>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支付宝/公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</si>
  <si>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私账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</si>
  <si>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现金 </t>
    </r>
    <r>
      <rPr>
        <sz val="10"/>
        <color theme="1"/>
        <rFont val="Wingdings"/>
        <charset val="134"/>
      </rPr>
      <t>¨</t>
    </r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</si>
  <si>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</si>
  <si>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日期</t>
  </si>
  <si>
    <t>站点</t>
  </si>
  <si>
    <t>描述</t>
  </si>
  <si>
    <t>收入CNY</t>
  </si>
  <si>
    <t>支出CNY</t>
  </si>
  <si>
    <t>余额CNY</t>
  </si>
  <si>
    <t>途径</t>
  </si>
  <si>
    <t>凭证</t>
  </si>
  <si>
    <t>收入USD</t>
  </si>
  <si>
    <t>支出USD</t>
  </si>
  <si>
    <t>余额USD</t>
  </si>
  <si>
    <t>支付途径</t>
  </si>
  <si>
    <r>
      <t>上月结余转入</t>
    </r>
    <r>
      <rPr>
        <sz val="9"/>
        <color theme="1"/>
        <rFont val="Arial"/>
        <charset val="134"/>
      </rPr>
      <t>Balance</t>
    </r>
  </si>
  <si>
    <t>查看</t>
  </si>
  <si>
    <r>
      <t>微信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>公</t>
    </r>
  </si>
  <si>
    <r>
      <t>微信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>私</t>
    </r>
  </si>
  <si>
    <r>
      <t>支付宝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>公</t>
    </r>
  </si>
  <si>
    <r>
      <t>支付宝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>私</t>
    </r>
  </si>
  <si>
    <t>私账</t>
  </si>
  <si>
    <t>私账2022</t>
  </si>
  <si>
    <t>2028年</t>
  </si>
  <si>
    <t>2029年</t>
  </si>
  <si>
    <t>2030年</t>
  </si>
  <si>
    <t>10月</t>
  </si>
  <si>
    <t>11月</t>
  </si>
  <si>
    <t>12月</t>
  </si>
  <si>
    <t>收入NGN</t>
  </si>
  <si>
    <t>支出NGN</t>
  </si>
  <si>
    <t>余额NGN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</si>
</sst>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[$-409]dd\-mmm\-yy;@"/>
    <numFmt numFmtId="178" formatCode="yyyy/m/d\ h:mm;@"/>
  </numFmts>
  <fonts count="32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1"/>
      <name val="宋体"/>
      <charset val="134"/>
    </font>
    <font>
      <sz val="9"/>
      <color theme="1"/>
      <name val="Arial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Wingding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16" borderId="14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17" borderId="15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8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7" fontId="8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77" fontId="8" fillId="2" borderId="2" xfId="0" applyNumberFormat="1" applyFont="1" applyFill="1" applyBorder="1" applyAlignment="1">
      <alignment horizontal="center" vertical="center" wrapText="1"/>
    </xf>
    <xf numFmtId="178" fontId="7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77" fontId="9" fillId="5" borderId="0" xfId="0" applyNumberFormat="1" applyFont="1" applyFill="1" applyBorder="1" applyAlignment="1">
      <alignment horizontal="left" vertical="center"/>
    </xf>
    <xf numFmtId="177" fontId="7" fillId="5" borderId="0" xfId="0" applyNumberFormat="1" applyFont="1" applyFill="1" applyBorder="1" applyAlignment="1">
      <alignment horizontal="left" vertical="center"/>
    </xf>
    <xf numFmtId="176" fontId="7" fillId="5" borderId="4" xfId="8" applyNumberFormat="1" applyFont="1" applyFill="1" applyBorder="1" applyAlignment="1">
      <alignment horizontal="center" vertical="center"/>
    </xf>
    <xf numFmtId="176" fontId="7" fillId="5" borderId="0" xfId="0" applyNumberFormat="1" applyFont="1" applyFill="1" applyBorder="1" applyAlignment="1">
      <alignment horizontal="center" vertical="center"/>
    </xf>
    <xf numFmtId="176" fontId="10" fillId="5" borderId="0" xfId="8" applyNumberFormat="1" applyFont="1" applyFill="1" applyBorder="1" applyAlignment="1">
      <alignment horizontal="center" vertical="center"/>
    </xf>
    <xf numFmtId="176" fontId="7" fillId="5" borderId="0" xfId="8" applyNumberFormat="1" applyFont="1" applyFill="1" applyBorder="1" applyAlignment="1">
      <alignment horizontal="center" vertical="center"/>
    </xf>
    <xf numFmtId="178" fontId="7" fillId="6" borderId="3" xfId="0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77" fontId="9" fillId="6" borderId="0" xfId="0" applyNumberFormat="1" applyFont="1" applyFill="1" applyBorder="1" applyAlignment="1">
      <alignment horizontal="left" vertical="center"/>
    </xf>
    <xf numFmtId="177" fontId="7" fillId="6" borderId="0" xfId="0" applyNumberFormat="1" applyFont="1" applyFill="1" applyBorder="1" applyAlignment="1">
      <alignment horizontal="left" vertical="center"/>
    </xf>
    <xf numFmtId="176" fontId="7" fillId="6" borderId="4" xfId="0" applyNumberFormat="1" applyFont="1" applyFill="1" applyBorder="1" applyAlignment="1">
      <alignment horizontal="center" vertical="center"/>
    </xf>
    <xf numFmtId="176" fontId="7" fillId="6" borderId="0" xfId="8" applyNumberFormat="1" applyFont="1" applyFill="1" applyBorder="1" applyAlignment="1">
      <alignment horizontal="center" vertical="center"/>
    </xf>
    <xf numFmtId="176" fontId="10" fillId="6" borderId="0" xfId="8" applyNumberFormat="1" applyFont="1" applyFill="1" applyBorder="1" applyAlignment="1">
      <alignment horizontal="center" vertical="center"/>
    </xf>
    <xf numFmtId="1" fontId="7" fillId="5" borderId="0" xfId="0" applyNumberFormat="1" applyFont="1" applyFill="1" applyBorder="1" applyAlignment="1">
      <alignment horizontal="left" vertical="center"/>
    </xf>
    <xf numFmtId="176" fontId="7" fillId="5" borderId="4" xfId="0" applyNumberFormat="1" applyFont="1" applyFill="1" applyBorder="1" applyAlignment="1">
      <alignment horizontal="center" vertical="center"/>
    </xf>
    <xf numFmtId="176" fontId="9" fillId="5" borderId="0" xfId="8" applyNumberFormat="1" applyFont="1" applyFill="1" applyBorder="1" applyAlignment="1">
      <alignment horizontal="center" vertical="center"/>
    </xf>
    <xf numFmtId="1" fontId="7" fillId="6" borderId="0" xfId="0" applyNumberFormat="1" applyFont="1" applyFill="1" applyBorder="1" applyAlignment="1">
      <alignment horizontal="left" vertical="center"/>
    </xf>
    <xf numFmtId="176" fontId="9" fillId="6" borderId="0" xfId="8" applyNumberFormat="1" applyFont="1" applyFill="1" applyBorder="1" applyAlignment="1">
      <alignment horizontal="center" vertical="center"/>
    </xf>
    <xf numFmtId="176" fontId="7" fillId="6" borderId="4" xfId="8" applyNumberFormat="1" applyFont="1" applyFill="1" applyBorder="1" applyAlignment="1">
      <alignment horizontal="center" vertical="center"/>
    </xf>
    <xf numFmtId="176" fontId="7" fillId="6" borderId="0" xfId="0" applyNumberFormat="1" applyFont="1" applyFill="1" applyBorder="1" applyAlignment="1">
      <alignment horizontal="center" vertical="center"/>
    </xf>
    <xf numFmtId="178" fontId="7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" fontId="7" fillId="5" borderId="0" xfId="0" applyNumberFormat="1" applyFont="1" applyFill="1" applyBorder="1" applyAlignment="1">
      <alignment horizontal="left" vertical="center"/>
    </xf>
    <xf numFmtId="176" fontId="10" fillId="5" borderId="0" xfId="8" applyNumberFormat="1" applyFont="1" applyFill="1" applyBorder="1" applyAlignment="1">
      <alignment horizontal="center" vertical="center"/>
    </xf>
    <xf numFmtId="176" fontId="10" fillId="5" borderId="0" xfId="8" applyNumberFormat="1" applyFont="1" applyFill="1" applyBorder="1" applyAlignment="1">
      <alignment horizontal="center" vertical="center"/>
    </xf>
    <xf numFmtId="176" fontId="11" fillId="5" borderId="0" xfId="8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wrapText="1"/>
    </xf>
    <xf numFmtId="176" fontId="9" fillId="5" borderId="8" xfId="8" applyNumberFormat="1" applyFont="1" applyFill="1" applyBorder="1" applyAlignment="1">
      <alignment horizontal="center" vertical="center"/>
    </xf>
    <xf numFmtId="176" fontId="9" fillId="6" borderId="8" xfId="8" applyNumberFormat="1" applyFont="1" applyFill="1" applyBorder="1" applyAlignment="1">
      <alignment horizontal="center" vertical="center"/>
    </xf>
    <xf numFmtId="176" fontId="9" fillId="5" borderId="0" xfId="8" applyNumberFormat="1" applyFont="1" applyFill="1" applyBorder="1" applyAlignment="1">
      <alignment horizontal="center" vertical="center"/>
    </xf>
    <xf numFmtId="176" fontId="9" fillId="5" borderId="8" xfId="8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6" fontId="7" fillId="5" borderId="3" xfId="8" applyNumberFormat="1" applyFont="1" applyFill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176" fontId="10" fillId="5" borderId="4" xfId="8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E8" sqref="E8"/>
    </sheetView>
  </sheetViews>
  <sheetFormatPr defaultColWidth="9" defaultRowHeight="13.5"/>
  <cols>
    <col min="1" max="14" width="18.625" style="2" customWidth="1"/>
    <col min="15" max="16367" width="9" style="2"/>
  </cols>
  <sheetData>
    <row r="1" ht="25" customHeight="1"/>
    <row r="2" ht="25" customHeight="1" spans="1:9">
      <c r="A2" s="3" t="s">
        <v>0</v>
      </c>
      <c r="B2" s="4" t="s">
        <v>1</v>
      </c>
      <c r="C2" s="4" t="s">
        <v>2</v>
      </c>
      <c r="D2" s="4" t="s">
        <v>3</v>
      </c>
      <c r="F2" s="7"/>
      <c r="G2" s="7"/>
      <c r="H2" s="7"/>
      <c r="I2" s="7"/>
    </row>
    <row r="3" ht="25" customHeight="1" spans="1:9">
      <c r="A3" s="3" t="s">
        <v>4</v>
      </c>
      <c r="B3" s="5" t="s">
        <v>5</v>
      </c>
      <c r="C3" s="5" t="s">
        <v>6</v>
      </c>
      <c r="D3" s="5" t="s">
        <v>7</v>
      </c>
      <c r="F3" s="6"/>
      <c r="G3" s="6"/>
      <c r="H3" s="7"/>
      <c r="I3" s="7"/>
    </row>
    <row r="4" ht="25" customHeight="1" spans="1:9">
      <c r="A4" s="8" t="s">
        <v>8</v>
      </c>
      <c r="B4" s="9" t="s">
        <v>9</v>
      </c>
      <c r="C4" s="8" t="s">
        <v>10</v>
      </c>
      <c r="D4" s="8" t="s">
        <v>11</v>
      </c>
      <c r="F4" s="10"/>
      <c r="G4" s="10"/>
      <c r="H4" s="10"/>
      <c r="I4" s="10"/>
    </row>
    <row r="5" ht="25" customHeight="1"/>
    <row r="6" ht="25" customHeight="1" spans="1:9">
      <c r="A6" s="11" t="s">
        <v>12</v>
      </c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</row>
    <row r="7" s="1" customFormat="1" ht="25" customHeight="1" spans="1:9">
      <c r="A7" s="11" t="s">
        <v>21</v>
      </c>
      <c r="B7" s="12" t="s">
        <v>22</v>
      </c>
      <c r="C7" s="12" t="s">
        <v>23</v>
      </c>
      <c r="D7" s="12" t="s">
        <v>24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29</v>
      </c>
    </row>
    <row r="8" ht="25" customHeight="1"/>
    <row r="9" ht="25" customHeight="1" spans="1:8">
      <c r="A9" s="13" t="s">
        <v>30</v>
      </c>
      <c r="B9" s="13" t="s">
        <v>31</v>
      </c>
      <c r="C9" s="13" t="s">
        <v>32</v>
      </c>
      <c r="D9" s="14" t="s">
        <v>33</v>
      </c>
      <c r="E9" s="14" t="s">
        <v>34</v>
      </c>
      <c r="F9" s="14" t="s">
        <v>35</v>
      </c>
      <c r="G9" s="14" t="s">
        <v>36</v>
      </c>
      <c r="H9" s="13" t="s">
        <v>37</v>
      </c>
    </row>
    <row r="10" ht="25" customHeight="1" spans="1:4">
      <c r="A10" s="15" t="s">
        <v>38</v>
      </c>
      <c r="B10" s="16"/>
      <c r="C10" s="16"/>
      <c r="D10" s="16"/>
    </row>
    <row r="11" ht="30" customHeight="1" spans="1:14">
      <c r="A11" s="17" t="s">
        <v>39</v>
      </c>
      <c r="B11" s="18" t="s">
        <v>40</v>
      </c>
      <c r="C11" s="19" t="s">
        <v>41</v>
      </c>
      <c r="D11" s="19"/>
      <c r="E11" s="19" t="s">
        <v>42</v>
      </c>
      <c r="F11" s="19" t="s">
        <v>43</v>
      </c>
      <c r="G11" s="19" t="s">
        <v>44</v>
      </c>
      <c r="H11" s="19" t="s">
        <v>45</v>
      </c>
      <c r="I11" s="19" t="s">
        <v>46</v>
      </c>
      <c r="J11" s="19" t="s">
        <v>47</v>
      </c>
      <c r="K11" s="19" t="s">
        <v>48</v>
      </c>
      <c r="L11" s="19" t="s">
        <v>49</v>
      </c>
      <c r="M11" s="19" t="s">
        <v>50</v>
      </c>
      <c r="N11" s="50" t="s">
        <v>46</v>
      </c>
    </row>
    <row r="12" ht="20" customHeight="1" spans="1:14">
      <c r="A12" s="20">
        <v>43763.9939467593</v>
      </c>
      <c r="B12" s="21" t="s">
        <v>9</v>
      </c>
      <c r="C12" s="22" t="s">
        <v>51</v>
      </c>
      <c r="D12" s="23"/>
      <c r="E12" s="24">
        <f>2800000-156554</f>
        <v>2643446</v>
      </c>
      <c r="F12" s="25"/>
      <c r="G12" s="26">
        <f>E12-F12</f>
        <v>2643446</v>
      </c>
      <c r="H12" s="27"/>
      <c r="I12" s="37" t="s">
        <v>52</v>
      </c>
      <c r="J12" s="24">
        <f>2800000-156554</f>
        <v>2643446</v>
      </c>
      <c r="K12" s="25"/>
      <c r="L12" s="27">
        <f>J12-K12</f>
        <v>2643446</v>
      </c>
      <c r="M12" s="27"/>
      <c r="N12" s="51" t="s">
        <v>52</v>
      </c>
    </row>
    <row r="13" ht="20" customHeight="1" spans="1:14">
      <c r="A13" s="28">
        <v>43764.9939467593</v>
      </c>
      <c r="B13" s="29" t="s">
        <v>10</v>
      </c>
      <c r="C13" s="30" t="s">
        <v>51</v>
      </c>
      <c r="D13" s="31"/>
      <c r="E13" s="32">
        <v>23453333</v>
      </c>
      <c r="F13" s="33"/>
      <c r="G13" s="34">
        <f t="shared" ref="G13:G31" si="0">G12+E13-F13</f>
        <v>26096779</v>
      </c>
      <c r="H13" s="33"/>
      <c r="I13" s="39" t="s">
        <v>52</v>
      </c>
      <c r="J13" s="32">
        <v>138250</v>
      </c>
      <c r="K13" s="33"/>
      <c r="L13" s="33">
        <f t="shared" ref="L13:L47" si="1">L12+J13-K13</f>
        <v>2781696</v>
      </c>
      <c r="M13" s="33"/>
      <c r="N13" s="52" t="s">
        <v>52</v>
      </c>
    </row>
    <row r="14" ht="20" customHeight="1" spans="1:14">
      <c r="A14" s="20">
        <v>43765.9939467593</v>
      </c>
      <c r="B14" s="21" t="s">
        <v>9</v>
      </c>
      <c r="C14" s="35">
        <v>211127000007</v>
      </c>
      <c r="D14" s="35"/>
      <c r="E14" s="36"/>
      <c r="F14" s="27">
        <v>1100000</v>
      </c>
      <c r="G14" s="26">
        <f t="shared" si="0"/>
        <v>24996779</v>
      </c>
      <c r="H14" s="37" t="s">
        <v>53</v>
      </c>
      <c r="I14" s="37" t="s">
        <v>52</v>
      </c>
      <c r="J14" s="36"/>
      <c r="K14" s="27">
        <v>1100000</v>
      </c>
      <c r="L14" s="27">
        <f t="shared" si="1"/>
        <v>1681696</v>
      </c>
      <c r="M14" s="37" t="s">
        <v>53</v>
      </c>
      <c r="N14" s="51" t="s">
        <v>52</v>
      </c>
    </row>
    <row r="15" ht="20" customHeight="1" spans="1:14">
      <c r="A15" s="28">
        <v>43766.9939467593</v>
      </c>
      <c r="B15" s="29" t="s">
        <v>9</v>
      </c>
      <c r="C15" s="38">
        <v>211221000001</v>
      </c>
      <c r="D15" s="38"/>
      <c r="E15" s="32"/>
      <c r="F15" s="33">
        <v>900000</v>
      </c>
      <c r="G15" s="34">
        <f t="shared" si="0"/>
        <v>24096779</v>
      </c>
      <c r="H15" s="39" t="s">
        <v>54</v>
      </c>
      <c r="I15" s="39" t="s">
        <v>52</v>
      </c>
      <c r="J15" s="32"/>
      <c r="K15" s="33">
        <v>900000</v>
      </c>
      <c r="L15" s="33">
        <f t="shared" si="1"/>
        <v>781696</v>
      </c>
      <c r="M15" s="39" t="s">
        <v>54</v>
      </c>
      <c r="N15" s="52" t="s">
        <v>52</v>
      </c>
    </row>
    <row r="16" ht="20" customHeight="1" spans="1:14">
      <c r="A16" s="20">
        <v>43767.9939467593</v>
      </c>
      <c r="B16" s="21" t="s">
        <v>9</v>
      </c>
      <c r="C16" s="35">
        <v>211216000019</v>
      </c>
      <c r="D16" s="35"/>
      <c r="E16" s="36">
        <v>1050000</v>
      </c>
      <c r="F16" s="27"/>
      <c r="G16" s="26">
        <f t="shared" si="0"/>
        <v>25146779</v>
      </c>
      <c r="H16" s="37" t="s">
        <v>55</v>
      </c>
      <c r="I16" s="37" t="s">
        <v>52</v>
      </c>
      <c r="J16" s="36">
        <v>1050000</v>
      </c>
      <c r="K16" s="27"/>
      <c r="L16" s="27">
        <f t="shared" si="1"/>
        <v>1831696</v>
      </c>
      <c r="M16" s="37" t="s">
        <v>55</v>
      </c>
      <c r="N16" s="51" t="s">
        <v>52</v>
      </c>
    </row>
    <row r="17" ht="20" customHeight="1" spans="1:14">
      <c r="A17" s="28">
        <v>43768.9939467593</v>
      </c>
      <c r="B17" s="29" t="s">
        <v>9</v>
      </c>
      <c r="C17" s="38">
        <v>211222000052</v>
      </c>
      <c r="D17" s="38"/>
      <c r="E17" s="40">
        <v>338525</v>
      </c>
      <c r="F17" s="41"/>
      <c r="G17" s="34">
        <f t="shared" si="0"/>
        <v>25485304</v>
      </c>
      <c r="H17" s="39" t="s">
        <v>56</v>
      </c>
      <c r="I17" s="39" t="s">
        <v>52</v>
      </c>
      <c r="J17" s="40">
        <v>338525</v>
      </c>
      <c r="K17" s="41"/>
      <c r="L17" s="33">
        <f t="shared" si="1"/>
        <v>2170221</v>
      </c>
      <c r="M17" s="39" t="s">
        <v>56</v>
      </c>
      <c r="N17" s="52" t="s">
        <v>52</v>
      </c>
    </row>
    <row r="18" ht="20" customHeight="1" spans="1:14">
      <c r="A18" s="20">
        <v>43769.9939467593</v>
      </c>
      <c r="B18" s="21" t="s">
        <v>9</v>
      </c>
      <c r="C18" s="35">
        <v>211231000017</v>
      </c>
      <c r="D18" s="35"/>
      <c r="E18" s="24"/>
      <c r="F18" s="25">
        <v>190446</v>
      </c>
      <c r="G18" s="26">
        <f t="shared" si="0"/>
        <v>25294858</v>
      </c>
      <c r="H18" s="37" t="s">
        <v>57</v>
      </c>
      <c r="I18" s="37" t="s">
        <v>52</v>
      </c>
      <c r="J18" s="24"/>
      <c r="K18" s="25">
        <v>190446</v>
      </c>
      <c r="L18" s="27">
        <f t="shared" si="1"/>
        <v>1979775</v>
      </c>
      <c r="M18" s="37" t="s">
        <v>58</v>
      </c>
      <c r="N18" s="51" t="s">
        <v>52</v>
      </c>
    </row>
    <row r="19" ht="20" customHeight="1" spans="1:14">
      <c r="A19" s="28">
        <v>43770.9939467593</v>
      </c>
      <c r="B19" s="29" t="s">
        <v>9</v>
      </c>
      <c r="C19" s="38">
        <v>211225000018</v>
      </c>
      <c r="D19" s="38"/>
      <c r="E19" s="40">
        <v>4522596</v>
      </c>
      <c r="F19" s="41"/>
      <c r="G19" s="34">
        <f t="shared" si="0"/>
        <v>29817454</v>
      </c>
      <c r="H19" s="39" t="s">
        <v>57</v>
      </c>
      <c r="I19" s="39" t="s">
        <v>52</v>
      </c>
      <c r="J19" s="40">
        <v>4522596</v>
      </c>
      <c r="K19" s="41"/>
      <c r="L19" s="33">
        <f t="shared" si="1"/>
        <v>6502371</v>
      </c>
      <c r="M19" s="39" t="s">
        <v>58</v>
      </c>
      <c r="N19" s="52" t="s">
        <v>52</v>
      </c>
    </row>
    <row r="20" ht="20" customHeight="1" spans="1:14">
      <c r="A20" s="20">
        <v>43771.9939467593</v>
      </c>
      <c r="B20" s="21" t="s">
        <v>9</v>
      </c>
      <c r="C20" s="35">
        <v>211221000038</v>
      </c>
      <c r="D20" s="35"/>
      <c r="E20" s="24"/>
      <c r="F20" s="25">
        <v>929700</v>
      </c>
      <c r="G20" s="26">
        <f t="shared" si="0"/>
        <v>28887754</v>
      </c>
      <c r="H20" s="37" t="s">
        <v>57</v>
      </c>
      <c r="I20" s="37" t="s">
        <v>52</v>
      </c>
      <c r="J20" s="24"/>
      <c r="K20" s="25">
        <v>929700</v>
      </c>
      <c r="L20" s="27">
        <f t="shared" si="1"/>
        <v>5572671</v>
      </c>
      <c r="M20" s="37" t="s">
        <v>58</v>
      </c>
      <c r="N20" s="51" t="s">
        <v>52</v>
      </c>
    </row>
    <row r="21" ht="20" customHeight="1" spans="1:14">
      <c r="A21" s="28">
        <v>43772.9939467593</v>
      </c>
      <c r="B21" s="29" t="s">
        <v>9</v>
      </c>
      <c r="C21" s="38">
        <v>211221000006</v>
      </c>
      <c r="D21" s="38"/>
      <c r="E21" s="40"/>
      <c r="F21" s="41">
        <v>4426548</v>
      </c>
      <c r="G21" s="34">
        <f t="shared" si="0"/>
        <v>24461206</v>
      </c>
      <c r="H21" s="39" t="s">
        <v>57</v>
      </c>
      <c r="I21" s="39" t="s">
        <v>52</v>
      </c>
      <c r="J21" s="40"/>
      <c r="K21" s="41">
        <v>4426548</v>
      </c>
      <c r="L21" s="33">
        <f t="shared" si="1"/>
        <v>1146123</v>
      </c>
      <c r="M21" s="39" t="s">
        <v>58</v>
      </c>
      <c r="N21" s="52" t="s">
        <v>52</v>
      </c>
    </row>
    <row r="22" ht="20" customHeight="1" spans="1:14">
      <c r="A22" s="20">
        <v>43773.9939467593</v>
      </c>
      <c r="B22" s="21" t="s">
        <v>9</v>
      </c>
      <c r="C22" s="35">
        <v>211127000007</v>
      </c>
      <c r="D22" s="35"/>
      <c r="E22" s="24"/>
      <c r="F22" s="25">
        <v>15000</v>
      </c>
      <c r="G22" s="26">
        <f t="shared" si="0"/>
        <v>24446206</v>
      </c>
      <c r="H22" s="37" t="s">
        <v>57</v>
      </c>
      <c r="I22" s="37" t="s">
        <v>52</v>
      </c>
      <c r="J22" s="24"/>
      <c r="K22" s="25">
        <v>15000</v>
      </c>
      <c r="L22" s="27">
        <f t="shared" si="1"/>
        <v>1131123</v>
      </c>
      <c r="M22" s="37" t="s">
        <v>58</v>
      </c>
      <c r="N22" s="51" t="s">
        <v>52</v>
      </c>
    </row>
    <row r="23" ht="20" customHeight="1" spans="1:14">
      <c r="A23" s="28">
        <v>43774.9939467593</v>
      </c>
      <c r="B23" s="29" t="s">
        <v>9</v>
      </c>
      <c r="C23" s="38">
        <v>211221000001</v>
      </c>
      <c r="D23" s="38"/>
      <c r="E23" s="40">
        <v>356512</v>
      </c>
      <c r="F23" s="41"/>
      <c r="G23" s="34">
        <f t="shared" si="0"/>
        <v>24802718</v>
      </c>
      <c r="H23" s="39" t="s">
        <v>57</v>
      </c>
      <c r="I23" s="39" t="s">
        <v>52</v>
      </c>
      <c r="J23" s="40">
        <v>356512</v>
      </c>
      <c r="K23" s="41"/>
      <c r="L23" s="33">
        <f t="shared" si="1"/>
        <v>1487635</v>
      </c>
      <c r="M23" s="39" t="s">
        <v>58</v>
      </c>
      <c r="N23" s="52" t="s">
        <v>52</v>
      </c>
    </row>
    <row r="24" ht="20" customHeight="1" spans="1:14">
      <c r="A24" s="20">
        <v>43775.9939467593</v>
      </c>
      <c r="B24" s="21" t="s">
        <v>9</v>
      </c>
      <c r="C24" s="35">
        <v>211216000019</v>
      </c>
      <c r="D24" s="35"/>
      <c r="E24" s="24"/>
      <c r="F24" s="25">
        <v>57000</v>
      </c>
      <c r="G24" s="26">
        <f t="shared" si="0"/>
        <v>24745718</v>
      </c>
      <c r="H24" s="37" t="s">
        <v>57</v>
      </c>
      <c r="I24" s="37" t="s">
        <v>52</v>
      </c>
      <c r="J24" s="24"/>
      <c r="K24" s="25">
        <v>57000</v>
      </c>
      <c r="L24" s="27">
        <f t="shared" si="1"/>
        <v>1430635</v>
      </c>
      <c r="M24" s="37" t="s">
        <v>58</v>
      </c>
      <c r="N24" s="51" t="s">
        <v>52</v>
      </c>
    </row>
    <row r="25" ht="20" customHeight="1" spans="1:14">
      <c r="A25" s="28">
        <v>43776.9939467593</v>
      </c>
      <c r="B25" s="29" t="s">
        <v>9</v>
      </c>
      <c r="C25" s="38">
        <v>211222000052</v>
      </c>
      <c r="D25" s="38"/>
      <c r="E25" s="40">
        <v>1000000</v>
      </c>
      <c r="F25" s="41"/>
      <c r="G25" s="34">
        <f t="shared" si="0"/>
        <v>25745718</v>
      </c>
      <c r="H25" s="39" t="s">
        <v>57</v>
      </c>
      <c r="I25" s="39" t="s">
        <v>52</v>
      </c>
      <c r="J25" s="40">
        <v>1000000</v>
      </c>
      <c r="K25" s="41"/>
      <c r="L25" s="33">
        <f t="shared" si="1"/>
        <v>2430635</v>
      </c>
      <c r="M25" s="39" t="s">
        <v>57</v>
      </c>
      <c r="N25" s="52" t="s">
        <v>52</v>
      </c>
    </row>
    <row r="26" ht="20" customHeight="1" spans="1:14">
      <c r="A26" s="20">
        <v>43777.9939467593</v>
      </c>
      <c r="B26" s="21" t="s">
        <v>9</v>
      </c>
      <c r="C26" s="35">
        <v>211231000017</v>
      </c>
      <c r="D26" s="35"/>
      <c r="E26" s="24">
        <v>1120884</v>
      </c>
      <c r="F26" s="25">
        <v>1</v>
      </c>
      <c r="G26" s="26">
        <f t="shared" si="0"/>
        <v>26866601</v>
      </c>
      <c r="H26" s="37" t="s">
        <v>57</v>
      </c>
      <c r="I26" s="37" t="s">
        <v>52</v>
      </c>
      <c r="J26" s="24">
        <v>1120884</v>
      </c>
      <c r="K26" s="25">
        <v>1</v>
      </c>
      <c r="L26" s="27">
        <f t="shared" si="1"/>
        <v>3551518</v>
      </c>
      <c r="M26" s="37" t="s">
        <v>57</v>
      </c>
      <c r="N26" s="51" t="s">
        <v>52</v>
      </c>
    </row>
    <row r="27" ht="20" customHeight="1" spans="1:14">
      <c r="A27" s="28">
        <v>43778.9939467593</v>
      </c>
      <c r="B27" s="29" t="s">
        <v>9</v>
      </c>
      <c r="C27" s="38">
        <v>211225000018</v>
      </c>
      <c r="D27" s="38"/>
      <c r="E27" s="40"/>
      <c r="F27" s="33">
        <v>1020341</v>
      </c>
      <c r="G27" s="34">
        <f t="shared" si="0"/>
        <v>25846260</v>
      </c>
      <c r="H27" s="39" t="s">
        <v>57</v>
      </c>
      <c r="I27" s="39" t="s">
        <v>52</v>
      </c>
      <c r="J27" s="40"/>
      <c r="K27" s="33">
        <v>1020341</v>
      </c>
      <c r="L27" s="33">
        <f t="shared" si="1"/>
        <v>2531177</v>
      </c>
      <c r="M27" s="39" t="s">
        <v>57</v>
      </c>
      <c r="N27" s="52" t="s">
        <v>52</v>
      </c>
    </row>
    <row r="28" ht="20" customHeight="1" spans="1:14">
      <c r="A28" s="20">
        <v>43779.9939467593</v>
      </c>
      <c r="B28" s="21" t="s">
        <v>9</v>
      </c>
      <c r="C28" s="35">
        <v>211221000038</v>
      </c>
      <c r="D28" s="35"/>
      <c r="E28" s="24"/>
      <c r="F28" s="27">
        <v>1020342</v>
      </c>
      <c r="G28" s="26">
        <f t="shared" si="0"/>
        <v>24825918</v>
      </c>
      <c r="H28" s="37" t="s">
        <v>57</v>
      </c>
      <c r="I28" s="37" t="s">
        <v>52</v>
      </c>
      <c r="J28" s="24"/>
      <c r="K28" s="27">
        <v>1020342</v>
      </c>
      <c r="L28" s="27">
        <f t="shared" si="1"/>
        <v>1510835</v>
      </c>
      <c r="M28" s="37" t="s">
        <v>57</v>
      </c>
      <c r="N28" s="51" t="s">
        <v>52</v>
      </c>
    </row>
    <row r="29" ht="20" customHeight="1" spans="1:14">
      <c r="A29" s="28">
        <v>43780.9939467593</v>
      </c>
      <c r="B29" s="29" t="s">
        <v>9</v>
      </c>
      <c r="C29" s="38">
        <v>211221000006</v>
      </c>
      <c r="D29" s="38"/>
      <c r="E29" s="40"/>
      <c r="F29" s="33">
        <v>1020343</v>
      </c>
      <c r="G29" s="34">
        <f t="shared" si="0"/>
        <v>23805575</v>
      </c>
      <c r="H29" s="39" t="s">
        <v>57</v>
      </c>
      <c r="I29" s="39" t="s">
        <v>52</v>
      </c>
      <c r="J29" s="40"/>
      <c r="K29" s="33">
        <v>1020343</v>
      </c>
      <c r="L29" s="33">
        <f t="shared" si="1"/>
        <v>490492</v>
      </c>
      <c r="M29" s="39" t="s">
        <v>57</v>
      </c>
      <c r="N29" s="52" t="s">
        <v>52</v>
      </c>
    </row>
    <row r="30" ht="20" customHeight="1" spans="1:14">
      <c r="A30" s="20">
        <v>43781.9939467593</v>
      </c>
      <c r="B30" s="21" t="s">
        <v>9</v>
      </c>
      <c r="C30" s="35">
        <v>211221000038</v>
      </c>
      <c r="D30" s="35"/>
      <c r="E30" s="24"/>
      <c r="F30" s="27">
        <v>1020344</v>
      </c>
      <c r="G30" s="26">
        <f t="shared" si="0"/>
        <v>22785231</v>
      </c>
      <c r="H30" s="37" t="s">
        <v>57</v>
      </c>
      <c r="I30" s="37" t="s">
        <v>52</v>
      </c>
      <c r="J30" s="24"/>
      <c r="K30" s="27">
        <v>1020344</v>
      </c>
      <c r="L30" s="27">
        <f t="shared" si="1"/>
        <v>-529852</v>
      </c>
      <c r="M30" s="37" t="s">
        <v>57</v>
      </c>
      <c r="N30" s="51" t="s">
        <v>52</v>
      </c>
    </row>
    <row r="31" ht="20" customHeight="1" spans="1:14">
      <c r="A31" s="28">
        <v>43782.9939467593</v>
      </c>
      <c r="B31" s="29" t="s">
        <v>9</v>
      </c>
      <c r="C31" s="38">
        <v>211221000006</v>
      </c>
      <c r="D31" s="38"/>
      <c r="E31" s="40"/>
      <c r="F31" s="33">
        <v>1020345</v>
      </c>
      <c r="G31" s="34">
        <f t="shared" si="0"/>
        <v>21764886</v>
      </c>
      <c r="H31" s="39" t="s">
        <v>57</v>
      </c>
      <c r="I31" s="39" t="s">
        <v>52</v>
      </c>
      <c r="J31" s="40"/>
      <c r="K31" s="33">
        <v>1020345</v>
      </c>
      <c r="L31" s="33">
        <f t="shared" si="1"/>
        <v>-1550197</v>
      </c>
      <c r="M31" s="39" t="s">
        <v>57</v>
      </c>
      <c r="N31" s="52" t="s">
        <v>52</v>
      </c>
    </row>
    <row r="32" ht="20" customHeight="1" spans="1:14">
      <c r="A32" s="56"/>
      <c r="B32" s="57"/>
      <c r="C32" s="57"/>
      <c r="D32" s="57"/>
      <c r="E32" s="58">
        <f>SUM(E12:E27)</f>
        <v>34485296</v>
      </c>
      <c r="F32" s="26">
        <f>SUM(F12:F31)</f>
        <v>12720410</v>
      </c>
      <c r="G32" s="26">
        <f>SUM(G12:G31)</f>
        <v>482561969</v>
      </c>
      <c r="H32" s="26"/>
      <c r="I32" s="26"/>
      <c r="J32" s="24">
        <f>SUM(J12:J31)</f>
        <v>11170213</v>
      </c>
      <c r="K32" s="27">
        <f>SUM(K12:K31)</f>
        <v>12720410</v>
      </c>
      <c r="L32" s="27">
        <f>SUM(L12:L31)</f>
        <v>39575392</v>
      </c>
      <c r="M32" s="37"/>
      <c r="N32" s="51"/>
    </row>
    <row r="33" ht="30" customHeight="1" spans="1:14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5"/>
    </row>
  </sheetData>
  <mergeCells count="21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opLeftCell="H20" workbookViewId="0">
      <selection activeCell="J11" sqref="J11:N49"/>
    </sheetView>
  </sheetViews>
  <sheetFormatPr defaultColWidth="9" defaultRowHeight="13.5"/>
  <cols>
    <col min="1" max="4" width="18.625" customWidth="1"/>
    <col min="5" max="14" width="18.625" style="2" customWidth="1"/>
    <col min="15" max="16" width="15.625" style="2" customWidth="1"/>
    <col min="17" max="17" width="13.125" style="2" customWidth="1"/>
    <col min="18" max="19" width="9" style="2"/>
    <col min="20" max="20" width="10.5" style="2" customWidth="1"/>
    <col min="21" max="16377" width="9" style="2"/>
  </cols>
  <sheetData>
    <row r="1" ht="25" customHeight="1"/>
    <row r="2" ht="25" customHeight="1" spans="1:14">
      <c r="A2" s="3" t="s">
        <v>0</v>
      </c>
      <c r="B2" s="4" t="s">
        <v>1</v>
      </c>
      <c r="C2" s="4" t="s">
        <v>2</v>
      </c>
      <c r="D2" s="4" t="s">
        <v>3</v>
      </c>
      <c r="J2" s="7"/>
      <c r="K2" s="7"/>
      <c r="L2" s="7"/>
      <c r="M2" s="7"/>
      <c r="N2" s="7"/>
    </row>
    <row r="3" ht="25" customHeight="1" spans="1:10">
      <c r="A3" s="3" t="s">
        <v>4</v>
      </c>
      <c r="B3" s="5" t="s">
        <v>5</v>
      </c>
      <c r="C3" s="5" t="s">
        <v>6</v>
      </c>
      <c r="D3" s="5" t="s">
        <v>7</v>
      </c>
      <c r="F3" s="6"/>
      <c r="G3" s="6"/>
      <c r="H3" s="7"/>
      <c r="I3" s="7"/>
      <c r="J3" s="7"/>
    </row>
    <row r="4" ht="25" customHeight="1" spans="1:10">
      <c r="A4" s="8" t="s">
        <v>8</v>
      </c>
      <c r="B4" s="9" t="s">
        <v>9</v>
      </c>
      <c r="C4" s="8" t="s">
        <v>10</v>
      </c>
      <c r="D4" s="8" t="s">
        <v>11</v>
      </c>
      <c r="F4" s="10"/>
      <c r="G4" s="10"/>
      <c r="H4" s="10"/>
      <c r="I4" s="10"/>
      <c r="J4" s="10"/>
    </row>
    <row r="5" ht="25" customHeight="1" spans="1:4">
      <c r="A5" s="2"/>
      <c r="B5" s="2"/>
      <c r="C5" s="2"/>
      <c r="D5" s="2"/>
    </row>
    <row r="6" ht="25" customHeight="1" spans="1:12">
      <c r="A6" s="11" t="s">
        <v>12</v>
      </c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  <c r="J6" s="12" t="s">
        <v>59</v>
      </c>
      <c r="K6" s="12" t="s">
        <v>60</v>
      </c>
      <c r="L6" s="12" t="s">
        <v>61</v>
      </c>
    </row>
    <row r="7" s="1" customFormat="1" ht="25" customHeight="1" spans="1:12">
      <c r="A7" s="11" t="s">
        <v>21</v>
      </c>
      <c r="B7" s="12" t="s">
        <v>22</v>
      </c>
      <c r="C7" s="12" t="s">
        <v>23</v>
      </c>
      <c r="D7" s="12" t="s">
        <v>24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29</v>
      </c>
      <c r="J7" s="12" t="s">
        <v>62</v>
      </c>
      <c r="K7" s="12" t="s">
        <v>63</v>
      </c>
      <c r="L7" s="12" t="s">
        <v>64</v>
      </c>
    </row>
    <row r="8" ht="25" customHeight="1" spans="1:4">
      <c r="A8" s="2"/>
      <c r="B8" s="2"/>
      <c r="C8" s="2"/>
      <c r="D8" s="2"/>
    </row>
    <row r="9" ht="25" customHeight="1" spans="1:8">
      <c r="A9" s="13" t="s">
        <v>30</v>
      </c>
      <c r="B9" s="13" t="s">
        <v>31</v>
      </c>
      <c r="C9" s="13" t="s">
        <v>32</v>
      </c>
      <c r="D9" s="14" t="s">
        <v>33</v>
      </c>
      <c r="E9" s="14" t="s">
        <v>34</v>
      </c>
      <c r="F9" s="14" t="s">
        <v>35</v>
      </c>
      <c r="G9" s="14" t="s">
        <v>36</v>
      </c>
      <c r="H9" s="13" t="s">
        <v>37</v>
      </c>
    </row>
    <row r="10" ht="25" customHeight="1" spans="1:4">
      <c r="A10" s="15" t="s">
        <v>38</v>
      </c>
      <c r="B10" s="16"/>
      <c r="C10" s="16"/>
      <c r="D10" s="16"/>
    </row>
    <row r="11" ht="30" customHeight="1" spans="1:14">
      <c r="A11" s="17" t="s">
        <v>39</v>
      </c>
      <c r="B11" s="18" t="s">
        <v>40</v>
      </c>
      <c r="C11" s="19" t="s">
        <v>41</v>
      </c>
      <c r="D11" s="19"/>
      <c r="E11" s="19" t="s">
        <v>65</v>
      </c>
      <c r="F11" s="19" t="s">
        <v>66</v>
      </c>
      <c r="G11" s="19" t="s">
        <v>67</v>
      </c>
      <c r="H11" s="19" t="s">
        <v>50</v>
      </c>
      <c r="I11" s="19" t="s">
        <v>46</v>
      </c>
      <c r="J11" s="19" t="s">
        <v>47</v>
      </c>
      <c r="K11" s="19" t="s">
        <v>48</v>
      </c>
      <c r="L11" s="19" t="s">
        <v>49</v>
      </c>
      <c r="M11" s="19" t="s">
        <v>50</v>
      </c>
      <c r="N11" s="50" t="s">
        <v>46</v>
      </c>
    </row>
    <row r="12" ht="20" customHeight="1" spans="1:14">
      <c r="A12" s="20">
        <v>43763.9939467593</v>
      </c>
      <c r="B12" s="21" t="s">
        <v>9</v>
      </c>
      <c r="C12" s="22" t="s">
        <v>51</v>
      </c>
      <c r="D12" s="23"/>
      <c r="E12" s="24">
        <f>2800000-156554</f>
        <v>2643446</v>
      </c>
      <c r="F12" s="25"/>
      <c r="G12" s="26">
        <f>E12-F12</f>
        <v>2643446</v>
      </c>
      <c r="H12" s="27"/>
      <c r="I12" s="37" t="s">
        <v>52</v>
      </c>
      <c r="J12" s="24">
        <f>2800000-156554</f>
        <v>2643446</v>
      </c>
      <c r="K12" s="25"/>
      <c r="L12" s="27">
        <f>J12-K12</f>
        <v>2643446</v>
      </c>
      <c r="M12" s="27"/>
      <c r="N12" s="51" t="s">
        <v>52</v>
      </c>
    </row>
    <row r="13" ht="20" customHeight="1" spans="1:14">
      <c r="A13" s="28">
        <v>43764.9939467593</v>
      </c>
      <c r="B13" s="29" t="s">
        <v>10</v>
      </c>
      <c r="C13" s="30" t="s">
        <v>51</v>
      </c>
      <c r="D13" s="31"/>
      <c r="E13" s="32">
        <v>23453333</v>
      </c>
      <c r="F13" s="33"/>
      <c r="G13" s="34">
        <f t="shared" ref="G13:G31" si="0">G12+E13-F13</f>
        <v>26096779</v>
      </c>
      <c r="H13" s="33"/>
      <c r="I13" s="39" t="s">
        <v>52</v>
      </c>
      <c r="J13" s="32">
        <v>138250</v>
      </c>
      <c r="K13" s="33"/>
      <c r="L13" s="33">
        <f t="shared" ref="L13:L31" si="1">L12+J13-K13</f>
        <v>2781696</v>
      </c>
      <c r="M13" s="33"/>
      <c r="N13" s="52" t="s">
        <v>52</v>
      </c>
    </row>
    <row r="14" ht="20" customHeight="1" spans="1:14">
      <c r="A14" s="20">
        <v>43765.9939467593</v>
      </c>
      <c r="B14" s="21" t="s">
        <v>9</v>
      </c>
      <c r="C14" s="35">
        <v>211127000007</v>
      </c>
      <c r="D14" s="35"/>
      <c r="E14" s="36"/>
      <c r="F14" s="27">
        <v>1100000</v>
      </c>
      <c r="G14" s="26">
        <f t="shared" si="0"/>
        <v>24996779</v>
      </c>
      <c r="H14" s="37" t="s">
        <v>53</v>
      </c>
      <c r="I14" s="37" t="s">
        <v>52</v>
      </c>
      <c r="J14" s="36"/>
      <c r="K14" s="27">
        <v>1100000</v>
      </c>
      <c r="L14" s="27">
        <f t="shared" si="1"/>
        <v>1681696</v>
      </c>
      <c r="M14" s="37" t="s">
        <v>53</v>
      </c>
      <c r="N14" s="51" t="s">
        <v>52</v>
      </c>
    </row>
    <row r="15" ht="20" customHeight="1" spans="1:14">
      <c r="A15" s="28">
        <v>43766.9939467593</v>
      </c>
      <c r="B15" s="29" t="s">
        <v>9</v>
      </c>
      <c r="C15" s="38">
        <v>211221000001</v>
      </c>
      <c r="D15" s="38"/>
      <c r="E15" s="32"/>
      <c r="F15" s="33">
        <v>900000</v>
      </c>
      <c r="G15" s="34">
        <f t="shared" si="0"/>
        <v>24096779</v>
      </c>
      <c r="H15" s="39" t="s">
        <v>54</v>
      </c>
      <c r="I15" s="39" t="s">
        <v>52</v>
      </c>
      <c r="J15" s="32"/>
      <c r="K15" s="33">
        <v>900000</v>
      </c>
      <c r="L15" s="33">
        <f t="shared" si="1"/>
        <v>781696</v>
      </c>
      <c r="M15" s="39" t="s">
        <v>54</v>
      </c>
      <c r="N15" s="52" t="s">
        <v>52</v>
      </c>
    </row>
    <row r="16" ht="20" customHeight="1" spans="1:14">
      <c r="A16" s="20">
        <v>43767.9939467593</v>
      </c>
      <c r="B16" s="21" t="s">
        <v>9</v>
      </c>
      <c r="C16" s="35">
        <v>211216000019</v>
      </c>
      <c r="D16" s="35"/>
      <c r="E16" s="36">
        <v>1050000</v>
      </c>
      <c r="F16" s="27"/>
      <c r="G16" s="26">
        <f t="shared" si="0"/>
        <v>25146779</v>
      </c>
      <c r="H16" s="37" t="s">
        <v>55</v>
      </c>
      <c r="I16" s="37" t="s">
        <v>52</v>
      </c>
      <c r="J16" s="36">
        <v>1050000</v>
      </c>
      <c r="K16" s="27"/>
      <c r="L16" s="27">
        <f t="shared" si="1"/>
        <v>1831696</v>
      </c>
      <c r="M16" s="37" t="s">
        <v>55</v>
      </c>
      <c r="N16" s="51" t="s">
        <v>52</v>
      </c>
    </row>
    <row r="17" ht="20" customHeight="1" spans="1:14">
      <c r="A17" s="28">
        <v>43768.9939467593</v>
      </c>
      <c r="B17" s="29" t="s">
        <v>9</v>
      </c>
      <c r="C17" s="38">
        <v>211222000052</v>
      </c>
      <c r="D17" s="38"/>
      <c r="E17" s="40">
        <v>338525</v>
      </c>
      <c r="F17" s="41"/>
      <c r="G17" s="34">
        <f t="shared" si="0"/>
        <v>25485304</v>
      </c>
      <c r="H17" s="39" t="s">
        <v>56</v>
      </c>
      <c r="I17" s="39" t="s">
        <v>52</v>
      </c>
      <c r="J17" s="40">
        <v>338525</v>
      </c>
      <c r="K17" s="41"/>
      <c r="L17" s="33">
        <f t="shared" si="1"/>
        <v>2170221</v>
      </c>
      <c r="M17" s="39" t="s">
        <v>56</v>
      </c>
      <c r="N17" s="52" t="s">
        <v>52</v>
      </c>
    </row>
    <row r="18" ht="20" customHeight="1" spans="1:14">
      <c r="A18" s="20">
        <v>43769.9939467593</v>
      </c>
      <c r="B18" s="21" t="s">
        <v>9</v>
      </c>
      <c r="C18" s="35">
        <v>211231000017</v>
      </c>
      <c r="D18" s="35"/>
      <c r="E18" s="24"/>
      <c r="F18" s="25">
        <v>190446</v>
      </c>
      <c r="G18" s="26">
        <f t="shared" si="0"/>
        <v>25294858</v>
      </c>
      <c r="H18" s="37" t="s">
        <v>57</v>
      </c>
      <c r="I18" s="37" t="s">
        <v>52</v>
      </c>
      <c r="J18" s="24"/>
      <c r="K18" s="25">
        <v>190446</v>
      </c>
      <c r="L18" s="27">
        <f t="shared" si="1"/>
        <v>1979775</v>
      </c>
      <c r="M18" s="37" t="s">
        <v>58</v>
      </c>
      <c r="N18" s="51" t="s">
        <v>52</v>
      </c>
    </row>
    <row r="19" ht="20" customHeight="1" spans="1:14">
      <c r="A19" s="28">
        <v>43770.9939467593</v>
      </c>
      <c r="B19" s="29" t="s">
        <v>9</v>
      </c>
      <c r="C19" s="38">
        <v>211225000018</v>
      </c>
      <c r="D19" s="38"/>
      <c r="E19" s="40">
        <v>4522596</v>
      </c>
      <c r="F19" s="41"/>
      <c r="G19" s="34">
        <f t="shared" si="0"/>
        <v>29817454</v>
      </c>
      <c r="H19" s="39" t="s">
        <v>57</v>
      </c>
      <c r="I19" s="39" t="s">
        <v>52</v>
      </c>
      <c r="J19" s="40">
        <v>4522596</v>
      </c>
      <c r="K19" s="41"/>
      <c r="L19" s="33">
        <f t="shared" si="1"/>
        <v>6502371</v>
      </c>
      <c r="M19" s="39" t="s">
        <v>58</v>
      </c>
      <c r="N19" s="52" t="s">
        <v>52</v>
      </c>
    </row>
    <row r="20" ht="20" customHeight="1" spans="1:14">
      <c r="A20" s="20">
        <v>43771.9939467593</v>
      </c>
      <c r="B20" s="21" t="s">
        <v>9</v>
      </c>
      <c r="C20" s="35">
        <v>211221000038</v>
      </c>
      <c r="D20" s="35"/>
      <c r="E20" s="24"/>
      <c r="F20" s="25">
        <v>929700</v>
      </c>
      <c r="G20" s="26">
        <f t="shared" si="0"/>
        <v>28887754</v>
      </c>
      <c r="H20" s="37" t="s">
        <v>57</v>
      </c>
      <c r="I20" s="37" t="s">
        <v>52</v>
      </c>
      <c r="J20" s="24"/>
      <c r="K20" s="25">
        <v>929700</v>
      </c>
      <c r="L20" s="27">
        <f t="shared" si="1"/>
        <v>5572671</v>
      </c>
      <c r="M20" s="37" t="s">
        <v>58</v>
      </c>
      <c r="N20" s="51" t="s">
        <v>52</v>
      </c>
    </row>
    <row r="21" ht="20" customHeight="1" spans="1:14">
      <c r="A21" s="28">
        <v>43772.9939467593</v>
      </c>
      <c r="B21" s="29" t="s">
        <v>9</v>
      </c>
      <c r="C21" s="38">
        <v>211221000006</v>
      </c>
      <c r="D21" s="38"/>
      <c r="E21" s="40"/>
      <c r="F21" s="41">
        <v>4426548</v>
      </c>
      <c r="G21" s="34">
        <f t="shared" si="0"/>
        <v>24461206</v>
      </c>
      <c r="H21" s="39" t="s">
        <v>57</v>
      </c>
      <c r="I21" s="39" t="s">
        <v>52</v>
      </c>
      <c r="J21" s="40"/>
      <c r="K21" s="41">
        <v>4426548</v>
      </c>
      <c r="L21" s="33">
        <f t="shared" si="1"/>
        <v>1146123</v>
      </c>
      <c r="M21" s="39" t="s">
        <v>58</v>
      </c>
      <c r="N21" s="52" t="s">
        <v>52</v>
      </c>
    </row>
    <row r="22" ht="20" customHeight="1" spans="1:14">
      <c r="A22" s="20">
        <v>43773.9939467593</v>
      </c>
      <c r="B22" s="21" t="s">
        <v>9</v>
      </c>
      <c r="C22" s="35">
        <v>211127000007</v>
      </c>
      <c r="D22" s="35"/>
      <c r="E22" s="24"/>
      <c r="F22" s="25">
        <v>15000</v>
      </c>
      <c r="G22" s="26">
        <f t="shared" si="0"/>
        <v>24446206</v>
      </c>
      <c r="H22" s="37" t="s">
        <v>57</v>
      </c>
      <c r="I22" s="37" t="s">
        <v>52</v>
      </c>
      <c r="J22" s="24"/>
      <c r="K22" s="25">
        <v>15000</v>
      </c>
      <c r="L22" s="27">
        <f t="shared" si="1"/>
        <v>1131123</v>
      </c>
      <c r="M22" s="37" t="s">
        <v>58</v>
      </c>
      <c r="N22" s="51" t="s">
        <v>52</v>
      </c>
    </row>
    <row r="23" ht="20" customHeight="1" spans="1:14">
      <c r="A23" s="28">
        <v>43774.9939467593</v>
      </c>
      <c r="B23" s="29" t="s">
        <v>9</v>
      </c>
      <c r="C23" s="38">
        <v>211221000001</v>
      </c>
      <c r="D23" s="38"/>
      <c r="E23" s="40">
        <v>356512</v>
      </c>
      <c r="F23" s="41"/>
      <c r="G23" s="34">
        <f t="shared" si="0"/>
        <v>24802718</v>
      </c>
      <c r="H23" s="39" t="s">
        <v>57</v>
      </c>
      <c r="I23" s="39" t="s">
        <v>52</v>
      </c>
      <c r="J23" s="40">
        <v>356512</v>
      </c>
      <c r="K23" s="41"/>
      <c r="L23" s="33">
        <f t="shared" si="1"/>
        <v>1487635</v>
      </c>
      <c r="M23" s="39" t="s">
        <v>58</v>
      </c>
      <c r="N23" s="52" t="s">
        <v>52</v>
      </c>
    </row>
    <row r="24" ht="20" customHeight="1" spans="1:14">
      <c r="A24" s="20">
        <v>43775.9939467593</v>
      </c>
      <c r="B24" s="21" t="s">
        <v>9</v>
      </c>
      <c r="C24" s="35">
        <v>211216000019</v>
      </c>
      <c r="D24" s="35"/>
      <c r="E24" s="24"/>
      <c r="F24" s="25">
        <v>57000</v>
      </c>
      <c r="G24" s="26">
        <f t="shared" si="0"/>
        <v>24745718</v>
      </c>
      <c r="H24" s="37" t="s">
        <v>57</v>
      </c>
      <c r="I24" s="37" t="s">
        <v>52</v>
      </c>
      <c r="J24" s="24"/>
      <c r="K24" s="25">
        <v>57000</v>
      </c>
      <c r="L24" s="27">
        <f t="shared" si="1"/>
        <v>1430635</v>
      </c>
      <c r="M24" s="37" t="s">
        <v>58</v>
      </c>
      <c r="N24" s="51" t="s">
        <v>52</v>
      </c>
    </row>
    <row r="25" ht="20" customHeight="1" spans="1:14">
      <c r="A25" s="28">
        <v>43776.9939467593</v>
      </c>
      <c r="B25" s="29" t="s">
        <v>9</v>
      </c>
      <c r="C25" s="38">
        <v>211222000052</v>
      </c>
      <c r="D25" s="38"/>
      <c r="E25" s="40">
        <v>1000000</v>
      </c>
      <c r="F25" s="41"/>
      <c r="G25" s="34">
        <f t="shared" si="0"/>
        <v>25745718</v>
      </c>
      <c r="H25" s="39" t="s">
        <v>57</v>
      </c>
      <c r="I25" s="39" t="s">
        <v>52</v>
      </c>
      <c r="J25" s="40">
        <v>1000000</v>
      </c>
      <c r="K25" s="41"/>
      <c r="L25" s="33">
        <f t="shared" si="1"/>
        <v>2430635</v>
      </c>
      <c r="M25" s="39" t="s">
        <v>57</v>
      </c>
      <c r="N25" s="52" t="s">
        <v>52</v>
      </c>
    </row>
    <row r="26" ht="20" customHeight="1" spans="1:14">
      <c r="A26" s="20">
        <v>43777.9939467593</v>
      </c>
      <c r="B26" s="21" t="s">
        <v>9</v>
      </c>
      <c r="C26" s="35">
        <v>211231000017</v>
      </c>
      <c r="D26" s="35"/>
      <c r="E26" s="24">
        <v>1120884</v>
      </c>
      <c r="F26" s="25"/>
      <c r="G26" s="26">
        <f t="shared" si="0"/>
        <v>26866602</v>
      </c>
      <c r="H26" s="37" t="s">
        <v>57</v>
      </c>
      <c r="I26" s="37" t="s">
        <v>52</v>
      </c>
      <c r="J26" s="24">
        <v>1120884</v>
      </c>
      <c r="K26" s="25">
        <v>1</v>
      </c>
      <c r="L26" s="27">
        <f t="shared" si="1"/>
        <v>3551518</v>
      </c>
      <c r="M26" s="37" t="s">
        <v>57</v>
      </c>
      <c r="N26" s="51" t="s">
        <v>52</v>
      </c>
    </row>
    <row r="27" ht="20" customHeight="1" spans="1:14">
      <c r="A27" s="28">
        <v>43778.9939467593</v>
      </c>
      <c r="B27" s="29" t="s">
        <v>9</v>
      </c>
      <c r="C27" s="38">
        <v>211225000018</v>
      </c>
      <c r="D27" s="38"/>
      <c r="E27" s="40"/>
      <c r="F27" s="33">
        <v>1020341</v>
      </c>
      <c r="G27" s="34">
        <f t="shared" si="0"/>
        <v>25846261</v>
      </c>
      <c r="H27" s="39" t="s">
        <v>57</v>
      </c>
      <c r="I27" s="39" t="s">
        <v>52</v>
      </c>
      <c r="J27" s="40"/>
      <c r="K27" s="33">
        <v>1020341</v>
      </c>
      <c r="L27" s="33">
        <f t="shared" si="1"/>
        <v>2531177</v>
      </c>
      <c r="M27" s="39" t="s">
        <v>57</v>
      </c>
      <c r="N27" s="52" t="s">
        <v>52</v>
      </c>
    </row>
    <row r="28" ht="20" customHeight="1" spans="1:14">
      <c r="A28" s="20">
        <v>43779.9939467593</v>
      </c>
      <c r="B28" s="21" t="s">
        <v>9</v>
      </c>
      <c r="C28" s="35">
        <v>211221000038</v>
      </c>
      <c r="D28" s="35"/>
      <c r="E28" s="24"/>
      <c r="F28" s="27">
        <v>1020342</v>
      </c>
      <c r="G28" s="26">
        <f t="shared" si="0"/>
        <v>24825919</v>
      </c>
      <c r="H28" s="37" t="s">
        <v>57</v>
      </c>
      <c r="I28" s="37" t="s">
        <v>52</v>
      </c>
      <c r="J28" s="24"/>
      <c r="K28" s="27">
        <v>1020342</v>
      </c>
      <c r="L28" s="27">
        <f t="shared" si="1"/>
        <v>1510835</v>
      </c>
      <c r="M28" s="37" t="s">
        <v>57</v>
      </c>
      <c r="N28" s="51" t="s">
        <v>52</v>
      </c>
    </row>
    <row r="29" ht="20" customHeight="1" spans="1:14">
      <c r="A29" s="28">
        <v>43780.9939467593</v>
      </c>
      <c r="B29" s="29" t="s">
        <v>9</v>
      </c>
      <c r="C29" s="38">
        <v>211221000006</v>
      </c>
      <c r="D29" s="38"/>
      <c r="E29" s="40"/>
      <c r="F29" s="33">
        <v>1020343</v>
      </c>
      <c r="G29" s="34">
        <f t="shared" si="0"/>
        <v>23805576</v>
      </c>
      <c r="H29" s="39" t="s">
        <v>57</v>
      </c>
      <c r="I29" s="39" t="s">
        <v>52</v>
      </c>
      <c r="J29" s="40"/>
      <c r="K29" s="33">
        <v>1020343</v>
      </c>
      <c r="L29" s="33">
        <f t="shared" si="1"/>
        <v>490492</v>
      </c>
      <c r="M29" s="39" t="s">
        <v>57</v>
      </c>
      <c r="N29" s="52" t="s">
        <v>52</v>
      </c>
    </row>
    <row r="30" ht="20" customHeight="1" spans="1:14">
      <c r="A30" s="20">
        <v>43781.9939467593</v>
      </c>
      <c r="B30" s="21" t="s">
        <v>9</v>
      </c>
      <c r="C30" s="35">
        <v>211221000038</v>
      </c>
      <c r="D30" s="35"/>
      <c r="E30" s="24"/>
      <c r="F30" s="27">
        <v>1020344</v>
      </c>
      <c r="G30" s="26">
        <f t="shared" si="0"/>
        <v>22785232</v>
      </c>
      <c r="H30" s="37" t="s">
        <v>57</v>
      </c>
      <c r="I30" s="37" t="s">
        <v>52</v>
      </c>
      <c r="J30" s="24"/>
      <c r="K30" s="27">
        <v>1020344</v>
      </c>
      <c r="L30" s="27">
        <f t="shared" si="1"/>
        <v>-529852</v>
      </c>
      <c r="M30" s="37" t="s">
        <v>57</v>
      </c>
      <c r="N30" s="51" t="s">
        <v>52</v>
      </c>
    </row>
    <row r="31" ht="20" customHeight="1" spans="1:14">
      <c r="A31" s="28">
        <v>43782.9939467593</v>
      </c>
      <c r="B31" s="29" t="s">
        <v>9</v>
      </c>
      <c r="C31" s="38">
        <v>211221000006</v>
      </c>
      <c r="D31" s="38"/>
      <c r="E31" s="40"/>
      <c r="F31" s="33">
        <v>1020345</v>
      </c>
      <c r="G31" s="34">
        <f t="shared" si="0"/>
        <v>21764887</v>
      </c>
      <c r="H31" s="39" t="s">
        <v>57</v>
      </c>
      <c r="I31" s="39" t="s">
        <v>52</v>
      </c>
      <c r="J31" s="40"/>
      <c r="K31" s="33">
        <v>1020345</v>
      </c>
      <c r="L31" s="33">
        <f t="shared" si="1"/>
        <v>-1550197</v>
      </c>
      <c r="M31" s="39" t="s">
        <v>57</v>
      </c>
      <c r="N31" s="52" t="s">
        <v>52</v>
      </c>
    </row>
    <row r="32" ht="20" customHeight="1" spans="1:14">
      <c r="A32" s="20">
        <v>43783.9939467593</v>
      </c>
      <c r="B32" s="21" t="s">
        <v>9</v>
      </c>
      <c r="C32" s="35">
        <v>211220999974</v>
      </c>
      <c r="D32" s="35"/>
      <c r="E32" s="24"/>
      <c r="F32" s="27">
        <v>1020346</v>
      </c>
      <c r="G32" s="26">
        <f t="shared" ref="G32:G47" si="2">G31+E32-F32</f>
        <v>20744541</v>
      </c>
      <c r="H32" s="37" t="s">
        <v>57</v>
      </c>
      <c r="I32" s="37" t="s">
        <v>52</v>
      </c>
      <c r="J32" s="24"/>
      <c r="K32" s="27">
        <v>1020346</v>
      </c>
      <c r="L32" s="27">
        <f t="shared" ref="L32:L47" si="3">L31+J32-K32</f>
        <v>-2570543</v>
      </c>
      <c r="M32" s="37" t="s">
        <v>57</v>
      </c>
      <c r="N32" s="51" t="s">
        <v>52</v>
      </c>
    </row>
    <row r="33" ht="20" customHeight="1" spans="1:14">
      <c r="A33" s="28">
        <v>43784.9939467593</v>
      </c>
      <c r="B33" s="29" t="s">
        <v>9</v>
      </c>
      <c r="C33" s="38">
        <v>211220999942</v>
      </c>
      <c r="D33" s="38"/>
      <c r="E33" s="40"/>
      <c r="F33" s="33">
        <v>1020347</v>
      </c>
      <c r="G33" s="34">
        <f t="shared" si="2"/>
        <v>19724194</v>
      </c>
      <c r="H33" s="39" t="s">
        <v>57</v>
      </c>
      <c r="I33" s="39" t="s">
        <v>52</v>
      </c>
      <c r="J33" s="40"/>
      <c r="K33" s="33">
        <v>1020347</v>
      </c>
      <c r="L33" s="33">
        <f t="shared" si="3"/>
        <v>-3590890</v>
      </c>
      <c r="M33" s="39" t="s">
        <v>57</v>
      </c>
      <c r="N33" s="52" t="s">
        <v>52</v>
      </c>
    </row>
    <row r="34" ht="20" customHeight="1" spans="1:14">
      <c r="A34" s="20">
        <v>43785.9939467593</v>
      </c>
      <c r="B34" s="21" t="s">
        <v>9</v>
      </c>
      <c r="C34" s="35">
        <v>211220999910</v>
      </c>
      <c r="D34" s="35"/>
      <c r="E34" s="24"/>
      <c r="F34" s="27">
        <v>1020348</v>
      </c>
      <c r="G34" s="26">
        <f t="shared" si="2"/>
        <v>18703846</v>
      </c>
      <c r="H34" s="37" t="s">
        <v>57</v>
      </c>
      <c r="I34" s="37" t="s">
        <v>52</v>
      </c>
      <c r="J34" s="24"/>
      <c r="K34" s="27">
        <v>1020348</v>
      </c>
      <c r="L34" s="27">
        <f t="shared" si="3"/>
        <v>-4611238</v>
      </c>
      <c r="M34" s="37" t="s">
        <v>57</v>
      </c>
      <c r="N34" s="51" t="s">
        <v>52</v>
      </c>
    </row>
    <row r="35" ht="20" customHeight="1" spans="1:14">
      <c r="A35" s="28">
        <v>43786.9939467593</v>
      </c>
      <c r="B35" s="29" t="s">
        <v>9</v>
      </c>
      <c r="C35" s="38">
        <v>211220999878</v>
      </c>
      <c r="D35" s="38"/>
      <c r="E35" s="40"/>
      <c r="F35" s="33">
        <v>1020349</v>
      </c>
      <c r="G35" s="34">
        <f t="shared" si="2"/>
        <v>17683497</v>
      </c>
      <c r="H35" s="39" t="s">
        <v>57</v>
      </c>
      <c r="I35" s="39" t="s">
        <v>52</v>
      </c>
      <c r="J35" s="40"/>
      <c r="K35" s="33">
        <v>1020349</v>
      </c>
      <c r="L35" s="33">
        <f t="shared" si="3"/>
        <v>-5631587</v>
      </c>
      <c r="M35" s="39" t="s">
        <v>57</v>
      </c>
      <c r="N35" s="52" t="s">
        <v>52</v>
      </c>
    </row>
    <row r="36" ht="20" customHeight="1" spans="1:14">
      <c r="A36" s="20">
        <v>43787.9939467593</v>
      </c>
      <c r="B36" s="21" t="s">
        <v>9</v>
      </c>
      <c r="C36" s="35">
        <v>211220999846</v>
      </c>
      <c r="D36" s="35"/>
      <c r="E36" s="24"/>
      <c r="F36" s="27">
        <v>1020350</v>
      </c>
      <c r="G36" s="26">
        <f t="shared" si="2"/>
        <v>16663147</v>
      </c>
      <c r="H36" s="37" t="s">
        <v>57</v>
      </c>
      <c r="I36" s="37" t="s">
        <v>52</v>
      </c>
      <c r="J36" s="24"/>
      <c r="K36" s="27">
        <v>1020350</v>
      </c>
      <c r="L36" s="27">
        <f t="shared" si="3"/>
        <v>-6651937</v>
      </c>
      <c r="M36" s="37" t="s">
        <v>57</v>
      </c>
      <c r="N36" s="51" t="s">
        <v>52</v>
      </c>
    </row>
    <row r="37" ht="20" customHeight="1" spans="1:14">
      <c r="A37" s="28">
        <v>43788.9939467593</v>
      </c>
      <c r="B37" s="29" t="s">
        <v>9</v>
      </c>
      <c r="C37" s="38">
        <v>211220999814</v>
      </c>
      <c r="D37" s="38"/>
      <c r="E37" s="40"/>
      <c r="F37" s="33">
        <v>1020351</v>
      </c>
      <c r="G37" s="34">
        <f t="shared" si="2"/>
        <v>15642796</v>
      </c>
      <c r="H37" s="39" t="s">
        <v>57</v>
      </c>
      <c r="I37" s="39" t="s">
        <v>52</v>
      </c>
      <c r="J37" s="40"/>
      <c r="K37" s="33">
        <v>1020351</v>
      </c>
      <c r="L37" s="33">
        <f t="shared" si="3"/>
        <v>-7672288</v>
      </c>
      <c r="M37" s="39" t="s">
        <v>57</v>
      </c>
      <c r="N37" s="52" t="s">
        <v>52</v>
      </c>
    </row>
    <row r="38" ht="20" customHeight="1" spans="1:14">
      <c r="A38" s="20">
        <v>43789.9939467593</v>
      </c>
      <c r="B38" s="21" t="s">
        <v>9</v>
      </c>
      <c r="C38" s="35">
        <v>211220999782</v>
      </c>
      <c r="D38" s="35"/>
      <c r="E38" s="24"/>
      <c r="F38" s="27">
        <v>1020352</v>
      </c>
      <c r="G38" s="26">
        <f t="shared" si="2"/>
        <v>14622444</v>
      </c>
      <c r="H38" s="37" t="s">
        <v>57</v>
      </c>
      <c r="I38" s="37" t="s">
        <v>52</v>
      </c>
      <c r="J38" s="24"/>
      <c r="K38" s="27">
        <v>1020352</v>
      </c>
      <c r="L38" s="27">
        <f t="shared" si="3"/>
        <v>-8692640</v>
      </c>
      <c r="M38" s="37" t="s">
        <v>57</v>
      </c>
      <c r="N38" s="51" t="s">
        <v>52</v>
      </c>
    </row>
    <row r="39" ht="20" customHeight="1" spans="1:14">
      <c r="A39" s="28">
        <v>43790.9939467593</v>
      </c>
      <c r="B39" s="29" t="s">
        <v>9</v>
      </c>
      <c r="C39" s="38">
        <v>211220999750</v>
      </c>
      <c r="D39" s="38"/>
      <c r="E39" s="40"/>
      <c r="F39" s="33">
        <v>1020353</v>
      </c>
      <c r="G39" s="34">
        <f t="shared" si="2"/>
        <v>13602091</v>
      </c>
      <c r="H39" s="39" t="s">
        <v>57</v>
      </c>
      <c r="I39" s="39" t="s">
        <v>52</v>
      </c>
      <c r="J39" s="40"/>
      <c r="K39" s="33">
        <v>1020353</v>
      </c>
      <c r="L39" s="33">
        <f t="shared" si="3"/>
        <v>-9712993</v>
      </c>
      <c r="M39" s="39" t="s">
        <v>57</v>
      </c>
      <c r="N39" s="52" t="s">
        <v>52</v>
      </c>
    </row>
    <row r="40" ht="20" customHeight="1" spans="1:14">
      <c r="A40" s="20">
        <v>43791.9939467593</v>
      </c>
      <c r="B40" s="21" t="s">
        <v>9</v>
      </c>
      <c r="C40" s="35">
        <v>211220999718</v>
      </c>
      <c r="D40" s="35"/>
      <c r="E40" s="24"/>
      <c r="F40" s="27">
        <v>1020354</v>
      </c>
      <c r="G40" s="26">
        <f t="shared" si="2"/>
        <v>12581737</v>
      </c>
      <c r="H40" s="37" t="s">
        <v>57</v>
      </c>
      <c r="I40" s="37" t="s">
        <v>52</v>
      </c>
      <c r="J40" s="24"/>
      <c r="K40" s="27">
        <v>1020354</v>
      </c>
      <c r="L40" s="27">
        <f t="shared" si="3"/>
        <v>-10733347</v>
      </c>
      <c r="M40" s="37" t="s">
        <v>57</v>
      </c>
      <c r="N40" s="51" t="s">
        <v>52</v>
      </c>
    </row>
    <row r="41" ht="20" customHeight="1" spans="1:14">
      <c r="A41" s="28">
        <v>43792.9939467593</v>
      </c>
      <c r="B41" s="29" t="s">
        <v>9</v>
      </c>
      <c r="C41" s="38">
        <v>211220999686</v>
      </c>
      <c r="D41" s="38"/>
      <c r="E41" s="40"/>
      <c r="F41" s="33">
        <v>1020355</v>
      </c>
      <c r="G41" s="34">
        <f t="shared" si="2"/>
        <v>11561382</v>
      </c>
      <c r="H41" s="39" t="s">
        <v>57</v>
      </c>
      <c r="I41" s="39" t="s">
        <v>52</v>
      </c>
      <c r="J41" s="40"/>
      <c r="K41" s="33">
        <v>1020355</v>
      </c>
      <c r="L41" s="33">
        <f t="shared" si="3"/>
        <v>-11753702</v>
      </c>
      <c r="M41" s="39" t="s">
        <v>57</v>
      </c>
      <c r="N41" s="52" t="s">
        <v>52</v>
      </c>
    </row>
    <row r="42" ht="20" customHeight="1" spans="1:14">
      <c r="A42" s="20">
        <v>43793.9939467593</v>
      </c>
      <c r="B42" s="21" t="s">
        <v>9</v>
      </c>
      <c r="C42" s="35">
        <v>211220999654</v>
      </c>
      <c r="D42" s="35"/>
      <c r="E42" s="24"/>
      <c r="F42" s="27">
        <v>1020356</v>
      </c>
      <c r="G42" s="26">
        <f t="shared" si="2"/>
        <v>10541026</v>
      </c>
      <c r="H42" s="37" t="s">
        <v>57</v>
      </c>
      <c r="I42" s="37" t="s">
        <v>52</v>
      </c>
      <c r="J42" s="24"/>
      <c r="K42" s="27">
        <v>1020356</v>
      </c>
      <c r="L42" s="27">
        <f t="shared" si="3"/>
        <v>-12774058</v>
      </c>
      <c r="M42" s="37" t="s">
        <v>57</v>
      </c>
      <c r="N42" s="51" t="s">
        <v>52</v>
      </c>
    </row>
    <row r="43" ht="20" customHeight="1" spans="1:14">
      <c r="A43" s="28">
        <v>43794.9939467593</v>
      </c>
      <c r="B43" s="29" t="s">
        <v>9</v>
      </c>
      <c r="C43" s="38">
        <v>211220999622</v>
      </c>
      <c r="D43" s="38"/>
      <c r="E43" s="40"/>
      <c r="F43" s="33">
        <v>1020357</v>
      </c>
      <c r="G43" s="34">
        <f t="shared" si="2"/>
        <v>9520669</v>
      </c>
      <c r="H43" s="39" t="s">
        <v>57</v>
      </c>
      <c r="I43" s="39" t="s">
        <v>52</v>
      </c>
      <c r="J43" s="40"/>
      <c r="K43" s="33">
        <v>1020357</v>
      </c>
      <c r="L43" s="33">
        <f t="shared" si="3"/>
        <v>-13794415</v>
      </c>
      <c r="M43" s="39" t="s">
        <v>57</v>
      </c>
      <c r="N43" s="52" t="s">
        <v>52</v>
      </c>
    </row>
    <row r="44" ht="20" customHeight="1" spans="1:14">
      <c r="A44" s="20">
        <v>43795.9939467593</v>
      </c>
      <c r="B44" s="21" t="s">
        <v>9</v>
      </c>
      <c r="C44" s="35">
        <v>211220999590</v>
      </c>
      <c r="D44" s="35"/>
      <c r="E44" s="24"/>
      <c r="F44" s="27">
        <v>1020358</v>
      </c>
      <c r="G44" s="26">
        <f t="shared" si="2"/>
        <v>8500311</v>
      </c>
      <c r="H44" s="37" t="s">
        <v>57</v>
      </c>
      <c r="I44" s="37" t="s">
        <v>52</v>
      </c>
      <c r="J44" s="24"/>
      <c r="K44" s="27">
        <v>1020358</v>
      </c>
      <c r="L44" s="27">
        <f t="shared" si="3"/>
        <v>-14814773</v>
      </c>
      <c r="M44" s="37" t="s">
        <v>57</v>
      </c>
      <c r="N44" s="51" t="s">
        <v>52</v>
      </c>
    </row>
    <row r="45" ht="20" customHeight="1" spans="1:14">
      <c r="A45" s="28">
        <v>43796.9939467593</v>
      </c>
      <c r="B45" s="29" t="s">
        <v>9</v>
      </c>
      <c r="C45" s="38">
        <v>211220999558</v>
      </c>
      <c r="D45" s="38"/>
      <c r="E45" s="40"/>
      <c r="F45" s="33">
        <v>1020359</v>
      </c>
      <c r="G45" s="34">
        <f t="shared" si="2"/>
        <v>7479952</v>
      </c>
      <c r="H45" s="39" t="s">
        <v>57</v>
      </c>
      <c r="I45" s="39" t="s">
        <v>52</v>
      </c>
      <c r="J45" s="40"/>
      <c r="K45" s="33">
        <v>1020359</v>
      </c>
      <c r="L45" s="33">
        <f t="shared" si="3"/>
        <v>-15835132</v>
      </c>
      <c r="M45" s="39" t="s">
        <v>57</v>
      </c>
      <c r="N45" s="52" t="s">
        <v>52</v>
      </c>
    </row>
    <row r="46" ht="20" customHeight="1" spans="1:14">
      <c r="A46" s="20">
        <v>43797.9939467593</v>
      </c>
      <c r="B46" s="21" t="s">
        <v>9</v>
      </c>
      <c r="C46" s="35">
        <v>211220999526</v>
      </c>
      <c r="D46" s="35"/>
      <c r="E46" s="24"/>
      <c r="F46" s="27">
        <v>1020360</v>
      </c>
      <c r="G46" s="26">
        <f t="shared" si="2"/>
        <v>6459592</v>
      </c>
      <c r="H46" s="37" t="s">
        <v>57</v>
      </c>
      <c r="I46" s="37" t="s">
        <v>52</v>
      </c>
      <c r="J46" s="24"/>
      <c r="K46" s="27">
        <v>1020360</v>
      </c>
      <c r="L46" s="27">
        <f t="shared" si="3"/>
        <v>-16855492</v>
      </c>
      <c r="M46" s="37" t="s">
        <v>57</v>
      </c>
      <c r="N46" s="51" t="s">
        <v>52</v>
      </c>
    </row>
    <row r="47" ht="20" customHeight="1" spans="1:14">
      <c r="A47" s="28">
        <v>43798.9939467593</v>
      </c>
      <c r="B47" s="29" t="s">
        <v>9</v>
      </c>
      <c r="C47" s="38">
        <v>211220999494</v>
      </c>
      <c r="D47" s="38"/>
      <c r="E47" s="40"/>
      <c r="F47" s="33">
        <v>1020361</v>
      </c>
      <c r="G47" s="34">
        <f t="shared" si="2"/>
        <v>5439231</v>
      </c>
      <c r="H47" s="39" t="s">
        <v>57</v>
      </c>
      <c r="I47" s="39" t="s">
        <v>52</v>
      </c>
      <c r="J47" s="40"/>
      <c r="K47" s="33">
        <v>1020361</v>
      </c>
      <c r="L47" s="33">
        <f t="shared" si="3"/>
        <v>-17875853</v>
      </c>
      <c r="M47" s="39" t="s">
        <v>57</v>
      </c>
      <c r="N47" s="52" t="s">
        <v>52</v>
      </c>
    </row>
    <row r="48" ht="20" customHeight="1" spans="1:14">
      <c r="A48" s="42"/>
      <c r="B48" s="43"/>
      <c r="C48" s="44"/>
      <c r="D48" s="44"/>
      <c r="E48" s="45">
        <f>SUM(E12:E47)</f>
        <v>34485296</v>
      </c>
      <c r="F48" s="46">
        <f>SUM(F12:F47)</f>
        <v>29046065</v>
      </c>
      <c r="G48" s="46">
        <f>SUM(G12:G47)</f>
        <v>692032431</v>
      </c>
      <c r="H48" s="47"/>
      <c r="I48" s="47"/>
      <c r="J48" s="45">
        <f>SUM(J12:J47)</f>
        <v>11170213</v>
      </c>
      <c r="K48" s="46">
        <f>SUM(K12:K47)</f>
        <v>29046066</v>
      </c>
      <c r="L48" s="46">
        <f>SUM(L12:L47)</f>
        <v>-123995496</v>
      </c>
      <c r="M48" s="53"/>
      <c r="N48" s="54"/>
    </row>
    <row r="49" ht="30" customHeight="1" spans="1:14">
      <c r="A49" s="48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55"/>
    </row>
  </sheetData>
  <mergeCells count="37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中国</vt:lpstr>
      <vt:lpstr>国外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2022-07-11T09:10:09Z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C3C9C1DD28AB4CB8A6CDB51724327566</vt:lpwstr>
  </property>
</Properties>
</file>