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列表" sheetId="1" r:id="rId1"/>
    <sheet name="采购申请" sheetId="2" r:id="rId2"/>
  </sheets>
  <definedNames>
    <definedName name="_xlnm._FilterDatabase" localSheetId="1" hidden="1">采购申请!#REF!</definedName>
  </definedNames>
  <calcPr calcId="144525"/>
</workbook>
</file>

<file path=xl/sharedStrings.xml><?xml version="1.0" encoding="utf-8"?>
<sst xmlns="http://schemas.openxmlformats.org/spreadsheetml/2006/main" count="121" uniqueCount="91">
  <si>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</si>
  <si>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</si>
  <si>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</si>
  <si>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</si>
  <si>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</si>
  <si>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</si>
  <si>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</si>
  <si>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</si>
  <si>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</si>
  <si>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</si>
  <si>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</si>
  <si>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</si>
  <si>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</si>
  <si>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</si>
  <si>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</si>
  <si>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</si>
  <si>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</si>
  <si>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</si>
  <si>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</si>
  <si>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</si>
  <si>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</si>
  <si>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</si>
  <si>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</si>
  <si>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</si>
  <si>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</si>
  <si>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</si>
  <si>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</si>
  <si>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</si>
  <si>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申请采购</t>
  </si>
  <si>
    <t>序号</t>
  </si>
  <si>
    <t>品牌</t>
  </si>
  <si>
    <t>名称</t>
  </si>
  <si>
    <t>规格型号</t>
  </si>
  <si>
    <t>数量</t>
  </si>
  <si>
    <t>单价CNY</t>
  </si>
  <si>
    <t>预算CNY</t>
  </si>
  <si>
    <t>实际支付CNY</t>
  </si>
  <si>
    <t>支付途径</t>
  </si>
  <si>
    <t>状态</t>
  </si>
  <si>
    <t>申请日期</t>
  </si>
  <si>
    <t>审批状态</t>
  </si>
  <si>
    <t>操作</t>
  </si>
  <si>
    <t>无</t>
  </si>
  <si>
    <t>纸箱</t>
  </si>
  <si>
    <t>通用规格</t>
  </si>
  <si>
    <t>现金</t>
  </si>
  <si>
    <t>已购买</t>
  </si>
  <si>
    <t>OPERATOR                 2019/8/28 15:01:22</t>
  </si>
  <si>
    <r>
      <t>已审批</t>
    </r>
    <r>
      <rPr>
        <sz val="8"/>
        <color theme="1"/>
        <rFont val="Arial"/>
        <charset val="134"/>
      </rPr>
      <t xml:space="preserve"> SAMPAO             2019/8/28 15:01:22</t>
    </r>
  </si>
  <si>
    <t>查看</t>
  </si>
  <si>
    <t>工行公账 2066</t>
  </si>
  <si>
    <t>OPERATOR                 2019/8/28 15:01:23</t>
  </si>
  <si>
    <r>
      <t>已审批</t>
    </r>
    <r>
      <rPr>
        <sz val="8"/>
        <color theme="1"/>
        <rFont val="Arial"/>
        <charset val="134"/>
      </rPr>
      <t xml:space="preserve"> SAMPAO             2019/8/28 15:01:23</t>
    </r>
  </si>
  <si>
    <t>得力</t>
  </si>
  <si>
    <t>铅笔</t>
  </si>
  <si>
    <t>2B</t>
  </si>
  <si>
    <t>微信 私</t>
  </si>
  <si>
    <t>OPERATOR                 2019/8/28 15:01:24</t>
  </si>
  <si>
    <r>
      <t>已审批</t>
    </r>
    <r>
      <rPr>
        <sz val="8"/>
        <color theme="1"/>
        <rFont val="Arial"/>
        <charset val="134"/>
      </rPr>
      <t xml:space="preserve"> SAMPAO             2019/8/28 15:01:24</t>
    </r>
  </si>
  <si>
    <t>戴尔</t>
  </si>
  <si>
    <t>电脑</t>
  </si>
  <si>
    <t>DG2000</t>
  </si>
  <si>
    <t>私账7344</t>
  </si>
  <si>
    <t>OPERATOR                 2019/8/28 15:01:25</t>
  </si>
  <si>
    <r>
      <t>已审批</t>
    </r>
    <r>
      <rPr>
        <sz val="8"/>
        <color theme="1"/>
        <rFont val="Arial"/>
        <charset val="134"/>
      </rPr>
      <t xml:space="preserve"> SAMPAO             2019/8/28 15:01:25</t>
    </r>
  </si>
  <si>
    <t>合力</t>
  </si>
  <si>
    <t>叉车</t>
  </si>
  <si>
    <t>RT1200-300</t>
  </si>
  <si>
    <t>未购买</t>
  </si>
  <si>
    <t>YUEMEI LUO                 2019/8/28 15:01:25</t>
  </si>
  <si>
    <t>支付</t>
  </si>
  <si>
    <t>苹果</t>
  </si>
  <si>
    <t>手机</t>
  </si>
  <si>
    <t>IPHONE13-256G</t>
  </si>
  <si>
    <t>SAMPAO                 2019/8/28 15:01:25</t>
  </si>
  <si>
    <t>采购申请</t>
  </si>
  <si>
    <r>
      <rPr>
        <sz val="9"/>
        <color rgb="FF393939"/>
        <rFont val="宋体"/>
        <charset val="134"/>
      </rPr>
      <t>苹果</t>
    </r>
  </si>
  <si>
    <r>
      <rPr>
        <sz val="9"/>
        <color rgb="FF393939"/>
        <rFont val="宋体"/>
        <charset val="134"/>
      </rPr>
      <t>手机</t>
    </r>
  </si>
  <si>
    <r>
      <t>单价</t>
    </r>
    <r>
      <rPr>
        <sz val="9"/>
        <color rgb="FF393939"/>
        <rFont val="Arial"/>
        <charset val="134"/>
      </rPr>
      <t>CNY</t>
    </r>
  </si>
  <si>
    <r>
      <t>预算</t>
    </r>
    <r>
      <rPr>
        <sz val="9"/>
        <color rgb="FF393939"/>
        <rFont val="Arial"/>
        <charset val="134"/>
      </rPr>
      <t>CNY</t>
    </r>
  </si>
  <si>
    <r>
      <t>实际支付</t>
    </r>
    <r>
      <rPr>
        <sz val="9"/>
        <color theme="1"/>
        <rFont val="Arial"/>
        <charset val="134"/>
      </rPr>
      <t>CNY</t>
    </r>
  </si>
  <si>
    <r>
      <rPr>
        <sz val="9"/>
        <color rgb="FF393939"/>
        <rFont val="宋体"/>
        <charset val="134"/>
      </rPr>
      <t>无</t>
    </r>
  </si>
  <si>
    <t>收款方名称</t>
  </si>
  <si>
    <t>收款方银行</t>
  </si>
  <si>
    <t>收款方账号</t>
  </si>
  <si>
    <r>
      <rPr>
        <sz val="9"/>
        <color rgb="FF393939"/>
        <rFont val="宋体"/>
        <charset val="134"/>
      </rPr>
      <t>微信</t>
    </r>
    <r>
      <rPr>
        <sz val="9"/>
        <color rgb="FF393939"/>
        <rFont val="Arial"/>
        <charset val="134"/>
      </rPr>
      <t>/</t>
    </r>
    <r>
      <rPr>
        <sz val="9"/>
        <color rgb="FF393939"/>
        <rFont val="宋体"/>
        <charset val="134"/>
      </rPr>
      <t>私</t>
    </r>
  </si>
  <si>
    <t>支付凭证</t>
  </si>
  <si>
    <t>支付日期</t>
  </si>
  <si>
    <r>
      <rPr>
        <sz val="9"/>
        <color rgb="FF393939"/>
        <rFont val="Microsoft JhengHei"/>
        <charset val="134"/>
      </rPr>
      <t>无</t>
    </r>
  </si>
  <si>
    <t>OPERATOR  2019/8/28 15:01:22</t>
  </si>
  <si>
    <t>返回 提交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</si>
</sst>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#,##0.00_ "/>
  </numFmts>
  <fonts count="3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b/>
      <sz val="14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393939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2" tint="-0.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16" borderId="15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7" borderId="16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6" fontId="2" fillId="3" borderId="3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left" vertical="center"/>
    </xf>
    <xf numFmtId="176" fontId="3" fillId="4" borderId="4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78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8" fontId="6" fillId="5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178" fontId="10" fillId="4" borderId="0" xfId="0" applyNumberFormat="1" applyFont="1" applyFill="1" applyAlignment="1">
      <alignment horizontal="left" vertical="center" wrapText="1"/>
    </xf>
    <xf numFmtId="178" fontId="6" fillId="4" borderId="0" xfId="0" applyNumberFormat="1" applyFont="1" applyFill="1" applyAlignment="1">
      <alignment horizontal="left" vertical="center" wrapText="1"/>
    </xf>
    <xf numFmtId="31" fontId="6" fillId="4" borderId="0" xfId="0" applyNumberFormat="1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178" fontId="11" fillId="2" borderId="7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178" fontId="12" fillId="4" borderId="8" xfId="0" applyNumberFormat="1" applyFont="1" applyFill="1" applyBorder="1" applyAlignment="1">
      <alignment horizontal="center" vertical="center"/>
    </xf>
    <xf numFmtId="178" fontId="12" fillId="4" borderId="0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178" fontId="12" fillId="3" borderId="8" xfId="0" applyNumberFormat="1" applyFont="1" applyFill="1" applyBorder="1" applyAlignment="1">
      <alignment horizontal="center" vertical="center"/>
    </xf>
    <xf numFmtId="178" fontId="12" fillId="3" borderId="0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178" fontId="12" fillId="4" borderId="8" xfId="0" applyNumberFormat="1" applyFont="1" applyFill="1" applyBorder="1" applyAlignment="1">
      <alignment horizontal="center" vertical="center"/>
    </xf>
    <xf numFmtId="178" fontId="14" fillId="4" borderId="0" xfId="0" applyNumberFormat="1" applyFont="1" applyFill="1" applyBorder="1" applyAlignment="1">
      <alignment horizontal="center" vertical="center"/>
    </xf>
    <xf numFmtId="178" fontId="14" fillId="4" borderId="0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78" fontId="6" fillId="2" borderId="9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22" fontId="15" fillId="4" borderId="0" xfId="0" applyNumberFormat="1" applyFont="1" applyFill="1" applyBorder="1" applyAlignment="1">
      <alignment horizontal="center" vertical="center" wrapText="1"/>
    </xf>
    <xf numFmtId="22" fontId="16" fillId="4" borderId="10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22" fontId="15" fillId="3" borderId="0" xfId="0" applyNumberFormat="1" applyFont="1" applyFill="1" applyBorder="1" applyAlignment="1">
      <alignment horizontal="center" vertical="center" wrapText="1"/>
    </xf>
    <xf numFmtId="22" fontId="16" fillId="3" borderId="10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C10" sqref="C10"/>
    </sheetView>
  </sheetViews>
  <sheetFormatPr defaultColWidth="9" defaultRowHeight="13.5"/>
  <cols>
    <col min="1" max="1" width="9" style="11"/>
    <col min="2" max="4" width="15.625" style="11" customWidth="1"/>
    <col min="5" max="6" width="15.625" style="12" customWidth="1"/>
    <col min="7" max="13" width="15.625" style="11" customWidth="1"/>
    <col min="14" max="15" width="9" style="11"/>
    <col min="16" max="16" width="10.5" style="11" customWidth="1"/>
    <col min="17" max="16384" width="9" style="11"/>
  </cols>
  <sheetData>
    <row r="1" ht="25" customHeight="1"/>
    <row r="2" ht="25" customHeight="1" spans="1:8">
      <c r="A2" s="13" t="s">
        <v>0</v>
      </c>
      <c r="B2" s="14" t="s">
        <v>1</v>
      </c>
      <c r="C2" s="14" t="s">
        <v>2</v>
      </c>
      <c r="D2" s="15" t="s">
        <v>3</v>
      </c>
      <c r="E2" s="16"/>
      <c r="F2" s="16"/>
      <c r="G2" s="17"/>
      <c r="H2" s="17"/>
    </row>
    <row r="3" ht="25" customHeight="1" spans="1:8">
      <c r="A3" s="18" t="s">
        <v>4</v>
      </c>
      <c r="B3" s="19" t="s">
        <v>5</v>
      </c>
      <c r="C3" s="19" t="s">
        <v>6</v>
      </c>
      <c r="D3" s="19" t="s">
        <v>7</v>
      </c>
      <c r="E3" s="20"/>
      <c r="F3" s="20"/>
      <c r="G3" s="17"/>
      <c r="H3" s="17"/>
    </row>
    <row r="4" ht="25" customHeight="1" spans="1:8">
      <c r="A4" s="21" t="s">
        <v>8</v>
      </c>
      <c r="B4" s="22" t="s">
        <v>9</v>
      </c>
      <c r="C4" s="21"/>
      <c r="D4" s="21"/>
      <c r="E4" s="23"/>
      <c r="F4" s="23"/>
      <c r="G4" s="24"/>
      <c r="H4" s="24"/>
    </row>
    <row r="5" ht="25" customHeight="1" spans="6:6">
      <c r="F5" s="25"/>
    </row>
    <row r="6" ht="25" customHeight="1" spans="1:10">
      <c r="A6" s="26" t="s">
        <v>10</v>
      </c>
      <c r="B6" s="27" t="s">
        <v>11</v>
      </c>
      <c r="C6" s="27" t="s">
        <v>12</v>
      </c>
      <c r="D6" s="27" t="s">
        <v>13</v>
      </c>
      <c r="E6" s="28" t="s">
        <v>14</v>
      </c>
      <c r="F6" s="28" t="s">
        <v>15</v>
      </c>
      <c r="G6" s="27" t="s">
        <v>16</v>
      </c>
      <c r="H6" s="27" t="s">
        <v>17</v>
      </c>
      <c r="I6" s="27" t="s">
        <v>18</v>
      </c>
      <c r="J6" s="27" t="s">
        <v>18</v>
      </c>
    </row>
    <row r="7" ht="25" customHeight="1" spans="1:10">
      <c r="A7" s="26" t="s">
        <v>19</v>
      </c>
      <c r="B7" s="27" t="s">
        <v>20</v>
      </c>
      <c r="C7" s="27" t="s">
        <v>21</v>
      </c>
      <c r="D7" s="27" t="s">
        <v>22</v>
      </c>
      <c r="E7" s="28" t="s">
        <v>23</v>
      </c>
      <c r="F7" s="28" t="s">
        <v>24</v>
      </c>
      <c r="G7" s="27" t="s">
        <v>25</v>
      </c>
      <c r="H7" s="27" t="s">
        <v>26</v>
      </c>
      <c r="I7" s="27" t="s">
        <v>27</v>
      </c>
      <c r="J7" s="27" t="s">
        <v>27</v>
      </c>
    </row>
    <row r="8" ht="25" customHeight="1" spans="1:16">
      <c r="A8" s="29" t="s">
        <v>28</v>
      </c>
      <c r="B8" s="30"/>
      <c r="C8" s="31"/>
      <c r="D8" s="30"/>
      <c r="E8" s="32"/>
      <c r="F8" s="33"/>
      <c r="G8" s="34"/>
      <c r="H8" s="34"/>
      <c r="I8" s="31"/>
      <c r="J8" s="31"/>
      <c r="K8" s="30"/>
      <c r="L8" s="30"/>
      <c r="M8" s="60"/>
      <c r="N8" s="61"/>
      <c r="O8" s="61"/>
      <c r="P8" s="61"/>
    </row>
    <row r="9" ht="30" customHeight="1" spans="1:13">
      <c r="A9" s="35" t="s">
        <v>29</v>
      </c>
      <c r="B9" s="36" t="s">
        <v>30</v>
      </c>
      <c r="C9" s="36" t="s">
        <v>31</v>
      </c>
      <c r="D9" s="37" t="s">
        <v>32</v>
      </c>
      <c r="E9" s="38" t="s">
        <v>33</v>
      </c>
      <c r="F9" s="38" t="s">
        <v>34</v>
      </c>
      <c r="G9" s="36" t="s">
        <v>35</v>
      </c>
      <c r="H9" s="36" t="s">
        <v>36</v>
      </c>
      <c r="I9" s="36" t="s">
        <v>37</v>
      </c>
      <c r="J9" s="36" t="s">
        <v>38</v>
      </c>
      <c r="K9" s="36" t="s">
        <v>39</v>
      </c>
      <c r="L9" s="36" t="s">
        <v>40</v>
      </c>
      <c r="M9" s="62" t="s">
        <v>41</v>
      </c>
    </row>
    <row r="10" ht="25" customHeight="1" spans="1:13">
      <c r="A10" s="39">
        <v>1</v>
      </c>
      <c r="B10" s="40" t="s">
        <v>42</v>
      </c>
      <c r="C10" s="41" t="s">
        <v>43</v>
      </c>
      <c r="D10" s="41" t="s">
        <v>44</v>
      </c>
      <c r="E10" s="42">
        <v>30</v>
      </c>
      <c r="F10" s="43">
        <v>10</v>
      </c>
      <c r="G10" s="43">
        <f>E10*F10</f>
        <v>300</v>
      </c>
      <c r="H10" s="43">
        <f t="shared" ref="H10:H15" si="0">G10</f>
        <v>300</v>
      </c>
      <c r="I10" s="41" t="s">
        <v>45</v>
      </c>
      <c r="J10" s="63" t="s">
        <v>46</v>
      </c>
      <c r="K10" s="64" t="s">
        <v>47</v>
      </c>
      <c r="L10" s="65" t="s">
        <v>48</v>
      </c>
      <c r="M10" s="66" t="s">
        <v>49</v>
      </c>
    </row>
    <row r="11" ht="25" customHeight="1" spans="1:13">
      <c r="A11" s="44">
        <v>2</v>
      </c>
      <c r="B11" s="45" t="s">
        <v>42</v>
      </c>
      <c r="C11" s="46" t="s">
        <v>43</v>
      </c>
      <c r="D11" s="46" t="s">
        <v>44</v>
      </c>
      <c r="E11" s="47">
        <v>100</v>
      </c>
      <c r="F11" s="48">
        <v>8</v>
      </c>
      <c r="G11" s="48">
        <f>E11*F11</f>
        <v>800</v>
      </c>
      <c r="H11" s="48">
        <f t="shared" si="0"/>
        <v>800</v>
      </c>
      <c r="I11" s="46" t="s">
        <v>50</v>
      </c>
      <c r="J11" s="67" t="s">
        <v>46</v>
      </c>
      <c r="K11" s="68" t="s">
        <v>51</v>
      </c>
      <c r="L11" s="69" t="s">
        <v>52</v>
      </c>
      <c r="M11" s="70" t="s">
        <v>49</v>
      </c>
    </row>
    <row r="12" ht="25" customHeight="1" spans="1:13">
      <c r="A12" s="39">
        <v>3</v>
      </c>
      <c r="B12" s="40" t="s">
        <v>53</v>
      </c>
      <c r="C12" s="41" t="s">
        <v>54</v>
      </c>
      <c r="D12" s="49" t="s">
        <v>55</v>
      </c>
      <c r="E12" s="42">
        <v>20</v>
      </c>
      <c r="F12" s="43">
        <v>5</v>
      </c>
      <c r="G12" s="43">
        <f>E12*F12</f>
        <v>100</v>
      </c>
      <c r="H12" s="43">
        <f t="shared" si="0"/>
        <v>100</v>
      </c>
      <c r="I12" s="41" t="s">
        <v>56</v>
      </c>
      <c r="J12" s="63" t="s">
        <v>46</v>
      </c>
      <c r="K12" s="64" t="s">
        <v>57</v>
      </c>
      <c r="L12" s="65" t="s">
        <v>58</v>
      </c>
      <c r="M12" s="66" t="s">
        <v>49</v>
      </c>
    </row>
    <row r="13" ht="25" customHeight="1" spans="1:13">
      <c r="A13" s="44">
        <v>4</v>
      </c>
      <c r="B13" s="45" t="s">
        <v>59</v>
      </c>
      <c r="C13" s="46" t="s">
        <v>60</v>
      </c>
      <c r="D13" s="50" t="s">
        <v>61</v>
      </c>
      <c r="E13" s="47">
        <v>6</v>
      </c>
      <c r="F13" s="48">
        <v>4500</v>
      </c>
      <c r="G13" s="48">
        <f>E13*F13</f>
        <v>27000</v>
      </c>
      <c r="H13" s="48">
        <f>G13</f>
        <v>27000</v>
      </c>
      <c r="I13" s="46" t="s">
        <v>62</v>
      </c>
      <c r="J13" s="67" t="s">
        <v>46</v>
      </c>
      <c r="K13" s="68" t="s">
        <v>63</v>
      </c>
      <c r="L13" s="69" t="s">
        <v>64</v>
      </c>
      <c r="M13" s="70" t="s">
        <v>49</v>
      </c>
    </row>
    <row r="14" ht="25" customHeight="1" spans="1:13">
      <c r="A14" s="39">
        <v>5</v>
      </c>
      <c r="B14" s="40" t="s">
        <v>65</v>
      </c>
      <c r="C14" s="41" t="s">
        <v>66</v>
      </c>
      <c r="D14" s="49" t="s">
        <v>67</v>
      </c>
      <c r="E14" s="42">
        <v>2</v>
      </c>
      <c r="F14" s="43">
        <v>3600</v>
      </c>
      <c r="G14" s="43">
        <f>E14*F14</f>
        <v>7200</v>
      </c>
      <c r="H14" s="43">
        <v>0</v>
      </c>
      <c r="I14" s="41" t="s">
        <v>42</v>
      </c>
      <c r="J14" s="63" t="s">
        <v>68</v>
      </c>
      <c r="K14" s="71" t="s">
        <v>69</v>
      </c>
      <c r="L14" s="65" t="s">
        <v>64</v>
      </c>
      <c r="M14" s="66" t="s">
        <v>70</v>
      </c>
    </row>
    <row r="15" ht="25" customHeight="1" spans="1:13">
      <c r="A15" s="44">
        <v>6</v>
      </c>
      <c r="B15" s="45" t="s">
        <v>71</v>
      </c>
      <c r="C15" s="46" t="s">
        <v>72</v>
      </c>
      <c r="D15" s="50" t="s">
        <v>73</v>
      </c>
      <c r="E15" s="47">
        <v>6</v>
      </c>
      <c r="F15" s="48">
        <v>4500</v>
      </c>
      <c r="G15" s="48">
        <f>E15*F15</f>
        <v>27000</v>
      </c>
      <c r="H15" s="48">
        <v>0</v>
      </c>
      <c r="I15" s="46" t="s">
        <v>42</v>
      </c>
      <c r="J15" s="67" t="s">
        <v>68</v>
      </c>
      <c r="K15" s="72" t="s">
        <v>74</v>
      </c>
      <c r="L15" s="69" t="s">
        <v>64</v>
      </c>
      <c r="M15" s="70" t="s">
        <v>70</v>
      </c>
    </row>
    <row r="16" ht="25" customHeight="1" spans="1:13">
      <c r="A16" s="51"/>
      <c r="B16" s="52"/>
      <c r="C16" s="53"/>
      <c r="D16" s="53"/>
      <c r="E16" s="54"/>
      <c r="F16" s="55"/>
      <c r="G16" s="55">
        <f>SUM(G10:G15)</f>
        <v>62400</v>
      </c>
      <c r="H16" s="56">
        <f>SUM(H10:H15)</f>
        <v>28200</v>
      </c>
      <c r="I16" s="73"/>
      <c r="J16" s="74"/>
      <c r="K16" s="75"/>
      <c r="L16" s="74"/>
      <c r="M16" s="76"/>
    </row>
    <row r="17" ht="30" customHeight="1" spans="1:13">
      <c r="A17" s="57"/>
      <c r="B17" s="58"/>
      <c r="C17" s="58"/>
      <c r="D17" s="58"/>
      <c r="E17" s="59"/>
      <c r="F17" s="59"/>
      <c r="G17" s="58"/>
      <c r="H17" s="58"/>
      <c r="I17" s="58"/>
      <c r="J17" s="58"/>
      <c r="K17" s="58"/>
      <c r="L17" s="58"/>
      <c r="M17" s="77"/>
    </row>
  </sheetData>
  <mergeCells count="1">
    <mergeCell ref="B17:C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workbookViewId="0">
      <selection activeCell="B12" sqref="B12"/>
    </sheetView>
  </sheetViews>
  <sheetFormatPr defaultColWidth="9" defaultRowHeight="13.5" outlineLevelCol="1"/>
  <cols>
    <col min="1" max="1" width="20.625" customWidth="1"/>
    <col min="2" max="2" width="54.375" customWidth="1"/>
  </cols>
  <sheetData>
    <row r="3" ht="25" customHeight="1" spans="1:2">
      <c r="A3" s="1" t="s">
        <v>75</v>
      </c>
      <c r="B3" s="2"/>
    </row>
    <row r="4" ht="30" customHeight="1" spans="1:2">
      <c r="A4" s="3" t="s">
        <v>30</v>
      </c>
      <c r="B4" s="4" t="s">
        <v>76</v>
      </c>
    </row>
    <row r="5" ht="30" customHeight="1" spans="1:2">
      <c r="A5" s="3" t="s">
        <v>31</v>
      </c>
      <c r="B5" s="4" t="s">
        <v>77</v>
      </c>
    </row>
    <row r="6" ht="30" customHeight="1" spans="1:2">
      <c r="A6" s="3" t="s">
        <v>32</v>
      </c>
      <c r="B6" s="4" t="s">
        <v>73</v>
      </c>
    </row>
    <row r="7" ht="30" customHeight="1" spans="1:2">
      <c r="A7" s="3" t="s">
        <v>33</v>
      </c>
      <c r="B7" s="5">
        <v>6</v>
      </c>
    </row>
    <row r="8" ht="30" customHeight="1" spans="1:2">
      <c r="A8" s="3" t="s">
        <v>78</v>
      </c>
      <c r="B8" s="5">
        <v>4500</v>
      </c>
    </row>
    <row r="9" ht="30" customHeight="1" spans="1:2">
      <c r="A9" s="3" t="s">
        <v>79</v>
      </c>
      <c r="B9" s="5">
        <v>27000</v>
      </c>
    </row>
    <row r="10" ht="30" customHeight="1" spans="1:2">
      <c r="A10" s="6" t="s">
        <v>80</v>
      </c>
      <c r="B10" s="4" t="s">
        <v>81</v>
      </c>
    </row>
    <row r="11" ht="30" customHeight="1" spans="1:2">
      <c r="A11" s="6" t="s">
        <v>82</v>
      </c>
      <c r="B11" s="7" t="s">
        <v>42</v>
      </c>
    </row>
    <row r="12" ht="30" customHeight="1" spans="1:2">
      <c r="A12" s="6" t="s">
        <v>83</v>
      </c>
      <c r="B12" s="8" t="s">
        <v>81</v>
      </c>
    </row>
    <row r="13" ht="30" customHeight="1" spans="1:2">
      <c r="A13" s="6" t="s">
        <v>84</v>
      </c>
      <c r="B13" s="8" t="s">
        <v>81</v>
      </c>
    </row>
    <row r="14" ht="30" customHeight="1" spans="1:2">
      <c r="A14" s="6" t="s">
        <v>37</v>
      </c>
      <c r="B14" s="8" t="s">
        <v>85</v>
      </c>
    </row>
    <row r="15" ht="30" customHeight="1" spans="1:2">
      <c r="A15" s="6" t="s">
        <v>86</v>
      </c>
      <c r="B15" s="8" t="s">
        <v>81</v>
      </c>
    </row>
    <row r="16" ht="30" customHeight="1" spans="1:2">
      <c r="A16" s="3" t="s">
        <v>87</v>
      </c>
      <c r="B16" s="8" t="s">
        <v>88</v>
      </c>
    </row>
    <row r="17" ht="30" customHeight="1" spans="1:2">
      <c r="A17" s="3" t="s">
        <v>39</v>
      </c>
      <c r="B17" s="8" t="s">
        <v>89</v>
      </c>
    </row>
    <row r="18" ht="30" customHeight="1" spans="1:2">
      <c r="A18" s="3" t="s">
        <v>40</v>
      </c>
      <c r="B18" s="8" t="s">
        <v>88</v>
      </c>
    </row>
    <row r="19" ht="25" customHeight="1" spans="1:2">
      <c r="A19" s="9" t="s">
        <v>90</v>
      </c>
      <c r="B19" s="10"/>
    </row>
    <row r="20" ht="25" customHeight="1"/>
    <row r="21" ht="25" customHeight="1"/>
    <row r="22" ht="25" customHeight="1"/>
    <row r="23" ht="25" customHeight="1"/>
    <row r="24" ht="25" customHeight="1"/>
    <row r="25" ht="25" customHeight="1"/>
  </sheetData>
  <mergeCells count="1">
    <mergeCell ref="A19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列表</vt:lpstr>
      <vt:lpstr>采购申请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2020-01-13T07:57:00Z</dcterms:created>
  <dcterms:modified xsi:type="dcterms:W3CDTF">2022-08-18T04:16:17Z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9E9E5DAB2E474B368C14D901BFF0DC37</vt:lpwstr>
  </property>
</Properties>
</file>