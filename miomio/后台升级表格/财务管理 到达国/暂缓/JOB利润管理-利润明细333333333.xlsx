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<sst xmlns="http://schemas.openxmlformats.org/spreadsheetml/2006/main" count="191" uniqueCount="67">
  <si>
    <t>利润明细</t>
  </si>
  <si>
    <t>JOB123456  JOB123456   JOB123456</t>
  </si>
  <si>
    <t>CAN.CHN→LOS.NGN</t>
  </si>
  <si>
    <t>特快</t>
  </si>
  <si>
    <t>信息详情</t>
  </si>
  <si>
    <t>空运</t>
  </si>
  <si>
    <t>承运人  ET</t>
  </si>
  <si>
    <t>提单号  071-12345678</t>
  </si>
  <si>
    <t>起运港  HKG</t>
  </si>
  <si>
    <t>目的港  LOS</t>
  </si>
  <si>
    <t>计费重量 kgs 5000</t>
  </si>
  <si>
    <t>件数  30</t>
  </si>
  <si>
    <t>操作账号 LOSOFFICE</t>
  </si>
  <si>
    <t>日期 2019/0102 10:30</t>
  </si>
  <si>
    <t>订单应收</t>
  </si>
  <si>
    <t>起运港应付</t>
  </si>
  <si>
    <t>目的港应付</t>
  </si>
  <si>
    <t>利润</t>
  </si>
  <si>
    <r>
      <rPr>
        <sz val="9"/>
        <color theme="1"/>
        <rFont val="宋体"/>
        <charset val="134"/>
      </rPr>
      <t>序号</t>
    </r>
  </si>
  <si>
    <r>
      <rPr>
        <sz val="9"/>
        <color theme="1"/>
        <rFont val="宋体"/>
        <charset val="134"/>
      </rPr>
      <t>订单号</t>
    </r>
  </si>
  <si>
    <r>
      <rPr>
        <sz val="9"/>
        <color theme="1"/>
        <rFont val="宋体"/>
        <charset val="134"/>
      </rPr>
      <t>用户</t>
    </r>
  </si>
  <si>
    <r>
      <rPr>
        <sz val="9"/>
        <color theme="1"/>
        <rFont val="宋体"/>
        <charset val="134"/>
      </rPr>
      <t>业务员</t>
    </r>
  </si>
  <si>
    <r>
      <rPr>
        <sz val="9"/>
        <color theme="1"/>
        <rFont val="宋体"/>
        <charset val="134"/>
      </rPr>
      <t>重量</t>
    </r>
  </si>
  <si>
    <r>
      <rPr>
        <sz val="9"/>
        <color theme="1"/>
        <rFont val="宋体"/>
        <charset val="134"/>
      </rPr>
      <t>件数</t>
    </r>
  </si>
  <si>
    <r>
      <rPr>
        <sz val="9"/>
        <color theme="1"/>
        <rFont val="宋体"/>
        <charset val="134"/>
      </rPr>
      <t>支付方式</t>
    </r>
  </si>
  <si>
    <r>
      <rPr>
        <sz val="9"/>
        <color theme="1"/>
        <rFont val="宋体"/>
        <charset val="134"/>
      </rPr>
      <t>状态</t>
    </r>
  </si>
  <si>
    <r>
      <rPr>
        <sz val="9"/>
        <color theme="1"/>
        <rFont val="宋体"/>
        <charset val="134"/>
      </rPr>
      <t>应收</t>
    </r>
    <r>
      <rPr>
        <sz val="9"/>
        <color theme="1"/>
        <rFont val="Arial"/>
        <charset val="134"/>
      </rPr>
      <t>CNY</t>
    </r>
  </si>
  <si>
    <r>
      <rPr>
        <sz val="9"/>
        <color theme="1"/>
        <rFont val="宋体"/>
        <charset val="134"/>
      </rPr>
      <t>应收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</si>
  <si>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应收</t>
    </r>
    <r>
      <rPr>
        <sz val="9"/>
        <color theme="1"/>
        <rFont val="Arial"/>
        <charset val="134"/>
      </rPr>
      <t>NGN</t>
    </r>
  </si>
  <si>
    <r>
      <rPr>
        <sz val="9"/>
        <color theme="1"/>
        <rFont val="宋体"/>
        <charset val="134"/>
      </rPr>
      <t>汇率</t>
    </r>
  </si>
  <si>
    <t>折合CNY</t>
  </si>
  <si>
    <r>
      <rPr>
        <sz val="9"/>
        <color theme="1"/>
        <rFont val="宋体"/>
        <charset val="134"/>
      </rPr>
      <t>比例</t>
    </r>
  </si>
  <si>
    <r>
      <rPr>
        <sz val="9"/>
        <color theme="1"/>
        <rFont val="宋体"/>
        <charset val="134"/>
      </rPr>
      <t>应付</t>
    </r>
    <r>
      <rPr>
        <sz val="9"/>
        <color theme="1"/>
        <rFont val="Arial"/>
        <charset val="134"/>
      </rPr>
      <t>CNY</t>
    </r>
  </si>
  <si>
    <r>
      <rPr>
        <sz val="9"/>
        <color theme="1"/>
        <rFont val="宋体"/>
        <charset val="134"/>
      </rPr>
      <t>应付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</si>
  <si>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应付</t>
    </r>
    <r>
      <rPr>
        <sz val="9"/>
        <color theme="1"/>
        <rFont val="Arial"/>
        <charset val="134"/>
      </rPr>
      <t>NGN</t>
    </r>
  </si>
  <si>
    <r>
      <rPr>
        <sz val="9"/>
        <color theme="1"/>
        <rFont val="宋体"/>
        <charset val="134"/>
      </rPr>
      <t>折合</t>
    </r>
    <r>
      <rPr>
        <sz val="9"/>
        <color theme="1"/>
        <rFont val="Arial"/>
        <charset val="134"/>
      </rPr>
      <t>CNY</t>
    </r>
  </si>
  <si>
    <t>191025000039</t>
  </si>
  <si>
    <r>
      <rPr>
        <sz val="9"/>
        <color theme="1"/>
        <rFont val="宋体"/>
        <charset val="134"/>
      </rPr>
      <t>敏敏</t>
    </r>
    <r>
      <rPr>
        <sz val="9"/>
        <color theme="1"/>
        <rFont val="Arial"/>
        <charset val="134"/>
      </rPr>
      <t>lena</t>
    </r>
  </si>
  <si>
    <r>
      <rPr>
        <sz val="9"/>
        <color theme="1"/>
        <rFont val="宋体"/>
        <charset val="134"/>
      </rPr>
      <t>预付</t>
    </r>
  </si>
  <si>
    <r>
      <rPr>
        <sz val="9"/>
        <color theme="1"/>
        <rFont val="宋体"/>
        <charset val="134"/>
      </rPr>
      <t>已付</t>
    </r>
  </si>
  <si>
    <t>应付明细</t>
  </si>
  <si>
    <t>序号</t>
  </si>
  <si>
    <t>供应商</t>
  </si>
  <si>
    <t>订单号</t>
  </si>
  <si>
    <t>项目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</si>
  <si>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CNY</t>
    </r>
  </si>
  <si>
    <t>数量</t>
  </si>
  <si>
    <t>小计CNY</t>
  </si>
  <si>
    <t>录入账号</t>
  </si>
  <si>
    <t>支付状态</t>
  </si>
  <si>
    <t>支付途径</t>
  </si>
  <si>
    <t>支付凭证</t>
  </si>
  <si>
    <t>支付日期</t>
  </si>
  <si>
    <t>审核状态</t>
  </si>
  <si>
    <t>审核账号</t>
  </si>
  <si>
    <t>审核日期</t>
  </si>
  <si>
    <t>广州喵喵国际货运代理有限公司深圳分公司</t>
  </si>
  <si>
    <t>到门配送费</t>
  </si>
  <si>
    <t>CANSAMPAO</t>
  </si>
  <si>
    <t>已付</t>
  </si>
  <si>
    <r>
      <rPr>
        <sz val="9"/>
        <color rgb="FF393939"/>
        <rFont val="宋体"/>
        <charset val="134"/>
      </rPr>
      <t>微信</t>
    </r>
    <r>
      <rPr>
        <sz val="9"/>
        <color rgb="FF393939"/>
        <rFont val="Arial"/>
        <charset val="134"/>
      </rPr>
      <t>/</t>
    </r>
    <r>
      <rPr>
        <sz val="9"/>
        <color rgb="FF393939"/>
        <rFont val="宋体"/>
        <charset val="134"/>
      </rPr>
      <t>公</t>
    </r>
  </si>
  <si>
    <t>查看</t>
  </si>
  <si>
    <t>已审核</t>
  </si>
  <si>
    <t>未付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</si>
  <si>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NGN</t>
    </r>
  </si>
  <si>
    <r>
      <rPr>
        <sz val="12"/>
        <color rgb="FFFF0000"/>
        <rFont val="宋体"/>
        <charset val="134"/>
      </rPr>
      <t>利润：</t>
    </r>
    <r>
      <rPr>
        <sz val="12"/>
        <color rgb="FFFF0000"/>
        <rFont val="Arial"/>
        <charset val="134"/>
      </rPr>
      <t>77,544.00-359,322.00=100,000.00</t>
    </r>
  </si>
  <si>
    <t>返回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</si>
</sst>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#,##0.00_ "/>
  </numFmts>
  <fonts count="38">
    <font>
      <sz val="11"/>
      <color theme="1"/>
      <name val="宋体"/>
      <charset val="134"/>
      <scheme val="minor"/>
    </font>
    <font>
      <b/>
      <sz val="12"/>
      <color theme="0"/>
      <name val="Microsoft JhengHei"/>
      <charset val="134"/>
    </font>
    <font>
      <b/>
      <sz val="12"/>
      <color theme="1"/>
      <name val="Microsoft JhengHei"/>
      <charset val="134"/>
    </font>
    <font>
      <b/>
      <sz val="12"/>
      <color rgb="FFFF0000"/>
      <name val="Microsoft JhengHei"/>
      <charset val="134"/>
    </font>
    <font>
      <b/>
      <sz val="10"/>
      <color theme="1"/>
      <name val="Microsoft JhengHei"/>
      <charset val="134"/>
    </font>
    <font>
      <sz val="10"/>
      <color theme="1"/>
      <name val="Microsoft JhengHei"/>
      <charset val="134"/>
    </font>
    <font>
      <sz val="10"/>
      <color theme="1"/>
      <name val="宋体"/>
      <charset val="134"/>
      <scheme val="minor"/>
    </font>
    <font>
      <b/>
      <sz val="9"/>
      <color theme="0"/>
      <name val="宋体"/>
      <charset val="134"/>
    </font>
    <font>
      <sz val="9"/>
      <color theme="1"/>
      <name val="Arial"/>
      <charset val="134"/>
    </font>
    <font>
      <b/>
      <sz val="12"/>
      <color theme="0"/>
      <name val="宋体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12"/>
      <color rgb="FFFF0000"/>
      <name val="Arial"/>
      <charset val="134"/>
    </font>
    <font>
      <sz val="12"/>
      <color theme="1"/>
      <name val="Microsoft JhengHei"/>
      <charset val="134"/>
    </font>
    <font>
      <sz val="9"/>
      <color rgb="FF393939"/>
      <name val="Microsoft JhengHei"/>
      <charset val="134"/>
    </font>
    <font>
      <sz val="9"/>
      <color rgb="FF393939"/>
      <name val="宋体"/>
      <charset val="134"/>
    </font>
    <font>
      <sz val="9"/>
      <color rgb="FF393939"/>
      <name val="Arial"/>
      <charset val="134"/>
    </font>
    <font>
      <b/>
      <sz val="9"/>
      <color theme="0"/>
      <name val="Arial"/>
      <charset val="134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35" fillId="6" borderId="16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30" fillId="23" borderId="13" applyNumberForma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4" borderId="3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8" fillId="5" borderId="3" xfId="0" applyFont="1" applyFill="1" applyBorder="1">
      <alignment vertical="center"/>
    </xf>
    <xf numFmtId="0" fontId="8" fillId="5" borderId="0" xfId="0" applyFont="1" applyFill="1" applyBorder="1">
      <alignment vertical="center"/>
    </xf>
    <xf numFmtId="0" fontId="12" fillId="5" borderId="3" xfId="0" applyFont="1" applyFill="1" applyBorder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vertical="center"/>
    </xf>
    <xf numFmtId="0" fontId="0" fillId="3" borderId="0" xfId="0" applyFill="1" applyBorder="1">
      <alignment vertical="center"/>
    </xf>
    <xf numFmtId="0" fontId="5" fillId="3" borderId="0" xfId="0" applyFont="1" applyFill="1" applyBorder="1" applyAlignment="1">
      <alignment horizontal="center" vertical="center"/>
    </xf>
    <xf numFmtId="4" fontId="8" fillId="3" borderId="0" xfId="0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77" fontId="8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177" fontId="8" fillId="3" borderId="0" xfId="0" applyNumberFormat="1" applyFont="1" applyFill="1" applyBorder="1" applyAlignment="1">
      <alignment horizontal="center" vertical="center"/>
    </xf>
    <xf numFmtId="177" fontId="8" fillId="3" borderId="0" xfId="0" applyNumberFormat="1" applyFont="1" applyFill="1" applyAlignment="1">
      <alignment horizontal="center" vertical="center"/>
    </xf>
    <xf numFmtId="4" fontId="8" fillId="5" borderId="0" xfId="0" applyNumberFormat="1" applyFont="1" applyFill="1" applyBorder="1" applyAlignment="1">
      <alignment horizontal="center" vertical="center"/>
    </xf>
    <xf numFmtId="176" fontId="14" fillId="5" borderId="0" xfId="0" applyNumberFormat="1" applyFont="1" applyFill="1" applyBorder="1" applyAlignment="1">
      <alignment horizontal="center" vertical="center"/>
    </xf>
    <xf numFmtId="176" fontId="15" fillId="3" borderId="0" xfId="0" applyNumberFormat="1" applyFont="1" applyFill="1" applyBorder="1" applyAlignment="1">
      <alignment horizontal="center" vertical="center"/>
    </xf>
    <xf numFmtId="177" fontId="8" fillId="5" borderId="0" xfId="0" applyNumberFormat="1" applyFont="1" applyFill="1" applyBorder="1" applyAlignment="1">
      <alignment vertical="center"/>
    </xf>
    <xf numFmtId="0" fontId="8" fillId="5" borderId="0" xfId="0" applyFont="1" applyFill="1" applyBorder="1" applyAlignment="1">
      <alignment vertical="center"/>
    </xf>
    <xf numFmtId="177" fontId="8" fillId="5" borderId="0" xfId="0" applyNumberFormat="1" applyFont="1" applyFill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4" fontId="8" fillId="3" borderId="0" xfId="0" applyNumberFormat="1" applyFont="1" applyFill="1" applyAlignment="1">
      <alignment horizontal="center" vertical="center"/>
    </xf>
    <xf numFmtId="10" fontId="8" fillId="3" borderId="0" xfId="0" applyNumberFormat="1" applyFont="1" applyFill="1" applyBorder="1" applyAlignment="1">
      <alignment horizontal="center" vertical="center"/>
    </xf>
    <xf numFmtId="4" fontId="8" fillId="3" borderId="3" xfId="0" applyNumberFormat="1" applyFont="1" applyFill="1" applyBorder="1" applyAlignment="1">
      <alignment horizontal="center" vertical="center"/>
    </xf>
    <xf numFmtId="177" fontId="8" fillId="3" borderId="3" xfId="0" applyNumberFormat="1" applyFont="1" applyFill="1" applyBorder="1" applyAlignment="1">
      <alignment horizontal="center" vertical="center"/>
    </xf>
    <xf numFmtId="10" fontId="8" fillId="5" borderId="0" xfId="0" applyNumberFormat="1" applyFont="1" applyFill="1" applyBorder="1" applyAlignment="1">
      <alignment horizontal="center" vertical="center"/>
    </xf>
    <xf numFmtId="177" fontId="8" fillId="5" borderId="3" xfId="0" applyNumberFormat="1" applyFont="1" applyFill="1" applyBorder="1" applyAlignment="1">
      <alignment horizontal="center" vertical="center"/>
    </xf>
    <xf numFmtId="176" fontId="16" fillId="5" borderId="0" xfId="0" applyNumberFormat="1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horizontal="center" vertical="center"/>
    </xf>
    <xf numFmtId="176" fontId="16" fillId="3" borderId="0" xfId="0" applyNumberFormat="1" applyFont="1" applyFill="1" applyBorder="1" applyAlignment="1">
      <alignment horizontal="center" vertical="center"/>
    </xf>
    <xf numFmtId="22" fontId="16" fillId="3" borderId="0" xfId="0" applyNumberFormat="1" applyFont="1" applyFill="1" applyBorder="1" applyAlignment="1">
      <alignment horizontal="center" vertical="center"/>
    </xf>
    <xf numFmtId="177" fontId="8" fillId="5" borderId="0" xfId="0" applyNumberFormat="1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10" fontId="8" fillId="3" borderId="7" xfId="0" applyNumberFormat="1" applyFont="1" applyFill="1" applyBorder="1" applyAlignment="1">
      <alignment horizontal="center" vertical="center"/>
    </xf>
    <xf numFmtId="10" fontId="8" fillId="5" borderId="7" xfId="0" applyNumberFormat="1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176" fontId="14" fillId="5" borderId="0" xfId="0" applyNumberFormat="1" applyFont="1" applyFill="1" applyBorder="1" applyAlignment="1">
      <alignment vertical="center"/>
    </xf>
    <xf numFmtId="0" fontId="16" fillId="3" borderId="0" xfId="0" applyFont="1" applyFill="1" applyBorder="1" applyAlignment="1">
      <alignment horizontal="center" vertical="center"/>
    </xf>
    <xf numFmtId="22" fontId="16" fillId="3" borderId="0" xfId="0" applyNumberFormat="1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8" fillId="5" borderId="0" xfId="0" applyFont="1" applyFill="1" applyAlignment="1">
      <alignment vertical="center"/>
    </xf>
    <xf numFmtId="0" fontId="1" fillId="2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0" fontId="0" fillId="3" borderId="7" xfId="0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0" fillId="3" borderId="7" xfId="0" applyFill="1" applyBorder="1">
      <alignment vertical="center"/>
    </xf>
    <xf numFmtId="0" fontId="9" fillId="2" borderId="7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left" vertical="center"/>
    </xf>
    <xf numFmtId="22" fontId="16" fillId="3" borderId="7" xfId="0" applyNumberFormat="1" applyFont="1" applyFill="1" applyBorder="1" applyAlignment="1">
      <alignment vertical="center"/>
    </xf>
    <xf numFmtId="0" fontId="8" fillId="5" borderId="7" xfId="0" applyFont="1" applyFill="1" applyBorder="1" applyAlignment="1">
      <alignment vertical="center"/>
    </xf>
    <xf numFmtId="0" fontId="12" fillId="5" borderId="7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/>
    </xf>
    <xf numFmtId="0" fontId="8" fillId="3" borderId="0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37"/>
  <sheetViews>
    <sheetView tabSelected="1" workbookViewId="0">
      <selection activeCell="U39" sqref="U39"/>
    </sheetView>
  </sheetViews>
  <sheetFormatPr defaultColWidth="9" defaultRowHeight="13.5"/>
  <cols>
    <col min="1" max="2" width="2.375" customWidth="1"/>
    <col min="3" max="141" width="3.625" customWidth="1"/>
  </cols>
  <sheetData>
    <row r="1" ht="25" customHeight="1" spans="1:6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78"/>
    </row>
    <row r="2" ht="25" customHeight="1" spans="1:6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79"/>
    </row>
    <row r="3" ht="25" customHeight="1" spans="1:65">
      <c r="A3" s="5" t="s">
        <v>2</v>
      </c>
      <c r="B3" s="6"/>
      <c r="C3" s="6"/>
      <c r="D3" s="6"/>
      <c r="E3" s="6"/>
      <c r="F3" s="6"/>
      <c r="G3" s="6"/>
      <c r="H3" s="7" t="s">
        <v>3</v>
      </c>
      <c r="I3" s="7"/>
      <c r="J3" s="36"/>
      <c r="K3" s="36"/>
      <c r="L3" s="36"/>
      <c r="M3" s="36"/>
      <c r="N3" s="36"/>
      <c r="O3" s="36"/>
      <c r="P3" s="36"/>
      <c r="Q3" s="38"/>
      <c r="R3" s="38"/>
      <c r="S3" s="38"/>
      <c r="T3" s="38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76"/>
      <c r="BL3" s="76"/>
      <c r="BM3" s="80"/>
    </row>
    <row r="4" ht="25" customHeight="1" spans="1:65">
      <c r="A4" s="8" t="s">
        <v>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81"/>
    </row>
    <row r="5" ht="25" customHeight="1" spans="1:65">
      <c r="A5" s="10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82"/>
    </row>
    <row r="6" ht="25" customHeight="1" spans="1:65">
      <c r="A6" s="12" t="s">
        <v>6</v>
      </c>
      <c r="B6" s="13"/>
      <c r="C6" s="14"/>
      <c r="D6" s="14"/>
      <c r="E6" s="13"/>
      <c r="F6" s="13"/>
      <c r="G6" s="13"/>
      <c r="H6" s="14" t="s">
        <v>7</v>
      </c>
      <c r="I6" s="14"/>
      <c r="J6" s="13"/>
      <c r="K6" s="13"/>
      <c r="L6" s="13"/>
      <c r="M6" s="13"/>
      <c r="N6" s="13"/>
      <c r="O6" s="13"/>
      <c r="P6" s="37"/>
      <c r="Q6" s="40"/>
      <c r="R6" s="40"/>
      <c r="S6" s="40"/>
      <c r="T6" s="40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82"/>
    </row>
    <row r="7" ht="25" customHeight="1" spans="1:65">
      <c r="A7" s="12" t="s">
        <v>8</v>
      </c>
      <c r="B7" s="13"/>
      <c r="C7" s="14"/>
      <c r="D7" s="14"/>
      <c r="E7" s="13"/>
      <c r="F7" s="13"/>
      <c r="G7" s="13"/>
      <c r="H7" s="14" t="s">
        <v>9</v>
      </c>
      <c r="I7" s="14"/>
      <c r="J7" s="14"/>
      <c r="K7" s="13"/>
      <c r="L7" s="13"/>
      <c r="M7" s="13"/>
      <c r="N7" s="13"/>
      <c r="O7" s="13"/>
      <c r="P7" s="13"/>
      <c r="Q7" s="13"/>
      <c r="R7" s="13"/>
      <c r="S7" s="13"/>
      <c r="T7" s="40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82"/>
    </row>
    <row r="8" ht="25" customHeight="1" spans="1:65">
      <c r="A8" s="12" t="s">
        <v>10</v>
      </c>
      <c r="B8" s="13"/>
      <c r="C8" s="14"/>
      <c r="D8" s="14"/>
      <c r="E8" s="13"/>
      <c r="F8" s="13"/>
      <c r="G8" s="13"/>
      <c r="H8" s="14" t="s">
        <v>11</v>
      </c>
      <c r="I8" s="14"/>
      <c r="J8" s="14"/>
      <c r="K8" s="13"/>
      <c r="L8" s="13"/>
      <c r="M8" s="13"/>
      <c r="N8" s="13"/>
      <c r="O8" s="13"/>
      <c r="P8" s="37"/>
      <c r="Q8" s="40"/>
      <c r="R8" s="40"/>
      <c r="S8" s="40"/>
      <c r="T8" s="40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82"/>
    </row>
    <row r="9" ht="25" customHeight="1" spans="1:65">
      <c r="A9" s="15" t="s">
        <v>12</v>
      </c>
      <c r="B9" s="14"/>
      <c r="C9" s="16"/>
      <c r="D9" s="14"/>
      <c r="E9" s="13"/>
      <c r="F9" s="16"/>
      <c r="G9" s="16"/>
      <c r="H9" s="14" t="s">
        <v>13</v>
      </c>
      <c r="I9" s="13"/>
      <c r="J9" s="14"/>
      <c r="K9" s="14"/>
      <c r="L9" s="13"/>
      <c r="M9" s="13"/>
      <c r="N9" s="13"/>
      <c r="O9" s="13"/>
      <c r="P9" s="37"/>
      <c r="Q9" s="40"/>
      <c r="R9" s="40"/>
      <c r="S9" s="40"/>
      <c r="T9" s="40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82"/>
    </row>
    <row r="10" ht="25" customHeight="1" spans="1:65">
      <c r="A10" s="17" t="s">
        <v>14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53" t="s">
        <v>15</v>
      </c>
      <c r="AO10" s="65"/>
      <c r="AP10" s="65"/>
      <c r="AQ10" s="65"/>
      <c r="AR10" s="66"/>
      <c r="AS10" s="67" t="s">
        <v>16</v>
      </c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6"/>
      <c r="BI10" s="53" t="s">
        <v>17</v>
      </c>
      <c r="BJ10" s="65"/>
      <c r="BK10" s="65"/>
      <c r="BL10" s="65"/>
      <c r="BM10" s="66"/>
    </row>
    <row r="11" ht="25" customHeight="1" spans="1:65">
      <c r="A11" s="19" t="s">
        <v>18</v>
      </c>
      <c r="B11" s="20"/>
      <c r="C11" s="20" t="s">
        <v>19</v>
      </c>
      <c r="D11" s="20"/>
      <c r="E11" s="20"/>
      <c r="F11" s="20"/>
      <c r="G11" s="20" t="s">
        <v>20</v>
      </c>
      <c r="H11" s="20"/>
      <c r="I11" s="20"/>
      <c r="J11" s="20"/>
      <c r="K11" s="20" t="s">
        <v>21</v>
      </c>
      <c r="L11" s="20"/>
      <c r="M11" s="20"/>
      <c r="N11" s="20"/>
      <c r="O11" s="20" t="s">
        <v>22</v>
      </c>
      <c r="P11" s="20"/>
      <c r="Q11" s="20" t="s">
        <v>23</v>
      </c>
      <c r="R11" s="20"/>
      <c r="S11" s="20" t="s">
        <v>24</v>
      </c>
      <c r="T11" s="20"/>
      <c r="U11" s="20"/>
      <c r="V11" s="20" t="s">
        <v>25</v>
      </c>
      <c r="W11" s="20"/>
      <c r="X11" s="28" t="s">
        <v>26</v>
      </c>
      <c r="Y11" s="20"/>
      <c r="Z11" s="20"/>
      <c r="AA11" s="28" t="s">
        <v>27</v>
      </c>
      <c r="AB11" s="20"/>
      <c r="AC11" s="20"/>
      <c r="AD11" s="28" t="s">
        <v>28</v>
      </c>
      <c r="AE11" s="20"/>
      <c r="AF11" s="20"/>
      <c r="AG11" s="20" t="s">
        <v>29</v>
      </c>
      <c r="AH11" s="20"/>
      <c r="AI11" s="42" t="s">
        <v>30</v>
      </c>
      <c r="AJ11" s="42"/>
      <c r="AK11" s="42"/>
      <c r="AL11" s="20" t="s">
        <v>31</v>
      </c>
      <c r="AM11" s="20"/>
      <c r="AN11" s="19" t="s">
        <v>26</v>
      </c>
      <c r="AO11" s="20"/>
      <c r="AP11" s="20"/>
      <c r="AQ11" s="20" t="s">
        <v>31</v>
      </c>
      <c r="AR11" s="68"/>
      <c r="AS11" s="28" t="s">
        <v>32</v>
      </c>
      <c r="AT11" s="20"/>
      <c r="AU11" s="20"/>
      <c r="AV11" s="28" t="s">
        <v>33</v>
      </c>
      <c r="AW11" s="20"/>
      <c r="AX11" s="20"/>
      <c r="AY11" s="28" t="s">
        <v>34</v>
      </c>
      <c r="AZ11" s="20"/>
      <c r="BA11" s="20"/>
      <c r="BB11" s="20" t="s">
        <v>29</v>
      </c>
      <c r="BC11" s="20"/>
      <c r="BD11" s="20" t="s">
        <v>35</v>
      </c>
      <c r="BE11" s="20"/>
      <c r="BF11" s="20"/>
      <c r="BG11" s="20" t="s">
        <v>31</v>
      </c>
      <c r="BH11" s="68"/>
      <c r="BI11" s="19" t="s">
        <v>26</v>
      </c>
      <c r="BJ11" s="20"/>
      <c r="BK11" s="20"/>
      <c r="BL11" s="20" t="s">
        <v>31</v>
      </c>
      <c r="BM11" s="68"/>
    </row>
    <row r="12" ht="25" customHeight="1" spans="1:65">
      <c r="A12" s="21">
        <v>1</v>
      </c>
      <c r="B12" s="22"/>
      <c r="C12" s="89" t="s">
        <v>36</v>
      </c>
      <c r="D12" s="22"/>
      <c r="E12" s="22"/>
      <c r="F12" s="22"/>
      <c r="G12" s="22" t="s">
        <v>37</v>
      </c>
      <c r="H12" s="22"/>
      <c r="I12" s="22"/>
      <c r="J12" s="22"/>
      <c r="K12" s="22" t="s">
        <v>37</v>
      </c>
      <c r="L12" s="22"/>
      <c r="M12" s="22"/>
      <c r="N12" s="22"/>
      <c r="O12" s="22">
        <v>20</v>
      </c>
      <c r="P12" s="22"/>
      <c r="Q12" s="22">
        <v>1</v>
      </c>
      <c r="R12" s="22"/>
      <c r="S12" s="22" t="s">
        <v>38</v>
      </c>
      <c r="T12" s="22"/>
      <c r="U12" s="22"/>
      <c r="V12" s="22" t="s">
        <v>39</v>
      </c>
      <c r="W12" s="22"/>
      <c r="X12" s="41">
        <v>200000</v>
      </c>
      <c r="Y12" s="22"/>
      <c r="Z12" s="22"/>
      <c r="AA12" s="29"/>
      <c r="AB12" s="22"/>
      <c r="AC12" s="22"/>
      <c r="AD12" s="29"/>
      <c r="AE12" s="22"/>
      <c r="AF12" s="22"/>
      <c r="AG12" s="22"/>
      <c r="AH12" s="22"/>
      <c r="AI12" s="54">
        <v>20000</v>
      </c>
      <c r="AJ12" s="54"/>
      <c r="AK12" s="54"/>
      <c r="AL12" s="55">
        <v>0.06</v>
      </c>
      <c r="AM12" s="55"/>
      <c r="AN12" s="56">
        <v>20000</v>
      </c>
      <c r="AO12" s="22"/>
      <c r="AP12" s="22"/>
      <c r="AQ12" s="55">
        <v>0.06</v>
      </c>
      <c r="AR12" s="69"/>
      <c r="AS12" s="41">
        <v>200000</v>
      </c>
      <c r="AT12" s="22"/>
      <c r="AU12" s="22"/>
      <c r="AV12" s="29"/>
      <c r="AW12" s="22"/>
      <c r="AX12" s="22"/>
      <c r="AY12" s="29"/>
      <c r="AZ12" s="22"/>
      <c r="BA12" s="22"/>
      <c r="BB12" s="22"/>
      <c r="BC12" s="22"/>
      <c r="BD12" s="41">
        <v>20000</v>
      </c>
      <c r="BE12" s="22"/>
      <c r="BF12" s="22"/>
      <c r="BG12" s="55">
        <v>0.06</v>
      </c>
      <c r="BH12" s="55"/>
      <c r="BI12" s="56">
        <v>20000</v>
      </c>
      <c r="BJ12" s="22"/>
      <c r="BK12" s="22"/>
      <c r="BL12" s="55">
        <v>0.06</v>
      </c>
      <c r="BM12" s="69"/>
    </row>
    <row r="13" ht="25" customHeight="1" spans="1:65">
      <c r="A13" s="21">
        <v>2</v>
      </c>
      <c r="B13" s="22"/>
      <c r="C13" s="89" t="s">
        <v>36</v>
      </c>
      <c r="D13" s="22"/>
      <c r="E13" s="22"/>
      <c r="F13" s="22"/>
      <c r="G13" s="22" t="s">
        <v>37</v>
      </c>
      <c r="H13" s="22"/>
      <c r="I13" s="22"/>
      <c r="J13" s="22"/>
      <c r="K13" s="29" t="s">
        <v>37</v>
      </c>
      <c r="L13" s="22"/>
      <c r="M13" s="22"/>
      <c r="N13" s="22"/>
      <c r="O13" s="22">
        <v>21</v>
      </c>
      <c r="P13" s="22"/>
      <c r="Q13" s="22">
        <v>2</v>
      </c>
      <c r="R13" s="22"/>
      <c r="S13" s="22" t="s">
        <v>38</v>
      </c>
      <c r="T13" s="22"/>
      <c r="U13" s="22"/>
      <c r="V13" s="22" t="s">
        <v>39</v>
      </c>
      <c r="W13" s="22"/>
      <c r="X13" s="29"/>
      <c r="Y13" s="22"/>
      <c r="Z13" s="22"/>
      <c r="AA13" s="41">
        <v>20000</v>
      </c>
      <c r="AB13" s="22"/>
      <c r="AC13" s="22"/>
      <c r="AD13" s="29"/>
      <c r="AE13" s="22"/>
      <c r="AF13" s="22"/>
      <c r="AG13" s="22">
        <v>6.45</v>
      </c>
      <c r="AH13" s="22"/>
      <c r="AI13" s="46">
        <v>129000</v>
      </c>
      <c r="AJ13" s="46"/>
      <c r="AK13" s="46"/>
      <c r="AL13" s="55">
        <v>0.4</v>
      </c>
      <c r="AM13" s="55"/>
      <c r="AN13" s="57">
        <v>129000</v>
      </c>
      <c r="AO13" s="45"/>
      <c r="AP13" s="45"/>
      <c r="AQ13" s="55">
        <v>0.4</v>
      </c>
      <c r="AR13" s="69"/>
      <c r="AS13" s="29"/>
      <c r="AT13" s="22"/>
      <c r="AU13" s="22"/>
      <c r="AV13" s="41">
        <v>20000</v>
      </c>
      <c r="AW13" s="22"/>
      <c r="AX13" s="22"/>
      <c r="AY13" s="29"/>
      <c r="AZ13" s="22"/>
      <c r="BA13" s="22"/>
      <c r="BB13" s="22">
        <v>6.45</v>
      </c>
      <c r="BC13" s="22"/>
      <c r="BD13" s="45">
        <v>129000</v>
      </c>
      <c r="BE13" s="45"/>
      <c r="BF13" s="45"/>
      <c r="BG13" s="55">
        <v>0.4</v>
      </c>
      <c r="BH13" s="55"/>
      <c r="BI13" s="57">
        <v>129000</v>
      </c>
      <c r="BJ13" s="45"/>
      <c r="BK13" s="45"/>
      <c r="BL13" s="55">
        <v>0.4</v>
      </c>
      <c r="BM13" s="69"/>
    </row>
    <row r="14" ht="25" customHeight="1" spans="1:65">
      <c r="A14" s="21">
        <v>3</v>
      </c>
      <c r="B14" s="22"/>
      <c r="C14" s="89" t="s">
        <v>36</v>
      </c>
      <c r="D14" s="22"/>
      <c r="E14" s="22"/>
      <c r="F14" s="22"/>
      <c r="G14" s="22" t="s">
        <v>37</v>
      </c>
      <c r="H14" s="22"/>
      <c r="I14" s="22"/>
      <c r="J14" s="22"/>
      <c r="K14" s="22" t="s">
        <v>37</v>
      </c>
      <c r="L14" s="22"/>
      <c r="M14" s="22"/>
      <c r="N14" s="22"/>
      <c r="O14" s="22">
        <v>22</v>
      </c>
      <c r="P14" s="22"/>
      <c r="Q14" s="22">
        <v>3</v>
      </c>
      <c r="R14" s="22"/>
      <c r="S14" s="22" t="s">
        <v>38</v>
      </c>
      <c r="T14" s="22"/>
      <c r="U14" s="22"/>
      <c r="V14" s="22" t="s">
        <v>39</v>
      </c>
      <c r="W14" s="22"/>
      <c r="X14" s="29"/>
      <c r="Y14" s="22"/>
      <c r="Z14" s="22"/>
      <c r="AA14" s="41">
        <v>20000.01</v>
      </c>
      <c r="AB14" s="22"/>
      <c r="AC14" s="22"/>
      <c r="AD14" s="29"/>
      <c r="AE14" s="22"/>
      <c r="AF14" s="22"/>
      <c r="AG14" s="22">
        <v>6.45</v>
      </c>
      <c r="AH14" s="22"/>
      <c r="AI14" s="46">
        <v>129001</v>
      </c>
      <c r="AJ14" s="46"/>
      <c r="AK14" s="46"/>
      <c r="AL14" s="55">
        <v>0.1</v>
      </c>
      <c r="AM14" s="55"/>
      <c r="AN14" s="57">
        <v>129001</v>
      </c>
      <c r="AO14" s="45"/>
      <c r="AP14" s="45"/>
      <c r="AQ14" s="55">
        <v>0.1</v>
      </c>
      <c r="AR14" s="69"/>
      <c r="AS14" s="29"/>
      <c r="AT14" s="22"/>
      <c r="AU14" s="22"/>
      <c r="AV14" s="41">
        <v>20000.01</v>
      </c>
      <c r="AW14" s="22"/>
      <c r="AX14" s="22"/>
      <c r="AY14" s="29"/>
      <c r="AZ14" s="22"/>
      <c r="BA14" s="22"/>
      <c r="BB14" s="22">
        <v>6.45</v>
      </c>
      <c r="BC14" s="22"/>
      <c r="BD14" s="45">
        <v>129001</v>
      </c>
      <c r="BE14" s="45"/>
      <c r="BF14" s="45"/>
      <c r="BG14" s="55">
        <v>0.1</v>
      </c>
      <c r="BH14" s="55"/>
      <c r="BI14" s="57">
        <v>129001</v>
      </c>
      <c r="BJ14" s="45"/>
      <c r="BK14" s="45"/>
      <c r="BL14" s="55">
        <v>0.1</v>
      </c>
      <c r="BM14" s="69"/>
    </row>
    <row r="15" ht="25" customHeight="1" spans="1:65">
      <c r="A15" s="21">
        <v>4</v>
      </c>
      <c r="B15" s="22"/>
      <c r="C15" s="89" t="s">
        <v>36</v>
      </c>
      <c r="D15" s="22"/>
      <c r="E15" s="22"/>
      <c r="F15" s="22"/>
      <c r="G15" s="22" t="s">
        <v>37</v>
      </c>
      <c r="H15" s="22"/>
      <c r="I15" s="22"/>
      <c r="J15" s="22"/>
      <c r="K15" s="22" t="s">
        <v>37</v>
      </c>
      <c r="L15" s="22"/>
      <c r="M15" s="22"/>
      <c r="N15" s="22"/>
      <c r="O15" s="22">
        <v>23</v>
      </c>
      <c r="P15" s="22"/>
      <c r="Q15" s="22">
        <v>4</v>
      </c>
      <c r="R15" s="22"/>
      <c r="S15" s="22" t="s">
        <v>38</v>
      </c>
      <c r="T15" s="22"/>
      <c r="U15" s="22"/>
      <c r="V15" s="22" t="s">
        <v>39</v>
      </c>
      <c r="W15" s="22"/>
      <c r="X15" s="29"/>
      <c r="Y15" s="22"/>
      <c r="Z15" s="22"/>
      <c r="AA15" s="41">
        <v>20000.02</v>
      </c>
      <c r="AB15" s="22"/>
      <c r="AC15" s="22"/>
      <c r="AD15" s="29"/>
      <c r="AE15" s="22"/>
      <c r="AF15" s="22"/>
      <c r="AG15" s="22">
        <v>6.45</v>
      </c>
      <c r="AH15" s="22"/>
      <c r="AI15" s="46">
        <v>129002</v>
      </c>
      <c r="AJ15" s="46"/>
      <c r="AK15" s="46"/>
      <c r="AL15" s="55">
        <v>0.1</v>
      </c>
      <c r="AM15" s="55"/>
      <c r="AN15" s="57">
        <v>129002</v>
      </c>
      <c r="AO15" s="45"/>
      <c r="AP15" s="45"/>
      <c r="AQ15" s="55">
        <v>0.1</v>
      </c>
      <c r="AR15" s="69"/>
      <c r="AS15" s="29"/>
      <c r="AT15" s="22"/>
      <c r="AU15" s="22"/>
      <c r="AV15" s="41">
        <v>20000.02</v>
      </c>
      <c r="AW15" s="22"/>
      <c r="AX15" s="22"/>
      <c r="AY15" s="29"/>
      <c r="AZ15" s="22"/>
      <c r="BA15" s="22"/>
      <c r="BB15" s="22">
        <v>6.45</v>
      </c>
      <c r="BC15" s="22"/>
      <c r="BD15" s="45">
        <v>129002</v>
      </c>
      <c r="BE15" s="45"/>
      <c r="BF15" s="45"/>
      <c r="BG15" s="55">
        <v>0.1</v>
      </c>
      <c r="BH15" s="55"/>
      <c r="BI15" s="57">
        <v>129002</v>
      </c>
      <c r="BJ15" s="45"/>
      <c r="BK15" s="45"/>
      <c r="BL15" s="55">
        <v>0.1</v>
      </c>
      <c r="BM15" s="69"/>
    </row>
    <row r="16" ht="25" customHeight="1" spans="1:65">
      <c r="A16" s="21">
        <v>5</v>
      </c>
      <c r="B16" s="22"/>
      <c r="C16" s="89" t="s">
        <v>36</v>
      </c>
      <c r="D16" s="22"/>
      <c r="E16" s="22"/>
      <c r="F16" s="22"/>
      <c r="G16" s="22" t="s">
        <v>37</v>
      </c>
      <c r="H16" s="22"/>
      <c r="I16" s="22"/>
      <c r="J16" s="22"/>
      <c r="K16" s="22" t="s">
        <v>37</v>
      </c>
      <c r="L16" s="22"/>
      <c r="M16" s="22"/>
      <c r="N16" s="22"/>
      <c r="O16" s="22">
        <v>24</v>
      </c>
      <c r="P16" s="22"/>
      <c r="Q16" s="22">
        <v>5</v>
      </c>
      <c r="R16" s="22"/>
      <c r="S16" s="22" t="s">
        <v>38</v>
      </c>
      <c r="T16" s="22"/>
      <c r="U16" s="22"/>
      <c r="V16" s="22" t="s">
        <v>39</v>
      </c>
      <c r="W16" s="22"/>
      <c r="X16" s="29"/>
      <c r="Y16" s="22"/>
      <c r="Z16" s="22"/>
      <c r="AA16" s="41">
        <v>20000.03</v>
      </c>
      <c r="AB16" s="22"/>
      <c r="AC16" s="22"/>
      <c r="AD16" s="29"/>
      <c r="AE16" s="22"/>
      <c r="AF16" s="22"/>
      <c r="AG16" s="22">
        <v>6.45</v>
      </c>
      <c r="AH16" s="22"/>
      <c r="AI16" s="46">
        <v>129003</v>
      </c>
      <c r="AJ16" s="46"/>
      <c r="AK16" s="46"/>
      <c r="AL16" s="55">
        <v>0.1</v>
      </c>
      <c r="AM16" s="55"/>
      <c r="AN16" s="57">
        <v>129003</v>
      </c>
      <c r="AO16" s="45"/>
      <c r="AP16" s="45"/>
      <c r="AQ16" s="55">
        <v>0.1</v>
      </c>
      <c r="AR16" s="69"/>
      <c r="AS16" s="29"/>
      <c r="AT16" s="22"/>
      <c r="AU16" s="22"/>
      <c r="AV16" s="41">
        <v>20000.03</v>
      </c>
      <c r="AW16" s="22"/>
      <c r="AX16" s="22"/>
      <c r="AY16" s="29"/>
      <c r="AZ16" s="22"/>
      <c r="BA16" s="22"/>
      <c r="BB16" s="22">
        <v>6.45</v>
      </c>
      <c r="BC16" s="22"/>
      <c r="BD16" s="45">
        <v>129003</v>
      </c>
      <c r="BE16" s="45"/>
      <c r="BF16" s="45"/>
      <c r="BG16" s="55">
        <v>0.1</v>
      </c>
      <c r="BH16" s="55"/>
      <c r="BI16" s="57">
        <v>129003</v>
      </c>
      <c r="BJ16" s="45"/>
      <c r="BK16" s="45"/>
      <c r="BL16" s="55">
        <v>0.1</v>
      </c>
      <c r="BM16" s="69"/>
    </row>
    <row r="17" ht="25" customHeight="1" spans="1:65">
      <c r="A17" s="21">
        <v>6</v>
      </c>
      <c r="B17" s="22"/>
      <c r="C17" s="89" t="s">
        <v>36</v>
      </c>
      <c r="D17" s="22"/>
      <c r="E17" s="22"/>
      <c r="F17" s="22"/>
      <c r="G17" s="22" t="s">
        <v>37</v>
      </c>
      <c r="H17" s="22"/>
      <c r="I17" s="22"/>
      <c r="J17" s="22"/>
      <c r="K17" s="22" t="s">
        <v>37</v>
      </c>
      <c r="L17" s="22"/>
      <c r="M17" s="22"/>
      <c r="N17" s="22"/>
      <c r="O17" s="22">
        <v>25</v>
      </c>
      <c r="P17" s="22"/>
      <c r="Q17" s="22">
        <v>6</v>
      </c>
      <c r="R17" s="22"/>
      <c r="S17" s="22" t="s">
        <v>38</v>
      </c>
      <c r="T17" s="22"/>
      <c r="U17" s="22"/>
      <c r="V17" s="22" t="s">
        <v>39</v>
      </c>
      <c r="W17" s="22"/>
      <c r="X17" s="29"/>
      <c r="Y17" s="22"/>
      <c r="Z17" s="22"/>
      <c r="AA17" s="41">
        <v>20000.04</v>
      </c>
      <c r="AB17" s="22"/>
      <c r="AC17" s="22"/>
      <c r="AD17" s="29"/>
      <c r="AE17" s="22"/>
      <c r="AF17" s="22"/>
      <c r="AG17" s="22">
        <v>6.45</v>
      </c>
      <c r="AH17" s="22"/>
      <c r="AI17" s="46">
        <v>129004</v>
      </c>
      <c r="AJ17" s="46"/>
      <c r="AK17" s="46"/>
      <c r="AL17" s="55">
        <v>0.04</v>
      </c>
      <c r="AM17" s="55"/>
      <c r="AN17" s="57">
        <v>129004</v>
      </c>
      <c r="AO17" s="45"/>
      <c r="AP17" s="45"/>
      <c r="AQ17" s="55">
        <v>0.04</v>
      </c>
      <c r="AR17" s="69"/>
      <c r="AS17" s="29"/>
      <c r="AT17" s="22"/>
      <c r="AU17" s="22"/>
      <c r="AV17" s="41">
        <v>20000.04</v>
      </c>
      <c r="AW17" s="22"/>
      <c r="AX17" s="22"/>
      <c r="AY17" s="29"/>
      <c r="AZ17" s="22"/>
      <c r="BA17" s="22"/>
      <c r="BB17" s="22">
        <v>6.45</v>
      </c>
      <c r="BC17" s="22"/>
      <c r="BD17" s="45">
        <v>129004</v>
      </c>
      <c r="BE17" s="45"/>
      <c r="BF17" s="45"/>
      <c r="BG17" s="55">
        <v>0.04</v>
      </c>
      <c r="BH17" s="55"/>
      <c r="BI17" s="57">
        <v>129004</v>
      </c>
      <c r="BJ17" s="45"/>
      <c r="BK17" s="45"/>
      <c r="BL17" s="55">
        <v>0.04</v>
      </c>
      <c r="BM17" s="69"/>
    </row>
    <row r="18" ht="25" customHeight="1" spans="1:65">
      <c r="A18" s="21">
        <v>7</v>
      </c>
      <c r="B18" s="22"/>
      <c r="C18" s="89" t="s">
        <v>36</v>
      </c>
      <c r="D18" s="22"/>
      <c r="E18" s="22"/>
      <c r="F18" s="22"/>
      <c r="G18" s="22" t="s">
        <v>37</v>
      </c>
      <c r="H18" s="22"/>
      <c r="I18" s="22"/>
      <c r="J18" s="22"/>
      <c r="K18" s="22" t="s">
        <v>37</v>
      </c>
      <c r="L18" s="22"/>
      <c r="M18" s="22"/>
      <c r="N18" s="22"/>
      <c r="O18" s="22">
        <v>26</v>
      </c>
      <c r="P18" s="22"/>
      <c r="Q18" s="22">
        <v>7</v>
      </c>
      <c r="R18" s="22"/>
      <c r="S18" s="22" t="s">
        <v>38</v>
      </c>
      <c r="T18" s="22"/>
      <c r="U18" s="22"/>
      <c r="V18" s="22" t="s">
        <v>39</v>
      </c>
      <c r="W18" s="22"/>
      <c r="X18" s="29"/>
      <c r="Y18" s="22"/>
      <c r="Z18" s="22"/>
      <c r="AA18" s="41">
        <v>20000.05</v>
      </c>
      <c r="AB18" s="22"/>
      <c r="AC18" s="22"/>
      <c r="AD18" s="29"/>
      <c r="AE18" s="22"/>
      <c r="AF18" s="22"/>
      <c r="AG18" s="22">
        <v>6.45</v>
      </c>
      <c r="AH18" s="22"/>
      <c r="AI18" s="46">
        <v>129005</v>
      </c>
      <c r="AJ18" s="46"/>
      <c r="AK18" s="46"/>
      <c r="AL18" s="55">
        <v>0.1</v>
      </c>
      <c r="AM18" s="55"/>
      <c r="AN18" s="57">
        <v>129005</v>
      </c>
      <c r="AO18" s="45"/>
      <c r="AP18" s="45"/>
      <c r="AQ18" s="55">
        <v>0.1</v>
      </c>
      <c r="AR18" s="69"/>
      <c r="AS18" s="29"/>
      <c r="AT18" s="22"/>
      <c r="AU18" s="22"/>
      <c r="AV18" s="41">
        <v>20000.05</v>
      </c>
      <c r="AW18" s="22"/>
      <c r="AX18" s="22"/>
      <c r="AY18" s="29"/>
      <c r="AZ18" s="22"/>
      <c r="BA18" s="22"/>
      <c r="BB18" s="22">
        <v>6.45</v>
      </c>
      <c r="BC18" s="22"/>
      <c r="BD18" s="45">
        <v>129005</v>
      </c>
      <c r="BE18" s="45"/>
      <c r="BF18" s="45"/>
      <c r="BG18" s="55">
        <v>0.1</v>
      </c>
      <c r="BH18" s="55"/>
      <c r="BI18" s="57">
        <v>129005</v>
      </c>
      <c r="BJ18" s="45"/>
      <c r="BK18" s="45"/>
      <c r="BL18" s="55">
        <v>0.1</v>
      </c>
      <c r="BM18" s="69"/>
    </row>
    <row r="19" ht="25" customHeight="1" spans="1:65">
      <c r="A19" s="21">
        <v>8</v>
      </c>
      <c r="B19" s="22"/>
      <c r="C19" s="89" t="s">
        <v>36</v>
      </c>
      <c r="D19" s="22"/>
      <c r="E19" s="22"/>
      <c r="F19" s="22"/>
      <c r="G19" s="22" t="s">
        <v>37</v>
      </c>
      <c r="H19" s="22"/>
      <c r="I19" s="22"/>
      <c r="J19" s="22"/>
      <c r="K19" s="22" t="s">
        <v>37</v>
      </c>
      <c r="L19" s="22"/>
      <c r="M19" s="22"/>
      <c r="N19" s="22"/>
      <c r="O19" s="22">
        <v>27</v>
      </c>
      <c r="P19" s="22"/>
      <c r="Q19" s="22">
        <v>8</v>
      </c>
      <c r="R19" s="22"/>
      <c r="S19" s="22" t="s">
        <v>38</v>
      </c>
      <c r="T19" s="22"/>
      <c r="U19" s="22"/>
      <c r="V19" s="22" t="s">
        <v>39</v>
      </c>
      <c r="W19" s="22"/>
      <c r="X19" s="29"/>
      <c r="Y19" s="22"/>
      <c r="Z19" s="22"/>
      <c r="AA19" s="29"/>
      <c r="AB19" s="22"/>
      <c r="AC19" s="22"/>
      <c r="AD19" s="41">
        <v>15000000</v>
      </c>
      <c r="AE19" s="22"/>
      <c r="AF19" s="22"/>
      <c r="AG19" s="22">
        <v>75</v>
      </c>
      <c r="AH19" s="22"/>
      <c r="AI19" s="46">
        <v>129006</v>
      </c>
      <c r="AJ19" s="46"/>
      <c r="AK19" s="46"/>
      <c r="AL19" s="55">
        <v>0.1</v>
      </c>
      <c r="AM19" s="55"/>
      <c r="AN19" s="57">
        <v>129006</v>
      </c>
      <c r="AO19" s="45"/>
      <c r="AP19" s="45"/>
      <c r="AQ19" s="55">
        <v>0.1</v>
      </c>
      <c r="AR19" s="69"/>
      <c r="AS19" s="29"/>
      <c r="AT19" s="22"/>
      <c r="AU19" s="22"/>
      <c r="AV19" s="29"/>
      <c r="AW19" s="22"/>
      <c r="AX19" s="22"/>
      <c r="AY19" s="41">
        <v>2000000</v>
      </c>
      <c r="AZ19" s="22"/>
      <c r="BA19" s="22"/>
      <c r="BB19" s="22">
        <v>75</v>
      </c>
      <c r="BC19" s="22"/>
      <c r="BD19" s="45">
        <v>129006</v>
      </c>
      <c r="BE19" s="45"/>
      <c r="BF19" s="45"/>
      <c r="BG19" s="55">
        <v>0.1</v>
      </c>
      <c r="BH19" s="55"/>
      <c r="BI19" s="57">
        <v>129006</v>
      </c>
      <c r="BJ19" s="45"/>
      <c r="BK19" s="45"/>
      <c r="BL19" s="55">
        <v>0.1</v>
      </c>
      <c r="BM19" s="69"/>
    </row>
    <row r="20" ht="25" customHeight="1" spans="1:6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42">
        <f>SUM(Q12:Q19)</f>
        <v>36</v>
      </c>
      <c r="R20" s="42"/>
      <c r="S20" s="20"/>
      <c r="T20" s="20"/>
      <c r="U20" s="20"/>
      <c r="V20" s="20"/>
      <c r="W20" s="20"/>
      <c r="X20" s="43">
        <f>SUM(X12:X19)</f>
        <v>200000</v>
      </c>
      <c r="Y20" s="43"/>
      <c r="Z20" s="43"/>
      <c r="AA20" s="43">
        <f>SUM(AA13:AA19)</f>
        <v>120000.15</v>
      </c>
      <c r="AB20" s="43"/>
      <c r="AC20" s="43"/>
      <c r="AD20" s="47">
        <v>20000000</v>
      </c>
      <c r="AE20" s="20"/>
      <c r="AF20" s="20"/>
      <c r="AG20" s="20"/>
      <c r="AH20" s="20"/>
      <c r="AI20" s="43">
        <f>SUM(AI12:AI19)</f>
        <v>923021</v>
      </c>
      <c r="AJ20" s="43"/>
      <c r="AK20" s="43"/>
      <c r="AL20" s="58">
        <f>SUM(AL12:AL19)</f>
        <v>1</v>
      </c>
      <c r="AM20" s="58"/>
      <c r="AN20" s="59">
        <f>SUM(AN12:AN19)</f>
        <v>923021</v>
      </c>
      <c r="AO20" s="64"/>
      <c r="AP20" s="64"/>
      <c r="AQ20" s="58">
        <f>SUM(AQ12:AQ19)</f>
        <v>1</v>
      </c>
      <c r="AR20" s="70"/>
      <c r="AS20" s="43">
        <f>SUM(AS12:AS19)</f>
        <v>200000</v>
      </c>
      <c r="AT20" s="43"/>
      <c r="AU20" s="43"/>
      <c r="AV20" s="43">
        <f>SUM(AV13:AV19)</f>
        <v>120000.15</v>
      </c>
      <c r="AW20" s="43"/>
      <c r="AX20" s="43"/>
      <c r="AY20" s="47">
        <v>2000000</v>
      </c>
      <c r="AZ20" s="20"/>
      <c r="BA20" s="20"/>
      <c r="BB20" s="20"/>
      <c r="BC20" s="20"/>
      <c r="BD20" s="64">
        <f t="shared" ref="BD20:BI20" si="0">SUM(BD12:BD19)</f>
        <v>923021</v>
      </c>
      <c r="BE20" s="64"/>
      <c r="BF20" s="64"/>
      <c r="BG20" s="58">
        <f t="shared" si="0"/>
        <v>1</v>
      </c>
      <c r="BH20" s="58"/>
      <c r="BI20" s="59">
        <f t="shared" si="0"/>
        <v>923021</v>
      </c>
      <c r="BJ20" s="64"/>
      <c r="BK20" s="64"/>
      <c r="BL20" s="58">
        <f>SUM(BL12:BL19)</f>
        <v>1</v>
      </c>
      <c r="BM20" s="70"/>
    </row>
    <row r="21" ht="25" customHeight="1" spans="1:65">
      <c r="A21" s="23" t="s">
        <v>40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83"/>
    </row>
    <row r="22" ht="25" customHeight="1" spans="1:65">
      <c r="A22" s="25" t="s">
        <v>15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84"/>
    </row>
    <row r="23" ht="25" customHeight="1" spans="1:65">
      <c r="A23" s="27" t="s">
        <v>41</v>
      </c>
      <c r="B23" s="20"/>
      <c r="C23" s="28" t="s">
        <v>42</v>
      </c>
      <c r="D23" s="20"/>
      <c r="E23" s="20"/>
      <c r="F23" s="20"/>
      <c r="G23" s="20"/>
      <c r="H23" s="20"/>
      <c r="I23" s="20"/>
      <c r="J23" s="20"/>
      <c r="K23" s="20"/>
      <c r="L23" s="28" t="s">
        <v>43</v>
      </c>
      <c r="M23" s="20"/>
      <c r="N23" s="20"/>
      <c r="O23" s="20"/>
      <c r="P23" s="28" t="s">
        <v>44</v>
      </c>
      <c r="Q23" s="20"/>
      <c r="R23" s="20"/>
      <c r="S23" s="28" t="s">
        <v>45</v>
      </c>
      <c r="T23" s="20"/>
      <c r="U23" s="28" t="s">
        <v>46</v>
      </c>
      <c r="V23" s="20"/>
      <c r="W23" s="44" t="s">
        <v>47</v>
      </c>
      <c r="X23" s="44"/>
      <c r="Y23" s="44"/>
      <c r="Z23" s="28" t="s">
        <v>48</v>
      </c>
      <c r="AA23" s="20"/>
      <c r="AB23" s="20"/>
      <c r="AC23" s="20"/>
      <c r="AD23" s="28" t="s">
        <v>49</v>
      </c>
      <c r="AE23" s="20"/>
      <c r="AF23" s="48" t="s">
        <v>50</v>
      </c>
      <c r="AG23" s="60"/>
      <c r="AH23" s="60"/>
      <c r="AI23" s="48" t="s">
        <v>51</v>
      </c>
      <c r="AJ23" s="60"/>
      <c r="AK23" s="60"/>
      <c r="AL23" s="61" t="s">
        <v>52</v>
      </c>
      <c r="AM23" s="61"/>
      <c r="AN23" s="61"/>
      <c r="AO23" s="61"/>
      <c r="AP23" s="61" t="s">
        <v>53</v>
      </c>
      <c r="AQ23" s="61"/>
      <c r="AR23" s="61"/>
      <c r="AS23" s="48" t="s">
        <v>54</v>
      </c>
      <c r="AT23" s="60"/>
      <c r="AU23" s="60"/>
      <c r="AV23" s="48" t="s">
        <v>55</v>
      </c>
      <c r="AW23" s="60"/>
      <c r="AX23" s="60"/>
      <c r="AY23" s="60"/>
      <c r="AZ23" s="72"/>
      <c r="BA23" s="72"/>
      <c r="BB23" s="72"/>
      <c r="BC23" s="72"/>
      <c r="BD23" s="72"/>
      <c r="BE23" s="72"/>
      <c r="BF23" s="72"/>
      <c r="BG23" s="72"/>
      <c r="BH23" s="72"/>
      <c r="BI23" s="51"/>
      <c r="BJ23" s="51"/>
      <c r="BK23" s="42"/>
      <c r="BL23" s="42"/>
      <c r="BM23" s="68"/>
    </row>
    <row r="24" ht="25" customHeight="1" spans="1:65">
      <c r="A24" s="21">
        <v>1</v>
      </c>
      <c r="B24" s="22"/>
      <c r="C24" s="29" t="s">
        <v>56</v>
      </c>
      <c r="D24" s="22"/>
      <c r="E24" s="22"/>
      <c r="F24" s="22"/>
      <c r="G24" s="22"/>
      <c r="H24" s="22"/>
      <c r="I24" s="22"/>
      <c r="J24" s="22"/>
      <c r="K24" s="22"/>
      <c r="L24" s="89" t="s">
        <v>36</v>
      </c>
      <c r="M24" s="22"/>
      <c r="N24" s="22"/>
      <c r="O24" s="22"/>
      <c r="P24" s="29" t="s">
        <v>57</v>
      </c>
      <c r="Q24" s="22"/>
      <c r="R24" s="22"/>
      <c r="S24" s="45">
        <v>22</v>
      </c>
      <c r="T24" s="45"/>
      <c r="U24" s="45">
        <v>400</v>
      </c>
      <c r="V24" s="45"/>
      <c r="W24" s="46">
        <f>S24*U24</f>
        <v>8800</v>
      </c>
      <c r="X24" s="46"/>
      <c r="Y24" s="46"/>
      <c r="Z24" s="22" t="s">
        <v>58</v>
      </c>
      <c r="AA24" s="22"/>
      <c r="AB24" s="22"/>
      <c r="AC24" s="22"/>
      <c r="AD24" s="29" t="s">
        <v>59</v>
      </c>
      <c r="AE24" s="22"/>
      <c r="AF24" s="49" t="s">
        <v>60</v>
      </c>
      <c r="AG24" s="62"/>
      <c r="AH24" s="62"/>
      <c r="AI24" s="49" t="s">
        <v>61</v>
      </c>
      <c r="AJ24" s="62"/>
      <c r="AK24" s="62"/>
      <c r="AL24" s="63">
        <v>43763.9939467593</v>
      </c>
      <c r="AM24" s="63"/>
      <c r="AN24" s="63"/>
      <c r="AO24" s="63"/>
      <c r="AP24" s="71" t="s">
        <v>62</v>
      </c>
      <c r="AQ24" s="71"/>
      <c r="AR24" s="71"/>
      <c r="AS24" s="22" t="s">
        <v>58</v>
      </c>
      <c r="AT24" s="22"/>
      <c r="AU24" s="22"/>
      <c r="AV24" s="63">
        <v>43763.9939467593</v>
      </c>
      <c r="AW24" s="73"/>
      <c r="AX24" s="73"/>
      <c r="AY24" s="73"/>
      <c r="AZ24" s="74"/>
      <c r="BA24" s="74"/>
      <c r="BB24" s="75"/>
      <c r="BC24" s="75"/>
      <c r="BD24" s="74"/>
      <c r="BE24" s="74"/>
      <c r="BF24" s="74"/>
      <c r="BG24" s="74"/>
      <c r="BH24" s="74"/>
      <c r="BI24" s="74"/>
      <c r="BJ24" s="74"/>
      <c r="BK24" s="74"/>
      <c r="BL24" s="74"/>
      <c r="BM24" s="85"/>
    </row>
    <row r="25" ht="25" customHeight="1" spans="1:65">
      <c r="A25" s="21">
        <v>2</v>
      </c>
      <c r="B25" s="22"/>
      <c r="C25" s="29" t="s">
        <v>56</v>
      </c>
      <c r="D25" s="22"/>
      <c r="E25" s="22"/>
      <c r="F25" s="22"/>
      <c r="G25" s="22"/>
      <c r="H25" s="22"/>
      <c r="I25" s="22"/>
      <c r="J25" s="22"/>
      <c r="K25" s="22"/>
      <c r="L25" s="89" t="s">
        <v>36</v>
      </c>
      <c r="M25" s="22"/>
      <c r="N25" s="22"/>
      <c r="O25" s="22"/>
      <c r="P25" s="29" t="s">
        <v>57</v>
      </c>
      <c r="Q25" s="22"/>
      <c r="R25" s="22"/>
      <c r="S25" s="45">
        <v>56</v>
      </c>
      <c r="T25" s="45"/>
      <c r="U25" s="45">
        <v>401</v>
      </c>
      <c r="V25" s="45"/>
      <c r="W25" s="46">
        <f>S25*U25</f>
        <v>22456</v>
      </c>
      <c r="X25" s="46"/>
      <c r="Y25" s="46"/>
      <c r="Z25" s="22" t="s">
        <v>58</v>
      </c>
      <c r="AA25" s="22"/>
      <c r="AB25" s="22"/>
      <c r="AC25" s="22"/>
      <c r="AD25" s="29" t="s">
        <v>63</v>
      </c>
      <c r="AE25" s="22"/>
      <c r="AF25" s="49" t="s">
        <v>60</v>
      </c>
      <c r="AG25" s="62"/>
      <c r="AH25" s="62"/>
      <c r="AI25" s="49" t="s">
        <v>61</v>
      </c>
      <c r="AJ25" s="62"/>
      <c r="AK25" s="62"/>
      <c r="AL25" s="63">
        <v>43764.9939467593</v>
      </c>
      <c r="AM25" s="63"/>
      <c r="AN25" s="63"/>
      <c r="AO25" s="63"/>
      <c r="AP25" s="71" t="s">
        <v>62</v>
      </c>
      <c r="AQ25" s="71"/>
      <c r="AR25" s="71"/>
      <c r="AS25" s="22" t="s">
        <v>58</v>
      </c>
      <c r="AT25" s="22"/>
      <c r="AU25" s="22"/>
      <c r="AV25" s="63">
        <v>43764.9939467593</v>
      </c>
      <c r="AW25" s="73"/>
      <c r="AX25" s="73"/>
      <c r="AY25" s="73"/>
      <c r="AZ25" s="74"/>
      <c r="BA25" s="74"/>
      <c r="BB25" s="75"/>
      <c r="BC25" s="75"/>
      <c r="BD25" s="74"/>
      <c r="BE25" s="74"/>
      <c r="BF25" s="74"/>
      <c r="BG25" s="74"/>
      <c r="BH25" s="74"/>
      <c r="BI25" s="74"/>
      <c r="BJ25" s="74"/>
      <c r="BK25" s="74"/>
      <c r="BL25" s="74"/>
      <c r="BM25" s="85"/>
    </row>
    <row r="26" ht="25" customHeight="1" spans="1:65">
      <c r="A26" s="21">
        <v>3</v>
      </c>
      <c r="B26" s="22"/>
      <c r="C26" s="29" t="s">
        <v>56</v>
      </c>
      <c r="D26" s="22"/>
      <c r="E26" s="22"/>
      <c r="F26" s="22"/>
      <c r="G26" s="22"/>
      <c r="H26" s="22"/>
      <c r="I26" s="22"/>
      <c r="J26" s="22"/>
      <c r="K26" s="22"/>
      <c r="L26" s="89" t="s">
        <v>36</v>
      </c>
      <c r="M26" s="22"/>
      <c r="N26" s="22"/>
      <c r="O26" s="22"/>
      <c r="P26" s="29" t="s">
        <v>57</v>
      </c>
      <c r="Q26" s="22"/>
      <c r="R26" s="22"/>
      <c r="S26" s="45">
        <v>57</v>
      </c>
      <c r="T26" s="45"/>
      <c r="U26" s="45">
        <v>402</v>
      </c>
      <c r="V26" s="45"/>
      <c r="W26" s="46">
        <f t="shared" ref="W26:W34" si="1">S26*U26</f>
        <v>22914</v>
      </c>
      <c r="X26" s="46"/>
      <c r="Y26" s="46"/>
      <c r="Z26" s="22" t="s">
        <v>58</v>
      </c>
      <c r="AA26" s="22"/>
      <c r="AB26" s="22"/>
      <c r="AC26" s="22"/>
      <c r="AD26" s="29" t="s">
        <v>59</v>
      </c>
      <c r="AE26" s="22"/>
      <c r="AF26" s="49" t="s">
        <v>60</v>
      </c>
      <c r="AG26" s="62"/>
      <c r="AH26" s="62"/>
      <c r="AI26" s="49" t="s">
        <v>61</v>
      </c>
      <c r="AJ26" s="62"/>
      <c r="AK26" s="62"/>
      <c r="AL26" s="63">
        <v>43765.9939467593</v>
      </c>
      <c r="AM26" s="63"/>
      <c r="AN26" s="63"/>
      <c r="AO26" s="63"/>
      <c r="AP26" s="71" t="s">
        <v>62</v>
      </c>
      <c r="AQ26" s="71"/>
      <c r="AR26" s="71"/>
      <c r="AS26" s="22" t="s">
        <v>58</v>
      </c>
      <c r="AT26" s="22"/>
      <c r="AU26" s="22"/>
      <c r="AV26" s="63">
        <v>43765.9939467593</v>
      </c>
      <c r="AW26" s="73"/>
      <c r="AX26" s="73"/>
      <c r="AY26" s="73"/>
      <c r="AZ26" s="74"/>
      <c r="BA26" s="74"/>
      <c r="BB26" s="75"/>
      <c r="BC26" s="75"/>
      <c r="BD26" s="74"/>
      <c r="BE26" s="74"/>
      <c r="BF26" s="74"/>
      <c r="BG26" s="74"/>
      <c r="BH26" s="74"/>
      <c r="BI26" s="74"/>
      <c r="BJ26" s="74"/>
      <c r="BK26" s="74"/>
      <c r="BL26" s="74"/>
      <c r="BM26" s="85"/>
    </row>
    <row r="27" ht="25" customHeight="1" spans="1:65">
      <c r="A27" s="21">
        <v>4</v>
      </c>
      <c r="B27" s="22"/>
      <c r="C27" s="29" t="s">
        <v>56</v>
      </c>
      <c r="D27" s="22"/>
      <c r="E27" s="22"/>
      <c r="F27" s="22"/>
      <c r="G27" s="22"/>
      <c r="H27" s="22"/>
      <c r="I27" s="22"/>
      <c r="J27" s="22"/>
      <c r="K27" s="22"/>
      <c r="L27" s="89" t="s">
        <v>36</v>
      </c>
      <c r="M27" s="22"/>
      <c r="N27" s="22"/>
      <c r="O27" s="22"/>
      <c r="P27" s="29" t="s">
        <v>57</v>
      </c>
      <c r="Q27" s="22"/>
      <c r="R27" s="22"/>
      <c r="S27" s="45">
        <v>58</v>
      </c>
      <c r="T27" s="45"/>
      <c r="U27" s="45">
        <v>403</v>
      </c>
      <c r="V27" s="45"/>
      <c r="W27" s="46">
        <f t="shared" si="1"/>
        <v>23374</v>
      </c>
      <c r="X27" s="46"/>
      <c r="Y27" s="46"/>
      <c r="Z27" s="22" t="s">
        <v>58</v>
      </c>
      <c r="AA27" s="22"/>
      <c r="AB27" s="22"/>
      <c r="AC27" s="22"/>
      <c r="AD27" s="29" t="s">
        <v>59</v>
      </c>
      <c r="AE27" s="22"/>
      <c r="AF27" s="49" t="s">
        <v>60</v>
      </c>
      <c r="AG27" s="62"/>
      <c r="AH27" s="62"/>
      <c r="AI27" s="49" t="s">
        <v>61</v>
      </c>
      <c r="AJ27" s="62"/>
      <c r="AK27" s="62"/>
      <c r="AL27" s="63">
        <v>43766.9939467593</v>
      </c>
      <c r="AM27" s="63"/>
      <c r="AN27" s="63"/>
      <c r="AO27" s="63"/>
      <c r="AP27" s="71" t="s">
        <v>62</v>
      </c>
      <c r="AQ27" s="71"/>
      <c r="AR27" s="71"/>
      <c r="AS27" s="22" t="s">
        <v>58</v>
      </c>
      <c r="AT27" s="22"/>
      <c r="AU27" s="22"/>
      <c r="AV27" s="63">
        <v>43766.9939467593</v>
      </c>
      <c r="AW27" s="73"/>
      <c r="AX27" s="73"/>
      <c r="AY27" s="73"/>
      <c r="AZ27" s="74"/>
      <c r="BA27" s="74"/>
      <c r="BB27" s="75"/>
      <c r="BC27" s="75"/>
      <c r="BD27" s="74"/>
      <c r="BE27" s="74"/>
      <c r="BF27" s="74"/>
      <c r="BG27" s="74"/>
      <c r="BH27" s="74"/>
      <c r="BI27" s="74"/>
      <c r="BJ27" s="74"/>
      <c r="BK27" s="74"/>
      <c r="BL27" s="74"/>
      <c r="BM27" s="85"/>
    </row>
    <row r="28" ht="25" customHeight="1" spans="1:6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43">
        <f>SUM(W24:W27)</f>
        <v>77544</v>
      </c>
      <c r="X28" s="43"/>
      <c r="Y28" s="43"/>
      <c r="Z28" s="50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77"/>
      <c r="BL28" s="77"/>
      <c r="BM28" s="86"/>
    </row>
    <row r="29" ht="25" customHeight="1" spans="1:65">
      <c r="A29" s="25" t="s">
        <v>16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84"/>
    </row>
    <row r="30" ht="25" customHeight="1" spans="1:65">
      <c r="A30" s="27" t="s">
        <v>41</v>
      </c>
      <c r="B30" s="20"/>
      <c r="C30" s="28" t="s">
        <v>42</v>
      </c>
      <c r="D30" s="20"/>
      <c r="E30" s="20"/>
      <c r="F30" s="20"/>
      <c r="G30" s="20"/>
      <c r="H30" s="20"/>
      <c r="I30" s="20"/>
      <c r="J30" s="20"/>
      <c r="K30" s="20"/>
      <c r="L30" s="28" t="s">
        <v>43</v>
      </c>
      <c r="M30" s="20"/>
      <c r="N30" s="20"/>
      <c r="O30" s="20"/>
      <c r="P30" s="28" t="s">
        <v>44</v>
      </c>
      <c r="Q30" s="20"/>
      <c r="R30" s="20"/>
      <c r="S30" s="28" t="s">
        <v>64</v>
      </c>
      <c r="T30" s="20"/>
      <c r="U30" s="28" t="s">
        <v>46</v>
      </c>
      <c r="V30" s="20"/>
      <c r="W30" s="44" t="s">
        <v>47</v>
      </c>
      <c r="X30" s="44"/>
      <c r="Y30" s="44"/>
      <c r="Z30" s="20" t="s">
        <v>29</v>
      </c>
      <c r="AA30" s="20"/>
      <c r="AB30" s="44" t="s">
        <v>30</v>
      </c>
      <c r="AC30" s="44"/>
      <c r="AD30" s="44"/>
      <c r="AE30" s="28" t="s">
        <v>48</v>
      </c>
      <c r="AF30" s="20"/>
      <c r="AG30" s="20"/>
      <c r="AH30" s="20"/>
      <c r="AI30" s="28" t="s">
        <v>49</v>
      </c>
      <c r="AJ30" s="20"/>
      <c r="AK30" s="48" t="s">
        <v>50</v>
      </c>
      <c r="AL30" s="60"/>
      <c r="AM30" s="60"/>
      <c r="AN30" s="48" t="s">
        <v>51</v>
      </c>
      <c r="AO30" s="60"/>
      <c r="AP30" s="60"/>
      <c r="AQ30" s="61" t="s">
        <v>52</v>
      </c>
      <c r="AR30" s="61"/>
      <c r="AS30" s="61"/>
      <c r="AT30" s="61"/>
      <c r="AU30" s="61" t="s">
        <v>53</v>
      </c>
      <c r="AV30" s="61"/>
      <c r="AW30" s="61"/>
      <c r="AX30" s="48" t="s">
        <v>54</v>
      </c>
      <c r="AY30" s="60"/>
      <c r="AZ30" s="60"/>
      <c r="BA30" s="48" t="s">
        <v>55</v>
      </c>
      <c r="BB30" s="60"/>
      <c r="BC30" s="60"/>
      <c r="BD30" s="60"/>
      <c r="BE30" s="72"/>
      <c r="BF30" s="72"/>
      <c r="BG30" s="72"/>
      <c r="BH30" s="72"/>
      <c r="BI30" s="72"/>
      <c r="BJ30" s="51"/>
      <c r="BK30" s="77"/>
      <c r="BL30" s="77"/>
      <c r="BM30" s="86"/>
    </row>
    <row r="31" ht="25" customHeight="1" spans="1:65">
      <c r="A31" s="21">
        <v>1</v>
      </c>
      <c r="B31" s="22"/>
      <c r="C31" s="29" t="s">
        <v>56</v>
      </c>
      <c r="D31" s="22"/>
      <c r="E31" s="22"/>
      <c r="F31" s="22"/>
      <c r="G31" s="22"/>
      <c r="H31" s="22"/>
      <c r="I31" s="22"/>
      <c r="J31" s="22"/>
      <c r="K31" s="22"/>
      <c r="L31" s="89" t="s">
        <v>36</v>
      </c>
      <c r="M31" s="22"/>
      <c r="N31" s="22"/>
      <c r="O31" s="22"/>
      <c r="P31" s="29" t="s">
        <v>57</v>
      </c>
      <c r="Q31" s="22"/>
      <c r="R31" s="22"/>
      <c r="S31" s="22">
        <v>55</v>
      </c>
      <c r="T31" s="22"/>
      <c r="U31" s="45">
        <v>400</v>
      </c>
      <c r="V31" s="45"/>
      <c r="W31" s="46">
        <f t="shared" si="1"/>
        <v>22000</v>
      </c>
      <c r="X31" s="46"/>
      <c r="Y31" s="46"/>
      <c r="Z31" s="22"/>
      <c r="AA31" s="22"/>
      <c r="AB31" s="46">
        <v>324332</v>
      </c>
      <c r="AC31" s="46"/>
      <c r="AD31" s="46"/>
      <c r="AE31" s="22" t="s">
        <v>58</v>
      </c>
      <c r="AF31" s="22"/>
      <c r="AG31" s="22"/>
      <c r="AH31" s="22"/>
      <c r="AI31" s="29" t="s">
        <v>59</v>
      </c>
      <c r="AJ31" s="22"/>
      <c r="AK31" s="49" t="s">
        <v>60</v>
      </c>
      <c r="AL31" s="62"/>
      <c r="AM31" s="62"/>
      <c r="AN31" s="49" t="s">
        <v>61</v>
      </c>
      <c r="AO31" s="62"/>
      <c r="AP31" s="62"/>
      <c r="AQ31" s="63">
        <v>43763.9939467593</v>
      </c>
      <c r="AR31" s="63"/>
      <c r="AS31" s="63"/>
      <c r="AT31" s="63"/>
      <c r="AU31" s="71" t="s">
        <v>62</v>
      </c>
      <c r="AV31" s="71"/>
      <c r="AW31" s="71"/>
      <c r="AX31" s="22" t="s">
        <v>58</v>
      </c>
      <c r="AY31" s="22"/>
      <c r="AZ31" s="22"/>
      <c r="BA31" s="63">
        <v>43763.9939467593</v>
      </c>
      <c r="BB31" s="73"/>
      <c r="BC31" s="73"/>
      <c r="BD31" s="73"/>
      <c r="BE31" s="74"/>
      <c r="BF31" s="74"/>
      <c r="BG31" s="75"/>
      <c r="BH31" s="74"/>
      <c r="BI31" s="74"/>
      <c r="BJ31" s="74"/>
      <c r="BK31" s="74"/>
      <c r="BL31" s="74"/>
      <c r="BM31" s="85"/>
    </row>
    <row r="32" ht="25" customHeight="1" spans="1:65">
      <c r="A32" s="21">
        <v>2</v>
      </c>
      <c r="B32" s="22"/>
      <c r="C32" s="29" t="s">
        <v>56</v>
      </c>
      <c r="D32" s="22"/>
      <c r="E32" s="22"/>
      <c r="F32" s="22"/>
      <c r="G32" s="22"/>
      <c r="H32" s="22"/>
      <c r="I32" s="22"/>
      <c r="J32" s="22"/>
      <c r="K32" s="22"/>
      <c r="L32" s="89" t="s">
        <v>36</v>
      </c>
      <c r="M32" s="22"/>
      <c r="N32" s="22"/>
      <c r="O32" s="22"/>
      <c r="P32" s="29" t="s">
        <v>57</v>
      </c>
      <c r="Q32" s="22"/>
      <c r="R32" s="22"/>
      <c r="S32" s="22">
        <v>56</v>
      </c>
      <c r="T32" s="22"/>
      <c r="U32" s="45">
        <v>401</v>
      </c>
      <c r="V32" s="45"/>
      <c r="W32" s="46">
        <f t="shared" si="1"/>
        <v>22456</v>
      </c>
      <c r="X32" s="46"/>
      <c r="Y32" s="46"/>
      <c r="Z32" s="22">
        <v>6.45</v>
      </c>
      <c r="AA32" s="22"/>
      <c r="AB32" s="46">
        <v>32423</v>
      </c>
      <c r="AC32" s="46"/>
      <c r="AD32" s="46"/>
      <c r="AE32" s="22" t="s">
        <v>58</v>
      </c>
      <c r="AF32" s="22"/>
      <c r="AG32" s="22"/>
      <c r="AH32" s="22"/>
      <c r="AI32" s="29" t="s">
        <v>63</v>
      </c>
      <c r="AJ32" s="22"/>
      <c r="AK32" s="49" t="s">
        <v>60</v>
      </c>
      <c r="AL32" s="62"/>
      <c r="AM32" s="62"/>
      <c r="AN32" s="49" t="s">
        <v>61</v>
      </c>
      <c r="AO32" s="62"/>
      <c r="AP32" s="62"/>
      <c r="AQ32" s="63">
        <v>43764.9939467593</v>
      </c>
      <c r="AR32" s="63"/>
      <c r="AS32" s="63"/>
      <c r="AT32" s="63"/>
      <c r="AU32" s="71" t="s">
        <v>62</v>
      </c>
      <c r="AV32" s="71"/>
      <c r="AW32" s="71"/>
      <c r="AX32" s="22" t="s">
        <v>58</v>
      </c>
      <c r="AY32" s="22"/>
      <c r="AZ32" s="22"/>
      <c r="BA32" s="63">
        <v>43764.9939467593</v>
      </c>
      <c r="BB32" s="73"/>
      <c r="BC32" s="73"/>
      <c r="BD32" s="73"/>
      <c r="BE32" s="74"/>
      <c r="BF32" s="74"/>
      <c r="BG32" s="75"/>
      <c r="BH32" s="74"/>
      <c r="BI32" s="74"/>
      <c r="BJ32" s="74"/>
      <c r="BK32" s="74"/>
      <c r="BL32" s="74"/>
      <c r="BM32" s="85"/>
    </row>
    <row r="33" ht="25" customHeight="1" spans="1:65">
      <c r="A33" s="21">
        <v>3</v>
      </c>
      <c r="B33" s="22"/>
      <c r="C33" s="29" t="s">
        <v>56</v>
      </c>
      <c r="D33" s="22"/>
      <c r="E33" s="22"/>
      <c r="F33" s="22"/>
      <c r="G33" s="22"/>
      <c r="H33" s="22"/>
      <c r="I33" s="22"/>
      <c r="J33" s="22"/>
      <c r="K33" s="22"/>
      <c r="L33" s="89" t="s">
        <v>36</v>
      </c>
      <c r="M33" s="22"/>
      <c r="N33" s="22"/>
      <c r="O33" s="22"/>
      <c r="P33" s="29" t="s">
        <v>57</v>
      </c>
      <c r="Q33" s="22"/>
      <c r="R33" s="22"/>
      <c r="S33" s="22">
        <v>57</v>
      </c>
      <c r="T33" s="22"/>
      <c r="U33" s="45">
        <v>402</v>
      </c>
      <c r="V33" s="45"/>
      <c r="W33" s="46">
        <f t="shared" si="1"/>
        <v>22914</v>
      </c>
      <c r="X33" s="46"/>
      <c r="Y33" s="46"/>
      <c r="Z33" s="22">
        <v>6.45</v>
      </c>
      <c r="AA33" s="22"/>
      <c r="AB33" s="46">
        <v>243</v>
      </c>
      <c r="AC33" s="46"/>
      <c r="AD33" s="46"/>
      <c r="AE33" s="22" t="s">
        <v>58</v>
      </c>
      <c r="AF33" s="22"/>
      <c r="AG33" s="22"/>
      <c r="AH33" s="22"/>
      <c r="AI33" s="29" t="s">
        <v>59</v>
      </c>
      <c r="AJ33" s="22"/>
      <c r="AK33" s="49" t="s">
        <v>60</v>
      </c>
      <c r="AL33" s="62"/>
      <c r="AM33" s="62"/>
      <c r="AN33" s="49" t="s">
        <v>61</v>
      </c>
      <c r="AO33" s="62"/>
      <c r="AP33" s="62"/>
      <c r="AQ33" s="63">
        <v>43765.9939467593</v>
      </c>
      <c r="AR33" s="63"/>
      <c r="AS33" s="63"/>
      <c r="AT33" s="63"/>
      <c r="AU33" s="71" t="s">
        <v>62</v>
      </c>
      <c r="AV33" s="71"/>
      <c r="AW33" s="71"/>
      <c r="AX33" s="22" t="s">
        <v>58</v>
      </c>
      <c r="AY33" s="22"/>
      <c r="AZ33" s="22"/>
      <c r="BA33" s="63">
        <v>43765.9939467593</v>
      </c>
      <c r="BB33" s="73"/>
      <c r="BC33" s="73"/>
      <c r="BD33" s="73"/>
      <c r="BE33" s="74"/>
      <c r="BF33" s="74"/>
      <c r="BG33" s="75"/>
      <c r="BH33" s="74"/>
      <c r="BI33" s="74"/>
      <c r="BJ33" s="74"/>
      <c r="BK33" s="74"/>
      <c r="BL33" s="74"/>
      <c r="BM33" s="85"/>
    </row>
    <row r="34" ht="25" customHeight="1" spans="1:65">
      <c r="A34" s="21">
        <v>4</v>
      </c>
      <c r="B34" s="22"/>
      <c r="C34" s="29" t="s">
        <v>56</v>
      </c>
      <c r="D34" s="22"/>
      <c r="E34" s="22"/>
      <c r="F34" s="22"/>
      <c r="G34" s="22"/>
      <c r="H34" s="22"/>
      <c r="I34" s="22"/>
      <c r="J34" s="22"/>
      <c r="K34" s="22"/>
      <c r="L34" s="89" t="s">
        <v>36</v>
      </c>
      <c r="M34" s="22"/>
      <c r="N34" s="22"/>
      <c r="O34" s="22"/>
      <c r="P34" s="29" t="s">
        <v>57</v>
      </c>
      <c r="Q34" s="22"/>
      <c r="R34" s="22"/>
      <c r="S34" s="22">
        <v>58</v>
      </c>
      <c r="T34" s="22"/>
      <c r="U34" s="45">
        <v>403</v>
      </c>
      <c r="V34" s="45"/>
      <c r="W34" s="46">
        <f t="shared" si="1"/>
        <v>23374</v>
      </c>
      <c r="X34" s="46"/>
      <c r="Y34" s="46"/>
      <c r="Z34" s="22">
        <v>6.45</v>
      </c>
      <c r="AA34" s="22"/>
      <c r="AB34" s="46">
        <v>2324</v>
      </c>
      <c r="AC34" s="46"/>
      <c r="AD34" s="46"/>
      <c r="AE34" s="22" t="s">
        <v>58</v>
      </c>
      <c r="AF34" s="22"/>
      <c r="AG34" s="22"/>
      <c r="AH34" s="22"/>
      <c r="AI34" s="29" t="s">
        <v>59</v>
      </c>
      <c r="AJ34" s="22"/>
      <c r="AK34" s="49" t="s">
        <v>60</v>
      </c>
      <c r="AL34" s="62"/>
      <c r="AM34" s="62"/>
      <c r="AN34" s="49" t="s">
        <v>61</v>
      </c>
      <c r="AO34" s="62"/>
      <c r="AP34" s="62"/>
      <c r="AQ34" s="63">
        <v>43766.9939467593</v>
      </c>
      <c r="AR34" s="63"/>
      <c r="AS34" s="63"/>
      <c r="AT34" s="63"/>
      <c r="AU34" s="71" t="s">
        <v>62</v>
      </c>
      <c r="AV34" s="71"/>
      <c r="AW34" s="71"/>
      <c r="AX34" s="22" t="s">
        <v>58</v>
      </c>
      <c r="AY34" s="22"/>
      <c r="AZ34" s="22"/>
      <c r="BA34" s="63">
        <v>43766.9939467593</v>
      </c>
      <c r="BB34" s="73"/>
      <c r="BC34" s="73"/>
      <c r="BD34" s="73"/>
      <c r="BE34" s="74"/>
      <c r="BF34" s="74"/>
      <c r="BG34" s="75"/>
      <c r="BH34" s="74"/>
      <c r="BI34" s="74"/>
      <c r="BJ34" s="74"/>
      <c r="BK34" s="74"/>
      <c r="BL34" s="74"/>
      <c r="BM34" s="85"/>
    </row>
    <row r="35" ht="25" customHeight="1" spans="1:6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43">
        <f>SUM(W31:W34)</f>
        <v>90744</v>
      </c>
      <c r="X35" s="43"/>
      <c r="Y35" s="43"/>
      <c r="Z35" s="50"/>
      <c r="AA35" s="51"/>
      <c r="AB35" s="43">
        <f>SUM(AB31:AB34)</f>
        <v>359322</v>
      </c>
      <c r="AC35" s="43"/>
      <c r="AD35" s="43"/>
      <c r="AE35" s="52"/>
      <c r="AF35" s="52"/>
      <c r="AG35" s="64"/>
      <c r="AH35" s="64"/>
      <c r="AI35" s="64"/>
      <c r="AJ35" s="50"/>
      <c r="AK35" s="50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77"/>
      <c r="BL35" s="77"/>
      <c r="BM35" s="86"/>
    </row>
    <row r="36" ht="25" customHeight="1" spans="1:65">
      <c r="A36" s="32" t="s">
        <v>65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87"/>
    </row>
    <row r="37" ht="25" customHeight="1" spans="1:65">
      <c r="A37" s="34" t="s">
        <v>66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88"/>
    </row>
  </sheetData>
  <mergeCells count="416">
    <mergeCell ref="A1:BM1"/>
    <mergeCell ref="A2:BM2"/>
    <mergeCell ref="A3:G3"/>
    <mergeCell ref="H3:I3"/>
    <mergeCell ref="A4:BM4"/>
    <mergeCell ref="P6:Q6"/>
    <mergeCell ref="S6:T6"/>
    <mergeCell ref="P8:Q8"/>
    <mergeCell ref="S8:T8"/>
    <mergeCell ref="AN10:AR10"/>
    <mergeCell ref="AS10:BH10"/>
    <mergeCell ref="BI10:BM10"/>
    <mergeCell ref="A11:B11"/>
    <mergeCell ref="C11:F11"/>
    <mergeCell ref="G11:J11"/>
    <mergeCell ref="K11:N11"/>
    <mergeCell ref="O11:P11"/>
    <mergeCell ref="Q11:R11"/>
    <mergeCell ref="S11:U11"/>
    <mergeCell ref="V11:W11"/>
    <mergeCell ref="X11:Z11"/>
    <mergeCell ref="AA11:AC11"/>
    <mergeCell ref="AD11:AF11"/>
    <mergeCell ref="AG11:AH11"/>
    <mergeCell ref="AI11:AK11"/>
    <mergeCell ref="AL11:AM11"/>
    <mergeCell ref="AN11:AP11"/>
    <mergeCell ref="AQ11:AR11"/>
    <mergeCell ref="AS11:AU11"/>
    <mergeCell ref="AV11:AX11"/>
    <mergeCell ref="AY11:BA11"/>
    <mergeCell ref="BB11:BC11"/>
    <mergeCell ref="BD11:BF11"/>
    <mergeCell ref="BG11:BH11"/>
    <mergeCell ref="BI11:BK11"/>
    <mergeCell ref="BL11:BM11"/>
    <mergeCell ref="A12:B12"/>
    <mergeCell ref="C12:F12"/>
    <mergeCell ref="G12:J12"/>
    <mergeCell ref="K12:N12"/>
    <mergeCell ref="O12:P12"/>
    <mergeCell ref="Q12:R12"/>
    <mergeCell ref="S12:U12"/>
    <mergeCell ref="V12:W12"/>
    <mergeCell ref="X12:Z12"/>
    <mergeCell ref="AA12:AC12"/>
    <mergeCell ref="AD12:AF12"/>
    <mergeCell ref="AG12:AH12"/>
    <mergeCell ref="AI12:AK12"/>
    <mergeCell ref="AL12:AM12"/>
    <mergeCell ref="AN12:AP12"/>
    <mergeCell ref="AQ12:AR12"/>
    <mergeCell ref="AS12:AU12"/>
    <mergeCell ref="AV12:AX12"/>
    <mergeCell ref="AY12:BA12"/>
    <mergeCell ref="BB12:BC12"/>
    <mergeCell ref="BD12:BF12"/>
    <mergeCell ref="BG12:BH12"/>
    <mergeCell ref="BI12:BK12"/>
    <mergeCell ref="BL12:BM12"/>
    <mergeCell ref="A13:B13"/>
    <mergeCell ref="C13:F13"/>
    <mergeCell ref="G13:J13"/>
    <mergeCell ref="K13:N13"/>
    <mergeCell ref="O13:P13"/>
    <mergeCell ref="Q13:R13"/>
    <mergeCell ref="S13:U13"/>
    <mergeCell ref="V13:W13"/>
    <mergeCell ref="X13:Z13"/>
    <mergeCell ref="AA13:AC13"/>
    <mergeCell ref="AD13:AF13"/>
    <mergeCell ref="AG13:AH13"/>
    <mergeCell ref="AI13:AK13"/>
    <mergeCell ref="AL13:AM13"/>
    <mergeCell ref="AN13:AP13"/>
    <mergeCell ref="AQ13:AR13"/>
    <mergeCell ref="AS13:AU13"/>
    <mergeCell ref="AV13:AX13"/>
    <mergeCell ref="AY13:BA13"/>
    <mergeCell ref="BB13:BC13"/>
    <mergeCell ref="BD13:BF13"/>
    <mergeCell ref="BG13:BH13"/>
    <mergeCell ref="BI13:BK13"/>
    <mergeCell ref="BL13:BM13"/>
    <mergeCell ref="A14:B14"/>
    <mergeCell ref="C14:F14"/>
    <mergeCell ref="G14:J14"/>
    <mergeCell ref="K14:N14"/>
    <mergeCell ref="O14:P14"/>
    <mergeCell ref="Q14:R14"/>
    <mergeCell ref="S14:U14"/>
    <mergeCell ref="V14:W14"/>
    <mergeCell ref="X14:Z14"/>
    <mergeCell ref="AA14:AC14"/>
    <mergeCell ref="AD14:AF14"/>
    <mergeCell ref="AG14:AH14"/>
    <mergeCell ref="AI14:AK14"/>
    <mergeCell ref="AL14:AM14"/>
    <mergeCell ref="AN14:AP14"/>
    <mergeCell ref="AQ14:AR14"/>
    <mergeCell ref="AS14:AU14"/>
    <mergeCell ref="AV14:AX14"/>
    <mergeCell ref="AY14:BA14"/>
    <mergeCell ref="BB14:BC14"/>
    <mergeCell ref="BD14:BF14"/>
    <mergeCell ref="BG14:BH14"/>
    <mergeCell ref="BI14:BK14"/>
    <mergeCell ref="BL14:BM14"/>
    <mergeCell ref="A15:B15"/>
    <mergeCell ref="C15:F15"/>
    <mergeCell ref="G15:J15"/>
    <mergeCell ref="K15:N15"/>
    <mergeCell ref="O15:P15"/>
    <mergeCell ref="Q15:R15"/>
    <mergeCell ref="S15:U15"/>
    <mergeCell ref="V15:W15"/>
    <mergeCell ref="X15:Z15"/>
    <mergeCell ref="AA15:AC15"/>
    <mergeCell ref="AD15:AF15"/>
    <mergeCell ref="AG15:AH15"/>
    <mergeCell ref="AI15:AK15"/>
    <mergeCell ref="AL15:AM15"/>
    <mergeCell ref="AN15:AP15"/>
    <mergeCell ref="AQ15:AR15"/>
    <mergeCell ref="AS15:AU15"/>
    <mergeCell ref="AV15:AX15"/>
    <mergeCell ref="AY15:BA15"/>
    <mergeCell ref="BB15:BC15"/>
    <mergeCell ref="BD15:BF15"/>
    <mergeCell ref="BG15:BH15"/>
    <mergeCell ref="BI15:BK15"/>
    <mergeCell ref="BL15:BM15"/>
    <mergeCell ref="A16:B16"/>
    <mergeCell ref="C16:F16"/>
    <mergeCell ref="G16:J16"/>
    <mergeCell ref="K16:N16"/>
    <mergeCell ref="O16:P16"/>
    <mergeCell ref="Q16:R16"/>
    <mergeCell ref="S16:U16"/>
    <mergeCell ref="V16:W16"/>
    <mergeCell ref="X16:Z16"/>
    <mergeCell ref="AA16:AC16"/>
    <mergeCell ref="AD16:AF16"/>
    <mergeCell ref="AG16:AH16"/>
    <mergeCell ref="AI16:AK16"/>
    <mergeCell ref="AL16:AM16"/>
    <mergeCell ref="AN16:AP16"/>
    <mergeCell ref="AQ16:AR16"/>
    <mergeCell ref="AS16:AU16"/>
    <mergeCell ref="AV16:AX16"/>
    <mergeCell ref="AY16:BA16"/>
    <mergeCell ref="BB16:BC16"/>
    <mergeCell ref="BD16:BF16"/>
    <mergeCell ref="BG16:BH16"/>
    <mergeCell ref="BI16:BK16"/>
    <mergeCell ref="BL16:BM16"/>
    <mergeCell ref="A17:B17"/>
    <mergeCell ref="C17:F17"/>
    <mergeCell ref="G17:J17"/>
    <mergeCell ref="K17:N17"/>
    <mergeCell ref="O17:P17"/>
    <mergeCell ref="Q17:R17"/>
    <mergeCell ref="S17:U17"/>
    <mergeCell ref="V17:W17"/>
    <mergeCell ref="X17:Z17"/>
    <mergeCell ref="AA17:AC17"/>
    <mergeCell ref="AD17:AF17"/>
    <mergeCell ref="AG17:AH17"/>
    <mergeCell ref="AI17:AK17"/>
    <mergeCell ref="AL17:AM17"/>
    <mergeCell ref="AN17:AP17"/>
    <mergeCell ref="AQ17:AR17"/>
    <mergeCell ref="AS17:AU17"/>
    <mergeCell ref="AV17:AX17"/>
    <mergeCell ref="AY17:BA17"/>
    <mergeCell ref="BB17:BC17"/>
    <mergeCell ref="BD17:BF17"/>
    <mergeCell ref="BG17:BH17"/>
    <mergeCell ref="BI17:BK17"/>
    <mergeCell ref="BL17:BM17"/>
    <mergeCell ref="A18:B18"/>
    <mergeCell ref="C18:F18"/>
    <mergeCell ref="G18:J18"/>
    <mergeCell ref="K18:N18"/>
    <mergeCell ref="O18:P18"/>
    <mergeCell ref="Q18:R18"/>
    <mergeCell ref="S18:U18"/>
    <mergeCell ref="V18:W18"/>
    <mergeCell ref="X18:Z18"/>
    <mergeCell ref="AA18:AC18"/>
    <mergeCell ref="AD18:AF18"/>
    <mergeCell ref="AG18:AH18"/>
    <mergeCell ref="AI18:AK18"/>
    <mergeCell ref="AL18:AM18"/>
    <mergeCell ref="AN18:AP18"/>
    <mergeCell ref="AQ18:AR18"/>
    <mergeCell ref="AS18:AU18"/>
    <mergeCell ref="AV18:AX18"/>
    <mergeCell ref="AY18:BA18"/>
    <mergeCell ref="BB18:BC18"/>
    <mergeCell ref="BD18:BF18"/>
    <mergeCell ref="BG18:BH18"/>
    <mergeCell ref="BI18:BK18"/>
    <mergeCell ref="BL18:BM18"/>
    <mergeCell ref="A19:B19"/>
    <mergeCell ref="C19:F19"/>
    <mergeCell ref="G19:J19"/>
    <mergeCell ref="K19:N19"/>
    <mergeCell ref="O19:P19"/>
    <mergeCell ref="Q19:R19"/>
    <mergeCell ref="S19:U19"/>
    <mergeCell ref="V19:W19"/>
    <mergeCell ref="X19:Z19"/>
    <mergeCell ref="AA19:AC19"/>
    <mergeCell ref="AD19:AF19"/>
    <mergeCell ref="AG19:AH19"/>
    <mergeCell ref="AI19:AK19"/>
    <mergeCell ref="AL19:AM19"/>
    <mergeCell ref="AN19:AP19"/>
    <mergeCell ref="AQ19:AR19"/>
    <mergeCell ref="AS19:AU19"/>
    <mergeCell ref="AV19:AX19"/>
    <mergeCell ref="AY19:BA19"/>
    <mergeCell ref="BB19:BC19"/>
    <mergeCell ref="BD19:BF19"/>
    <mergeCell ref="BG19:BH19"/>
    <mergeCell ref="BI19:BK19"/>
    <mergeCell ref="BL19:BM19"/>
    <mergeCell ref="A20:B20"/>
    <mergeCell ref="Q20:R20"/>
    <mergeCell ref="X20:Z20"/>
    <mergeCell ref="AA20:AC20"/>
    <mergeCell ref="AD20:AF20"/>
    <mergeCell ref="AG20:AH20"/>
    <mergeCell ref="AI20:AK20"/>
    <mergeCell ref="AL20:AM20"/>
    <mergeCell ref="AN20:AP20"/>
    <mergeCell ref="AQ20:AR20"/>
    <mergeCell ref="AS20:AU20"/>
    <mergeCell ref="AV20:AX20"/>
    <mergeCell ref="AY20:BA20"/>
    <mergeCell ref="BB20:BC20"/>
    <mergeCell ref="BD20:BF20"/>
    <mergeCell ref="BG20:BH20"/>
    <mergeCell ref="BI20:BK20"/>
    <mergeCell ref="BL20:BM20"/>
    <mergeCell ref="A21:BM21"/>
    <mergeCell ref="A22:BM22"/>
    <mergeCell ref="A23:B23"/>
    <mergeCell ref="C23:K23"/>
    <mergeCell ref="L23:O23"/>
    <mergeCell ref="P23:R23"/>
    <mergeCell ref="S23:T23"/>
    <mergeCell ref="U23:V23"/>
    <mergeCell ref="W23:Y23"/>
    <mergeCell ref="Z23:AC23"/>
    <mergeCell ref="AD23:AE23"/>
    <mergeCell ref="AF23:AH23"/>
    <mergeCell ref="AI23:AK23"/>
    <mergeCell ref="AL23:AO23"/>
    <mergeCell ref="AP23:AR23"/>
    <mergeCell ref="AS23:AU23"/>
    <mergeCell ref="AV23:AY23"/>
    <mergeCell ref="BK23:BM23"/>
    <mergeCell ref="A24:B24"/>
    <mergeCell ref="C24:K24"/>
    <mergeCell ref="L24:O24"/>
    <mergeCell ref="P24:R24"/>
    <mergeCell ref="S24:T24"/>
    <mergeCell ref="U24:V24"/>
    <mergeCell ref="W24:Y24"/>
    <mergeCell ref="Z24:AC24"/>
    <mergeCell ref="AD24:AE24"/>
    <mergeCell ref="AF24:AH24"/>
    <mergeCell ref="AI24:AK24"/>
    <mergeCell ref="AL24:AO24"/>
    <mergeCell ref="AP24:AR24"/>
    <mergeCell ref="AS24:AU24"/>
    <mergeCell ref="AV24:AY24"/>
    <mergeCell ref="A25:B25"/>
    <mergeCell ref="C25:K25"/>
    <mergeCell ref="L25:O25"/>
    <mergeCell ref="P25:R25"/>
    <mergeCell ref="S25:T25"/>
    <mergeCell ref="U25:V25"/>
    <mergeCell ref="W25:Y25"/>
    <mergeCell ref="Z25:AC25"/>
    <mergeCell ref="AD25:AE25"/>
    <mergeCell ref="AF25:AH25"/>
    <mergeCell ref="AI25:AK25"/>
    <mergeCell ref="AL25:AO25"/>
    <mergeCell ref="AP25:AR25"/>
    <mergeCell ref="AS25:AU25"/>
    <mergeCell ref="AV25:AY25"/>
    <mergeCell ref="A26:B26"/>
    <mergeCell ref="C26:K26"/>
    <mergeCell ref="L26:O26"/>
    <mergeCell ref="P26:R26"/>
    <mergeCell ref="S26:T26"/>
    <mergeCell ref="U26:V26"/>
    <mergeCell ref="W26:Y26"/>
    <mergeCell ref="Z26:AC26"/>
    <mergeCell ref="AD26:AE26"/>
    <mergeCell ref="AF26:AH26"/>
    <mergeCell ref="AI26:AK26"/>
    <mergeCell ref="AL26:AO26"/>
    <mergeCell ref="AP26:AR26"/>
    <mergeCell ref="AS26:AU26"/>
    <mergeCell ref="AV26:AY26"/>
    <mergeCell ref="A27:B27"/>
    <mergeCell ref="C27:K27"/>
    <mergeCell ref="L27:O27"/>
    <mergeCell ref="P27:R27"/>
    <mergeCell ref="S27:T27"/>
    <mergeCell ref="U27:V27"/>
    <mergeCell ref="W27:Y27"/>
    <mergeCell ref="Z27:AC27"/>
    <mergeCell ref="AD27:AE27"/>
    <mergeCell ref="AF27:AH27"/>
    <mergeCell ref="AI27:AK27"/>
    <mergeCell ref="AL27:AO27"/>
    <mergeCell ref="AP27:AR27"/>
    <mergeCell ref="AS27:AU27"/>
    <mergeCell ref="AV27:AY27"/>
    <mergeCell ref="W28:Y28"/>
    <mergeCell ref="A29:BM29"/>
    <mergeCell ref="A30:B30"/>
    <mergeCell ref="C30:K30"/>
    <mergeCell ref="L30:O30"/>
    <mergeCell ref="P30:R30"/>
    <mergeCell ref="S30:T30"/>
    <mergeCell ref="U30:V30"/>
    <mergeCell ref="W30:Y30"/>
    <mergeCell ref="Z30:AA30"/>
    <mergeCell ref="AB30:AD30"/>
    <mergeCell ref="AE30:AH30"/>
    <mergeCell ref="AI30:AJ30"/>
    <mergeCell ref="AK30:AM30"/>
    <mergeCell ref="AN30:AP30"/>
    <mergeCell ref="AQ30:AT30"/>
    <mergeCell ref="AU30:AW30"/>
    <mergeCell ref="AX30:AZ30"/>
    <mergeCell ref="BA30:BD30"/>
    <mergeCell ref="A31:B31"/>
    <mergeCell ref="C31:K31"/>
    <mergeCell ref="L31:O31"/>
    <mergeCell ref="P31:R31"/>
    <mergeCell ref="S31:T31"/>
    <mergeCell ref="U31:V31"/>
    <mergeCell ref="W31:Y31"/>
    <mergeCell ref="Z31:AA31"/>
    <mergeCell ref="AB31:AD31"/>
    <mergeCell ref="AE31:AH31"/>
    <mergeCell ref="AI31:AJ31"/>
    <mergeCell ref="AK31:AM31"/>
    <mergeCell ref="AN31:AP31"/>
    <mergeCell ref="AQ31:AT31"/>
    <mergeCell ref="AU31:AW31"/>
    <mergeCell ref="AX31:AZ31"/>
    <mergeCell ref="BA31:BD31"/>
    <mergeCell ref="A32:B32"/>
    <mergeCell ref="C32:K32"/>
    <mergeCell ref="L32:O32"/>
    <mergeCell ref="P32:R32"/>
    <mergeCell ref="S32:T32"/>
    <mergeCell ref="U32:V32"/>
    <mergeCell ref="W32:Y32"/>
    <mergeCell ref="Z32:AA32"/>
    <mergeCell ref="AB32:AD32"/>
    <mergeCell ref="AE32:AH32"/>
    <mergeCell ref="AI32:AJ32"/>
    <mergeCell ref="AK32:AM32"/>
    <mergeCell ref="AN32:AP32"/>
    <mergeCell ref="AQ32:AT32"/>
    <mergeCell ref="AU32:AW32"/>
    <mergeCell ref="AX32:AZ32"/>
    <mergeCell ref="BA32:BD32"/>
    <mergeCell ref="A33:B33"/>
    <mergeCell ref="C33:K33"/>
    <mergeCell ref="L33:O33"/>
    <mergeCell ref="P33:R33"/>
    <mergeCell ref="S33:T33"/>
    <mergeCell ref="U33:V33"/>
    <mergeCell ref="W33:Y33"/>
    <mergeCell ref="Z33:AA33"/>
    <mergeCell ref="AB33:AD33"/>
    <mergeCell ref="AE33:AH33"/>
    <mergeCell ref="AI33:AJ33"/>
    <mergeCell ref="AK33:AM33"/>
    <mergeCell ref="AN33:AP33"/>
    <mergeCell ref="AQ33:AT33"/>
    <mergeCell ref="AU33:AW33"/>
    <mergeCell ref="AX33:AZ33"/>
    <mergeCell ref="BA33:BD33"/>
    <mergeCell ref="A34:B34"/>
    <mergeCell ref="C34:K34"/>
    <mergeCell ref="L34:O34"/>
    <mergeCell ref="P34:R34"/>
    <mergeCell ref="S34:T34"/>
    <mergeCell ref="U34:V34"/>
    <mergeCell ref="W34:Y34"/>
    <mergeCell ref="Z34:AA34"/>
    <mergeCell ref="AB34:AD34"/>
    <mergeCell ref="AE34:AH34"/>
    <mergeCell ref="AI34:AJ34"/>
    <mergeCell ref="AK34:AM34"/>
    <mergeCell ref="AN34:AP34"/>
    <mergeCell ref="AQ34:AT34"/>
    <mergeCell ref="AU34:AW34"/>
    <mergeCell ref="AX34:AZ34"/>
    <mergeCell ref="BA34:BD34"/>
    <mergeCell ref="W35:Y35"/>
    <mergeCell ref="AB35:AD35"/>
    <mergeCell ref="AG35:AI35"/>
    <mergeCell ref="A36:BM36"/>
    <mergeCell ref="A37:BM37"/>
  </mergeCells>
  <pageMargins left="0.75" right="0.75" top="1" bottom="1" header="0.5" footer="0.5"/>
  <headerFooter/>
  <ignoredErrors>
    <ignoredError sqref="L31:O34 L24:O27 C12:F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2021-03-12T03:35:00Z</dcterms:created>
  <dcterms:modified xsi:type="dcterms:W3CDTF">2021-03-18T04:06:20Z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