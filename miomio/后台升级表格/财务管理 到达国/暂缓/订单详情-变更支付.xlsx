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B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点击航空公司可打开查询网站</t>
        </r>
      </text>
    </comment>
    <comment ref="O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点击JOB可显示其项下的所有集装信息，包括订单号</t>
        </r>
      </text>
    </comment>
    <comment ref="G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点击状态可显示全部物流状态信息</t>
        </r>
      </text>
    </commen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2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B2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当入库时编辑了相关的信息，这里显示红色，鼠标移至该处进显示原因</t>
        </r>
      </text>
    </comment>
    <comment ref="E2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  <comment ref="G3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点击号码显示该AK1项下的订单号码</t>
        </r>
      </text>
    </comment>
  </commentList>
</comments>
</file>

<file path=xl/sharedStrings.xml><?xml version="1.0" encoding="utf-8"?>
<sst xmlns="http://schemas.openxmlformats.org/spreadsheetml/2006/main" count="174" uniqueCount="130">
  <si>
    <t>订单详情</t>
  </si>
  <si>
    <t>承运人:埃塞俄比亚航空公司 I 类型:空运 I 运单号:ET206363 to ET206373</t>
  </si>
  <si>
    <t>JOB123456</t>
  </si>
  <si>
    <t>订单编号:191021000022</t>
  </si>
  <si>
    <t>特快件</t>
  </si>
  <si>
    <t>状态: 已放行/起</t>
  </si>
  <si>
    <t>下单时间:2019-10-22 20:56:29</t>
  </si>
  <si>
    <t>用户:JohnnyAmy</t>
  </si>
  <si>
    <t>公司 :Guangzhou Mailmail International Fowarding CO.,LTD</t>
  </si>
  <si>
    <t>邮箱:Sampao@mailmailexp.com</t>
  </si>
  <si>
    <t>发票类型:增值税票</t>
  </si>
  <si>
    <t>发票抬头:广州喵喵国际货运代理有限公司</t>
  </si>
  <si>
    <t>服务代码:MISDI32988902789</t>
  </si>
  <si>
    <t>发票地址</t>
  </si>
  <si>
    <t>中国 →加纳</t>
  </si>
  <si>
    <t>发货人</t>
  </si>
  <si>
    <t>名字</t>
  </si>
  <si>
    <t>电话</t>
  </si>
  <si>
    <t>国家</t>
  </si>
  <si>
    <t>城市</t>
  </si>
  <si>
    <t>区</t>
  </si>
  <si>
    <t>详细地址</t>
  </si>
  <si>
    <t>AkinGbolahan</t>
  </si>
  <si>
    <t>+233 0508319735</t>
  </si>
  <si>
    <t>中国</t>
  </si>
  <si>
    <t>广州</t>
  </si>
  <si>
    <t>白云</t>
  </si>
  <si>
    <t>黄石路江夏北二路3号云商易城B栋110</t>
  </si>
  <si>
    <t>收货人</t>
  </si>
  <si>
    <t>加纳</t>
  </si>
  <si>
    <t>ACCARA</t>
  </si>
  <si>
    <t>21 Zoti Lane Lartebiokorshie</t>
  </si>
  <si>
    <t>起运国仓库</t>
  </si>
  <si>
    <t>入库日期</t>
  </si>
  <si>
    <t>集装日期</t>
  </si>
  <si>
    <t>离库日期</t>
  </si>
  <si>
    <t>到达机场</t>
  </si>
  <si>
    <t>报关日期</t>
  </si>
  <si>
    <t>放行日期</t>
  </si>
  <si>
    <t>离境日期</t>
  </si>
  <si>
    <t>白云区站点</t>
  </si>
  <si>
    <t>到达国仓库</t>
  </si>
  <si>
    <t>到达日期</t>
  </si>
  <si>
    <t>到仓日期</t>
  </si>
  <si>
    <t>通知日期</t>
  </si>
  <si>
    <t>签收日期</t>
  </si>
  <si>
    <t>拉各斯站点</t>
  </si>
  <si>
    <t>订单初始信息</t>
  </si>
  <si>
    <t>第三方运单</t>
  </si>
  <si>
    <t>状态</t>
  </si>
  <si>
    <t>入库时间</t>
  </si>
  <si>
    <t>品名</t>
  </si>
  <si>
    <t>类别</t>
  </si>
  <si>
    <t>说明</t>
  </si>
  <si>
    <t>重量Kg</t>
  </si>
  <si>
    <t>件数Pcs</t>
  </si>
  <si>
    <t>货值USD</t>
  </si>
  <si>
    <t>备注</t>
  </si>
  <si>
    <t>顺丰速运  SF1012605193752</t>
  </si>
  <si>
    <t>已入库</t>
  </si>
  <si>
    <t>Seat cushion</t>
  </si>
  <si>
    <t>日用百货</t>
  </si>
  <si>
    <t>普货</t>
  </si>
  <si>
    <t>我们一起去吃饭好不好啊</t>
  </si>
  <si>
    <t>韵达快递  4301568788544</t>
  </si>
  <si>
    <t>maching parts</t>
  </si>
  <si>
    <t>圆通速递  YT4144353928655</t>
  </si>
  <si>
    <t>clothes</t>
  </si>
  <si>
    <t>顺丰速运  163262639592</t>
  </si>
  <si>
    <t>已删除</t>
  </si>
  <si>
    <t>huoguolu</t>
  </si>
  <si>
    <t>韵达快递  4301576169763</t>
  </si>
  <si>
    <t>待入库</t>
  </si>
  <si>
    <t>Unkonw</t>
  </si>
  <si>
    <t>cylinder cover</t>
  </si>
  <si>
    <t>订单实际信息</t>
  </si>
  <si>
    <t>订单号</t>
  </si>
  <si>
    <t>集装编号</t>
  </si>
  <si>
    <t>尺寸cm</t>
  </si>
  <si>
    <t>体积CBM</t>
  </si>
  <si>
    <t>体积重Kg</t>
  </si>
  <si>
    <t>毛重Kg</t>
  </si>
  <si>
    <t>190910000021</t>
  </si>
  <si>
    <t>AK1</t>
  </si>
  <si>
    <t>24.5*20*17.5</t>
  </si>
  <si>
    <t>190910000021-1</t>
  </si>
  <si>
    <t>AK2</t>
  </si>
  <si>
    <t>18*11.5*9</t>
  </si>
  <si>
    <t>190910000021-2</t>
  </si>
  <si>
    <t>AK5</t>
  </si>
  <si>
    <t>29*18*10</t>
  </si>
  <si>
    <t>190910000021-3</t>
  </si>
  <si>
    <t>40*36*17</t>
  </si>
  <si>
    <t>应收费用</t>
  </si>
  <si>
    <t>首重 Kg:1</t>
  </si>
  <si>
    <t>运费USD:8.60</t>
  </si>
  <si>
    <t>续重 Kg: 16.0</t>
  </si>
  <si>
    <t>运费 USD: 89.60</t>
  </si>
  <si>
    <t>计费重量Kg:17.00</t>
  </si>
  <si>
    <t>应收运费 USD98.20</t>
  </si>
  <si>
    <t>折扣率100.0</t>
  </si>
  <si>
    <t>折扣运费USD98.20</t>
  </si>
  <si>
    <t>其他费用</t>
  </si>
  <si>
    <t>扣减运费 USD-28.50(起始国)</t>
  </si>
  <si>
    <t>进口报关费 USD20.25(起始国)</t>
  </si>
  <si>
    <t>总应收 USD89.95</t>
  </si>
  <si>
    <t>折合NGN32471.95</t>
  </si>
  <si>
    <t>汇率:USD1.00=NGN361</t>
  </si>
  <si>
    <t>运费列表:点击查询</t>
  </si>
  <si>
    <t>导出账单</t>
  </si>
  <si>
    <t>支付方式: 到付</t>
  </si>
  <si>
    <t>支付状态: 未付</t>
  </si>
  <si>
    <t>支付方式:</t>
  </si>
  <si>
    <t>支付时间2019/10/18 20:30:00</t>
  </si>
  <si>
    <t>变更后明细</t>
  </si>
  <si>
    <t>操作账号SAMPAO</t>
  </si>
  <si>
    <t>日期2019/10/18 20:30:00</t>
  </si>
  <si>
    <t>到付→预付   变更原因:</t>
  </si>
  <si>
    <t>运费RMB70.00</t>
  </si>
  <si>
    <t>运费RMB1040.00</t>
  </si>
  <si>
    <t>应收运费RMB1110.00</t>
  </si>
  <si>
    <t>折扣率:100.0</t>
  </si>
  <si>
    <t>折后运费RMB1110.00</t>
  </si>
  <si>
    <t>扣减运费 RMB202.35(起始国)</t>
  </si>
  <si>
    <t>进口报关费RMB143.78(起始国)</t>
  </si>
  <si>
    <t>总应收RMB1051.43</t>
  </si>
  <si>
    <t>支付状态: 已付</t>
  </si>
  <si>
    <t>支付方式:转账汇款</t>
  </si>
  <si>
    <t>返回</t>
  </si>
  <si>
    <t>打印面单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</si>
</sst>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00_ "/>
  </numFmts>
  <fonts count="46">
    <font>
      <sz val="11"/>
      <color theme="1"/>
      <name val="宋体"/>
      <charset val="134"/>
      <scheme val="minor"/>
    </font>
    <font>
      <b/>
      <sz val="16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9"/>
      <color theme="1"/>
      <name val="Microsoft JhengHei"/>
      <charset val="134"/>
    </font>
    <font>
      <b/>
      <sz val="10"/>
      <color theme="1"/>
      <name val="Microsoft JhengHei"/>
      <charset val="134"/>
    </font>
    <font>
      <sz val="9.75"/>
      <color theme="1"/>
      <name val="Microsoft JhengHei"/>
      <charset val="134"/>
    </font>
    <font>
      <b/>
      <sz val="9.75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Microsoft JhengHei"/>
      <charset val="134"/>
    </font>
    <font>
      <sz val="10"/>
      <color theme="1"/>
      <name val="Microsoft JhengHei"/>
      <charset val="134"/>
    </font>
    <font>
      <sz val="11"/>
      <color theme="0"/>
      <name val="Microsoft JhengHei"/>
      <charset val="134"/>
    </font>
    <font>
      <b/>
      <sz val="11"/>
      <color theme="1"/>
      <name val="Microsoft JhengHei"/>
      <charset val="134"/>
    </font>
    <font>
      <sz val="9.75"/>
      <color rgb="FFFF0000"/>
      <name val="Microsoft JhengHei"/>
      <charset val="134"/>
    </font>
    <font>
      <sz val="10"/>
      <color rgb="FFFF0000"/>
      <name val="Microsoft JhengHei"/>
      <charset val="134"/>
    </font>
    <font>
      <b/>
      <sz val="11"/>
      <color rgb="FF393939"/>
      <name val="Microsoft JhengHei"/>
      <charset val="134"/>
    </font>
    <font>
      <sz val="10"/>
      <color rgb="FF393939"/>
      <name val="Microsoft JhengHei"/>
      <charset val="134"/>
    </font>
    <font>
      <sz val="12"/>
      <color rgb="FFFF0000"/>
      <name val="Microsoft JhengHei"/>
      <charset val="134"/>
    </font>
    <font>
      <b/>
      <sz val="12"/>
      <color rgb="FF393939"/>
      <name val="Microsoft JhengHei"/>
      <charset val="134"/>
    </font>
    <font>
      <sz val="11"/>
      <color rgb="FFFF0000"/>
      <name val="Microsoft JhengHei"/>
      <charset val="134"/>
    </font>
    <font>
      <sz val="11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rgb="FF393939"/>
      <name val="Microsoft JhengHei"/>
      <charset val="134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6" fillId="25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12" borderId="15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7" fillId="18" borderId="20" applyNumberFormat="0" applyAlignment="0" applyProtection="0">
      <alignment vertical="center"/>
    </xf>
    <xf numFmtId="0" fontId="31" fillId="18" borderId="17" applyNumberFormat="0" applyAlignment="0" applyProtection="0">
      <alignment vertical="center"/>
    </xf>
    <xf numFmtId="0" fontId="33" fillId="20" borderId="18" applyNumberFormat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22" fontId="9" fillId="7" borderId="6" xfId="0" applyNumberFormat="1" applyFont="1" applyFill="1" applyBorder="1" applyAlignment="1">
      <alignment horizontal="center" vertical="center" wrapText="1"/>
    </xf>
    <xf numFmtId="22" fontId="9" fillId="7" borderId="6" xfId="0" applyNumberFormat="1" applyFont="1" applyFill="1" applyBorder="1" applyAlignment="1">
      <alignment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6" borderId="2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22" fontId="10" fillId="6" borderId="0" xfId="0" applyNumberFormat="1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22" fontId="14" fillId="6" borderId="0" xfId="0" applyNumberFormat="1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22" fontId="5" fillId="6" borderId="0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left" vertical="center" wrapText="1"/>
    </xf>
    <xf numFmtId="0" fontId="16" fillId="6" borderId="0" xfId="0" applyFont="1" applyFill="1" applyBorder="1" applyAlignment="1">
      <alignment horizontal="left" vertical="center" wrapText="1"/>
    </xf>
    <xf numFmtId="0" fontId="10" fillId="6" borderId="0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center" wrapText="1"/>
    </xf>
    <xf numFmtId="0" fontId="15" fillId="2" borderId="0" xfId="0" applyFont="1" applyFill="1" applyBorder="1" applyAlignment="1">
      <alignment horizontal="left" vertical="center" wrapText="1"/>
    </xf>
    <xf numFmtId="0" fontId="17" fillId="6" borderId="4" xfId="0" applyFont="1" applyFill="1" applyBorder="1" applyAlignment="1">
      <alignment horizontal="left" vertical="center" wrapText="1"/>
    </xf>
    <xf numFmtId="0" fontId="17" fillId="6" borderId="0" xfId="0" applyFont="1" applyFill="1" applyBorder="1" applyAlignment="1">
      <alignment horizontal="left" vertical="center" wrapText="1"/>
    </xf>
    <xf numFmtId="0" fontId="17" fillId="6" borderId="0" xfId="0" applyFont="1" applyFill="1" applyAlignment="1">
      <alignment horizontal="left" vertical="center"/>
    </xf>
    <xf numFmtId="0" fontId="18" fillId="5" borderId="2" xfId="0" applyFont="1" applyFill="1" applyBorder="1" applyAlignment="1">
      <alignment horizontal="left" vertical="center" wrapText="1"/>
    </xf>
    <xf numFmtId="0" fontId="18" fillId="5" borderId="3" xfId="0" applyFont="1" applyFill="1" applyBorder="1" applyAlignment="1">
      <alignment horizontal="left" vertical="center" wrapText="1"/>
    </xf>
    <xf numFmtId="0" fontId="18" fillId="5" borderId="3" xfId="0" applyFont="1" applyFill="1" applyBorder="1" applyAlignment="1">
      <alignment vertical="center" wrapText="1"/>
    </xf>
    <xf numFmtId="0" fontId="18" fillId="5" borderId="4" xfId="0" applyFont="1" applyFill="1" applyBorder="1" applyAlignment="1">
      <alignment horizontal="left" vertical="center" wrapText="1"/>
    </xf>
    <xf numFmtId="0" fontId="18" fillId="5" borderId="0" xfId="0" applyFont="1" applyFill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5" borderId="0" xfId="0" applyFont="1" applyFill="1" applyBorder="1" applyAlignment="1">
      <alignment horizontal="left" vertical="center" wrapText="1"/>
    </xf>
    <xf numFmtId="0" fontId="19" fillId="6" borderId="0" xfId="0" applyFont="1" applyFill="1" applyAlignment="1">
      <alignment horizontal="left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0" xfId="0" applyFont="1" applyFill="1" applyBorder="1">
      <alignment vertical="center"/>
    </xf>
    <xf numFmtId="0" fontId="2" fillId="4" borderId="3" xfId="0" applyFont="1" applyFill="1" applyBorder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/>
    </xf>
    <xf numFmtId="22" fontId="9" fillId="7" borderId="6" xfId="0" applyNumberFormat="1" applyFont="1" applyFill="1" applyBorder="1" applyAlignment="1">
      <alignment horizontal="center" vertical="center"/>
    </xf>
    <xf numFmtId="22" fontId="9" fillId="7" borderId="6" xfId="0" applyNumberFormat="1" applyFont="1" applyFill="1" applyBorder="1" applyAlignment="1">
      <alignment vertical="center"/>
    </xf>
    <xf numFmtId="0" fontId="21" fillId="6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center" vertical="center"/>
    </xf>
    <xf numFmtId="176" fontId="5" fillId="5" borderId="6" xfId="0" applyNumberFormat="1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left" vertical="center" wrapText="1"/>
    </xf>
    <xf numFmtId="0" fontId="23" fillId="5" borderId="3" xfId="0" applyFont="1" applyFill="1" applyBorder="1" applyAlignment="1">
      <alignment horizontal="right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right" vertical="center" wrapText="1"/>
    </xf>
    <xf numFmtId="0" fontId="3" fillId="4" borderId="12" xfId="0" applyFont="1" applyFill="1" applyBorder="1" applyAlignment="1">
      <alignment horizontal="right"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vertical="center"/>
    </xf>
    <xf numFmtId="22" fontId="9" fillId="7" borderId="13" xfId="0" applyNumberFormat="1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21" fillId="6" borderId="12" xfId="0" applyFont="1" applyFill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0" fillId="5" borderId="13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left" vertical="center" wrapText="1"/>
    </xf>
    <xf numFmtId="0" fontId="16" fillId="6" borderId="12" xfId="0" applyFont="1" applyFill="1" applyBorder="1" applyAlignment="1">
      <alignment horizontal="left" vertical="center" wrapText="1"/>
    </xf>
    <xf numFmtId="0" fontId="10" fillId="6" borderId="12" xfId="0" applyFont="1" applyFill="1" applyBorder="1" applyAlignment="1">
      <alignment horizontal="left" vertical="center"/>
    </xf>
    <xf numFmtId="0" fontId="15" fillId="2" borderId="12" xfId="0" applyFont="1" applyFill="1" applyBorder="1" applyAlignment="1">
      <alignment horizontal="left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left" vertical="center" wrapText="1"/>
    </xf>
    <xf numFmtId="0" fontId="15" fillId="5" borderId="12" xfId="0" applyFont="1" applyFill="1" applyBorder="1" applyAlignment="1">
      <alignment horizontal="left" vertical="center" wrapText="1"/>
    </xf>
    <xf numFmtId="0" fontId="20" fillId="3" borderId="14" xfId="0" applyFont="1" applyFill="1" applyBorder="1" applyAlignment="1">
      <alignment horizontal="center" vertical="center"/>
    </xf>
    <xf numFmtId="0" fontId="5" fillId="7" borderId="6" xfId="0" applyFont="1" applyFill="1" applyBorder="1" applyAlignment="1" quotePrefix="1">
      <alignment horizontal="center" vertical="center" wrapText="1"/>
    </xf>
    <xf numFmtId="0" fontId="5" fillId="6" borderId="0" xfId="0" applyFont="1" applyFill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55"/>
  <sheetViews>
    <sheetView tabSelected="1" topLeftCell="A10" workbookViewId="0">
      <selection activeCell="S20" sqref="S20"/>
    </sheetView>
  </sheetViews>
  <sheetFormatPr defaultColWidth="9" defaultRowHeight="13.5"/>
  <cols>
    <col min="2" max="17" width="9.625" style="1" customWidth="1"/>
    <col min="18" max="40" width="9" style="2"/>
  </cols>
  <sheetData>
    <row r="1" ht="24" customHeight="1" spans="2:17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25" customHeight="1" spans="2:17"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84" t="s">
        <v>2</v>
      </c>
      <c r="P2" s="84"/>
      <c r="Q2" s="103"/>
    </row>
    <row r="3" ht="20" customHeight="1" spans="2:17">
      <c r="B3" s="6" t="s">
        <v>3</v>
      </c>
      <c r="C3" s="7"/>
      <c r="D3" s="7"/>
      <c r="E3" s="8" t="s">
        <v>4</v>
      </c>
      <c r="F3" s="8"/>
      <c r="G3" s="9" t="s">
        <v>5</v>
      </c>
      <c r="H3" s="9"/>
      <c r="I3" s="85"/>
      <c r="J3" s="85" t="s">
        <v>4</v>
      </c>
      <c r="K3" s="85"/>
      <c r="L3" s="85"/>
      <c r="M3" s="85"/>
      <c r="N3" s="85"/>
      <c r="O3" s="86" t="s">
        <v>6</v>
      </c>
      <c r="P3" s="86"/>
      <c r="Q3" s="104"/>
    </row>
    <row r="4" ht="21" customHeight="1" spans="2:17">
      <c r="B4" s="10" t="s">
        <v>7</v>
      </c>
      <c r="C4" s="11"/>
      <c r="D4" s="11"/>
      <c r="E4" s="12" t="s">
        <v>8</v>
      </c>
      <c r="F4" s="12"/>
      <c r="G4" s="12"/>
      <c r="H4" s="12"/>
      <c r="I4" s="12"/>
      <c r="J4" s="12"/>
      <c r="K4" s="87" t="s">
        <v>9</v>
      </c>
      <c r="L4" s="87"/>
      <c r="M4" s="87"/>
      <c r="N4" s="87"/>
      <c r="O4" s="87"/>
      <c r="P4" s="88"/>
      <c r="Q4" s="105"/>
    </row>
    <row r="5" ht="15" customHeight="1" spans="2:17">
      <c r="B5" s="13" t="s">
        <v>10</v>
      </c>
      <c r="C5" s="14"/>
      <c r="D5" s="14" t="s">
        <v>11</v>
      </c>
      <c r="E5" s="14"/>
      <c r="F5" s="14"/>
      <c r="G5" s="14"/>
      <c r="H5" s="14"/>
      <c r="I5" s="14" t="s">
        <v>12</v>
      </c>
      <c r="J5" s="14"/>
      <c r="K5" s="14"/>
      <c r="L5" s="14" t="s">
        <v>13</v>
      </c>
      <c r="M5" s="14"/>
      <c r="N5" s="14"/>
      <c r="O5" s="14"/>
      <c r="P5" s="14"/>
      <c r="Q5" s="106"/>
    </row>
    <row r="6" ht="10" customHeight="1" spans="2:17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ht="18" customHeight="1" spans="2:17">
      <c r="B7" s="16" t="s">
        <v>14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ht="18" customHeight="1" spans="2:17">
      <c r="B8" s="17" t="s">
        <v>15</v>
      </c>
      <c r="C8" s="18" t="s">
        <v>16</v>
      </c>
      <c r="D8" s="18"/>
      <c r="E8" s="18" t="s">
        <v>17</v>
      </c>
      <c r="F8" s="19"/>
      <c r="G8" s="18" t="s">
        <v>18</v>
      </c>
      <c r="H8" s="18"/>
      <c r="I8" s="18" t="s">
        <v>19</v>
      </c>
      <c r="J8" s="18"/>
      <c r="K8" s="18" t="s">
        <v>20</v>
      </c>
      <c r="L8" s="18"/>
      <c r="M8" s="18" t="s">
        <v>21</v>
      </c>
      <c r="N8" s="18"/>
      <c r="O8" s="18"/>
      <c r="P8" s="18"/>
      <c r="Q8" s="107"/>
    </row>
    <row r="9" ht="20" customHeight="1" spans="2:17">
      <c r="B9" s="20"/>
      <c r="C9" s="21" t="s">
        <v>22</v>
      </c>
      <c r="D9" s="21"/>
      <c r="E9" s="132" t="s">
        <v>23</v>
      </c>
      <c r="F9" s="23"/>
      <c r="G9" s="22" t="s">
        <v>24</v>
      </c>
      <c r="H9" s="22"/>
      <c r="I9" s="22" t="s">
        <v>25</v>
      </c>
      <c r="J9" s="22"/>
      <c r="K9" s="22" t="s">
        <v>26</v>
      </c>
      <c r="L9" s="22"/>
      <c r="M9" s="22" t="s">
        <v>27</v>
      </c>
      <c r="N9" s="22"/>
      <c r="O9" s="22"/>
      <c r="P9" s="22"/>
      <c r="Q9" s="108"/>
    </row>
    <row r="10" ht="10" customHeight="1" spans="2:17"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109"/>
    </row>
    <row r="11" ht="18" customHeight="1" spans="2:17">
      <c r="B11" s="17" t="s">
        <v>28</v>
      </c>
      <c r="C11" s="18" t="s">
        <v>16</v>
      </c>
      <c r="D11" s="18"/>
      <c r="E11" s="18" t="s">
        <v>17</v>
      </c>
      <c r="F11" s="19"/>
      <c r="G11" s="18" t="s">
        <v>18</v>
      </c>
      <c r="H11" s="18"/>
      <c r="I11" s="18" t="s">
        <v>19</v>
      </c>
      <c r="J11" s="18"/>
      <c r="K11" s="18" t="s">
        <v>20</v>
      </c>
      <c r="L11" s="18"/>
      <c r="M11" s="18" t="s">
        <v>21</v>
      </c>
      <c r="N11" s="18"/>
      <c r="O11" s="18"/>
      <c r="P11" s="18"/>
      <c r="Q11" s="107"/>
    </row>
    <row r="12" ht="20" customHeight="1" spans="2:17">
      <c r="B12" s="20"/>
      <c r="C12" s="21" t="s">
        <v>22</v>
      </c>
      <c r="D12" s="21"/>
      <c r="E12" s="132" t="s">
        <v>23</v>
      </c>
      <c r="F12" s="23"/>
      <c r="G12" s="22" t="s">
        <v>29</v>
      </c>
      <c r="H12" s="22"/>
      <c r="I12" s="22" t="s">
        <v>30</v>
      </c>
      <c r="J12" s="22"/>
      <c r="K12" s="22" t="s">
        <v>30</v>
      </c>
      <c r="L12" s="22"/>
      <c r="M12" s="22" t="s">
        <v>31</v>
      </c>
      <c r="N12" s="22"/>
      <c r="O12" s="22"/>
      <c r="P12" s="22"/>
      <c r="Q12" s="108"/>
    </row>
    <row r="13" ht="10" customHeight="1" spans="2:17">
      <c r="B13" s="26"/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110"/>
    </row>
    <row r="14" ht="18" customHeight="1" spans="2:17">
      <c r="B14" s="29" t="s">
        <v>32</v>
      </c>
      <c r="C14" s="30"/>
      <c r="D14" s="31" t="s">
        <v>33</v>
      </c>
      <c r="E14" s="32"/>
      <c r="F14" s="31" t="s">
        <v>34</v>
      </c>
      <c r="G14" s="32"/>
      <c r="H14" s="31" t="s">
        <v>35</v>
      </c>
      <c r="I14" s="31"/>
      <c r="J14" s="31" t="s">
        <v>36</v>
      </c>
      <c r="K14" s="31"/>
      <c r="L14" s="31" t="s">
        <v>37</v>
      </c>
      <c r="M14" s="32"/>
      <c r="N14" s="31" t="s">
        <v>38</v>
      </c>
      <c r="O14" s="31"/>
      <c r="P14" s="89" t="s">
        <v>39</v>
      </c>
      <c r="Q14" s="111"/>
    </row>
    <row r="15" ht="20" customHeight="1" spans="2:17">
      <c r="B15" s="33" t="s">
        <v>40</v>
      </c>
      <c r="C15" s="34"/>
      <c r="D15" s="35">
        <v>43762.6325925926</v>
      </c>
      <c r="E15" s="36"/>
      <c r="F15" s="35">
        <v>43762.6325925926</v>
      </c>
      <c r="G15" s="36"/>
      <c r="H15" s="35">
        <v>43762.6325925926</v>
      </c>
      <c r="I15" s="35"/>
      <c r="J15" s="35">
        <v>43764.6620833333</v>
      </c>
      <c r="K15" s="35"/>
      <c r="L15" s="90">
        <v>43762.6325925926</v>
      </c>
      <c r="M15" s="91"/>
      <c r="N15" s="90">
        <v>43762.6325925926</v>
      </c>
      <c r="O15" s="90"/>
      <c r="P15" s="90">
        <v>43762.6325925926</v>
      </c>
      <c r="Q15" s="112"/>
    </row>
    <row r="16" ht="10" customHeight="1" spans="2:17">
      <c r="B16" s="37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113"/>
    </row>
    <row r="17" ht="18" customHeight="1" spans="2:17">
      <c r="B17" s="29" t="s">
        <v>41</v>
      </c>
      <c r="C17" s="30"/>
      <c r="D17" s="31" t="s">
        <v>42</v>
      </c>
      <c r="E17" s="32"/>
      <c r="F17" s="31" t="s">
        <v>37</v>
      </c>
      <c r="G17" s="32"/>
      <c r="H17" s="31" t="s">
        <v>38</v>
      </c>
      <c r="I17" s="31"/>
      <c r="J17" s="31" t="s">
        <v>43</v>
      </c>
      <c r="K17" s="31"/>
      <c r="L17" s="31" t="s">
        <v>44</v>
      </c>
      <c r="M17" s="31"/>
      <c r="N17" s="31" t="s">
        <v>35</v>
      </c>
      <c r="O17" s="31"/>
      <c r="P17" s="89" t="s">
        <v>45</v>
      </c>
      <c r="Q17" s="114"/>
    </row>
    <row r="18" ht="20" customHeight="1" spans="2:17">
      <c r="B18" s="33" t="s">
        <v>46</v>
      </c>
      <c r="C18" s="34"/>
      <c r="D18" s="35">
        <v>43762.6325925926</v>
      </c>
      <c r="E18" s="36"/>
      <c r="F18" s="35">
        <v>43762.6325925926</v>
      </c>
      <c r="G18" s="36"/>
      <c r="H18" s="35">
        <v>43762.6325925926</v>
      </c>
      <c r="I18" s="35"/>
      <c r="J18" s="35">
        <v>43764.6620833333</v>
      </c>
      <c r="K18" s="35"/>
      <c r="L18" s="90">
        <v>43762.6325925926</v>
      </c>
      <c r="M18" s="91"/>
      <c r="N18" s="90">
        <v>43762.6325925926</v>
      </c>
      <c r="O18" s="90"/>
      <c r="P18" s="90">
        <v>43762.6325925926</v>
      </c>
      <c r="Q18" s="112"/>
    </row>
    <row r="19" ht="10" customHeight="1" spans="2:17">
      <c r="B19" s="39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115"/>
    </row>
    <row r="20" ht="15" customHeight="1" spans="2:17">
      <c r="B20" s="41" t="s">
        <v>47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116"/>
    </row>
    <row r="21" ht="22" customHeight="1" spans="2:17">
      <c r="B21" s="29" t="s">
        <v>48</v>
      </c>
      <c r="C21" s="30"/>
      <c r="D21" s="30"/>
      <c r="E21" s="30" t="s">
        <v>49</v>
      </c>
      <c r="F21" s="30" t="s">
        <v>50</v>
      </c>
      <c r="G21" s="30"/>
      <c r="H21" s="30" t="s">
        <v>51</v>
      </c>
      <c r="I21" s="30"/>
      <c r="J21" s="30" t="s">
        <v>52</v>
      </c>
      <c r="K21" s="30" t="s">
        <v>53</v>
      </c>
      <c r="L21" s="30"/>
      <c r="M21" s="30" t="s">
        <v>54</v>
      </c>
      <c r="N21" s="30" t="s">
        <v>55</v>
      </c>
      <c r="O21" s="30" t="s">
        <v>56</v>
      </c>
      <c r="P21" s="30" t="s">
        <v>57</v>
      </c>
      <c r="Q21" s="117"/>
    </row>
    <row r="22" ht="20" customHeight="1" spans="2:17">
      <c r="B22" s="43" t="s">
        <v>58</v>
      </c>
      <c r="C22" s="44"/>
      <c r="D22" s="44"/>
      <c r="E22" s="45" t="s">
        <v>59</v>
      </c>
      <c r="F22" s="46">
        <v>43756.8541666667</v>
      </c>
      <c r="G22" s="46"/>
      <c r="H22" s="47" t="s">
        <v>60</v>
      </c>
      <c r="I22" s="47"/>
      <c r="J22" s="45" t="s">
        <v>61</v>
      </c>
      <c r="K22" s="45" t="s">
        <v>62</v>
      </c>
      <c r="L22" s="45"/>
      <c r="M22" s="45">
        <v>1</v>
      </c>
      <c r="N22" s="45">
        <v>1</v>
      </c>
      <c r="O22" s="45">
        <v>60</v>
      </c>
      <c r="P22" s="92" t="s">
        <v>63</v>
      </c>
      <c r="Q22" s="118"/>
    </row>
    <row r="23" ht="20" customHeight="1" spans="2:17">
      <c r="B23" s="43" t="s">
        <v>64</v>
      </c>
      <c r="C23" s="44"/>
      <c r="D23" s="44"/>
      <c r="E23" s="45" t="s">
        <v>59</v>
      </c>
      <c r="F23" s="46">
        <v>43756.8541666667</v>
      </c>
      <c r="G23" s="46"/>
      <c r="H23" s="47" t="s">
        <v>65</v>
      </c>
      <c r="I23" s="47"/>
      <c r="J23" s="45" t="s">
        <v>61</v>
      </c>
      <c r="K23" s="45" t="s">
        <v>62</v>
      </c>
      <c r="L23" s="45"/>
      <c r="M23" s="45">
        <v>1</v>
      </c>
      <c r="N23" s="45">
        <v>1</v>
      </c>
      <c r="O23" s="45">
        <v>50</v>
      </c>
      <c r="P23" s="92"/>
      <c r="Q23" s="118"/>
    </row>
    <row r="24" ht="20" customHeight="1" spans="2:17">
      <c r="B24" s="48" t="s">
        <v>66</v>
      </c>
      <c r="C24" s="49"/>
      <c r="D24" s="49"/>
      <c r="E24" s="50" t="s">
        <v>59</v>
      </c>
      <c r="F24" s="51">
        <v>43756.8541666667</v>
      </c>
      <c r="G24" s="51"/>
      <c r="H24" s="52" t="s">
        <v>67</v>
      </c>
      <c r="I24" s="52"/>
      <c r="J24" s="50" t="s">
        <v>61</v>
      </c>
      <c r="K24" s="50" t="s">
        <v>62</v>
      </c>
      <c r="L24" s="50"/>
      <c r="M24" s="50">
        <v>1</v>
      </c>
      <c r="N24" s="50">
        <v>1</v>
      </c>
      <c r="O24" s="50">
        <v>12</v>
      </c>
      <c r="P24" s="93"/>
      <c r="Q24" s="119"/>
    </row>
    <row r="25" ht="20" customHeight="1" spans="2:17">
      <c r="B25" s="43" t="s">
        <v>68</v>
      </c>
      <c r="C25" s="44"/>
      <c r="D25" s="44"/>
      <c r="E25" s="45" t="s">
        <v>69</v>
      </c>
      <c r="F25" s="46">
        <v>43756.8541666667</v>
      </c>
      <c r="G25" s="46"/>
      <c r="H25" s="47" t="s">
        <v>70</v>
      </c>
      <c r="I25" s="47"/>
      <c r="J25" s="45" t="s">
        <v>61</v>
      </c>
      <c r="K25" s="45" t="s">
        <v>62</v>
      </c>
      <c r="L25" s="45"/>
      <c r="M25" s="45">
        <v>1</v>
      </c>
      <c r="N25" s="45">
        <v>1</v>
      </c>
      <c r="O25" s="45">
        <v>23</v>
      </c>
      <c r="P25" s="92"/>
      <c r="Q25" s="118"/>
    </row>
    <row r="26" ht="20" customHeight="1" spans="2:17">
      <c r="B26" s="43" t="s">
        <v>71</v>
      </c>
      <c r="C26" s="44"/>
      <c r="D26" s="44"/>
      <c r="E26" s="45" t="s">
        <v>72</v>
      </c>
      <c r="F26" s="45" t="s">
        <v>73</v>
      </c>
      <c r="G26" s="45"/>
      <c r="H26" s="47" t="s">
        <v>74</v>
      </c>
      <c r="I26" s="47"/>
      <c r="J26" s="45" t="s">
        <v>61</v>
      </c>
      <c r="K26" s="45" t="s">
        <v>62</v>
      </c>
      <c r="L26" s="45"/>
      <c r="M26" s="45">
        <v>1</v>
      </c>
      <c r="N26" s="45">
        <v>1</v>
      </c>
      <c r="O26" s="45">
        <v>45</v>
      </c>
      <c r="P26" s="92"/>
      <c r="Q26" s="118"/>
    </row>
    <row r="27" ht="20" customHeight="1" spans="2:17">
      <c r="B27" s="53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>
        <f>SUM(M22:M26)</f>
        <v>5</v>
      </c>
      <c r="N27" s="54">
        <f>SUM(N22:N26)</f>
        <v>5</v>
      </c>
      <c r="O27" s="94">
        <f>SUM(O22:O26)</f>
        <v>190</v>
      </c>
      <c r="P27" s="95"/>
      <c r="Q27" s="120"/>
    </row>
    <row r="28" ht="10" customHeight="1" spans="2:17">
      <c r="B28" s="55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121"/>
    </row>
    <row r="29" ht="15" customHeight="1" spans="2:17">
      <c r="B29" s="41" t="s">
        <v>75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116"/>
    </row>
    <row r="30" ht="22" customHeight="1" spans="2:17">
      <c r="B30" s="29" t="s">
        <v>48</v>
      </c>
      <c r="C30" s="30"/>
      <c r="D30" s="30"/>
      <c r="E30" s="30" t="s">
        <v>76</v>
      </c>
      <c r="F30" s="30"/>
      <c r="G30" s="30" t="s">
        <v>77</v>
      </c>
      <c r="H30" s="30" t="s">
        <v>51</v>
      </c>
      <c r="I30" s="30"/>
      <c r="J30" s="30" t="s">
        <v>78</v>
      </c>
      <c r="K30" s="30"/>
      <c r="L30" s="30" t="s">
        <v>55</v>
      </c>
      <c r="M30" s="30" t="s">
        <v>79</v>
      </c>
      <c r="N30" s="30" t="s">
        <v>80</v>
      </c>
      <c r="O30" s="30" t="s">
        <v>81</v>
      </c>
      <c r="P30" s="30" t="s">
        <v>57</v>
      </c>
      <c r="Q30" s="117"/>
    </row>
    <row r="31" ht="20" customHeight="1" spans="2:17">
      <c r="B31" s="57" t="s">
        <v>58</v>
      </c>
      <c r="C31" s="58"/>
      <c r="D31" s="58"/>
      <c r="E31" s="133" t="s">
        <v>82</v>
      </c>
      <c r="F31" s="59"/>
      <c r="G31" s="60" t="s">
        <v>83</v>
      </c>
      <c r="H31" s="47" t="s">
        <v>60</v>
      </c>
      <c r="I31" s="47"/>
      <c r="J31" s="44" t="s">
        <v>84</v>
      </c>
      <c r="K31" s="44"/>
      <c r="L31" s="44">
        <v>1</v>
      </c>
      <c r="M31" s="44">
        <v>0.0086</v>
      </c>
      <c r="N31" s="44">
        <v>1.43</v>
      </c>
      <c r="O31" s="44">
        <v>0.36</v>
      </c>
      <c r="P31" s="96"/>
      <c r="Q31" s="122"/>
    </row>
    <row r="32" ht="20" customHeight="1" spans="2:17">
      <c r="B32" s="43" t="s">
        <v>64</v>
      </c>
      <c r="C32" s="44"/>
      <c r="D32" s="44"/>
      <c r="E32" s="133" t="s">
        <v>85</v>
      </c>
      <c r="F32" s="59"/>
      <c r="G32" s="60" t="s">
        <v>86</v>
      </c>
      <c r="H32" s="47" t="s">
        <v>65</v>
      </c>
      <c r="I32" s="47"/>
      <c r="J32" s="44" t="s">
        <v>87</v>
      </c>
      <c r="K32" s="44"/>
      <c r="L32" s="44">
        <v>1</v>
      </c>
      <c r="M32" s="44">
        <v>0.0019</v>
      </c>
      <c r="N32" s="44">
        <v>0.32</v>
      </c>
      <c r="O32" s="44">
        <v>0.12</v>
      </c>
      <c r="P32" s="96"/>
      <c r="Q32" s="122"/>
    </row>
    <row r="33" ht="20" customHeight="1" spans="2:17">
      <c r="B33" s="43" t="s">
        <v>66</v>
      </c>
      <c r="C33" s="44"/>
      <c r="D33" s="44"/>
      <c r="E33" s="133" t="s">
        <v>88</v>
      </c>
      <c r="F33" s="59"/>
      <c r="G33" s="60" t="s">
        <v>89</v>
      </c>
      <c r="H33" s="47" t="s">
        <v>67</v>
      </c>
      <c r="I33" s="47"/>
      <c r="J33" s="44" t="s">
        <v>90</v>
      </c>
      <c r="K33" s="44"/>
      <c r="L33" s="44">
        <v>1</v>
      </c>
      <c r="M33" s="44">
        <v>0.0052</v>
      </c>
      <c r="N33" s="44">
        <v>0.87</v>
      </c>
      <c r="O33" s="44">
        <v>0.7</v>
      </c>
      <c r="P33" s="96"/>
      <c r="Q33" s="122"/>
    </row>
    <row r="34" ht="20" customHeight="1" spans="2:17">
      <c r="B34" s="43" t="s">
        <v>68</v>
      </c>
      <c r="C34" s="44"/>
      <c r="D34" s="44"/>
      <c r="E34" s="133" t="s">
        <v>91</v>
      </c>
      <c r="F34" s="59"/>
      <c r="G34" s="60" t="s">
        <v>83</v>
      </c>
      <c r="H34" s="47" t="s">
        <v>70</v>
      </c>
      <c r="I34" s="47"/>
      <c r="J34" s="44" t="s">
        <v>92</v>
      </c>
      <c r="K34" s="44"/>
      <c r="L34" s="44">
        <v>1</v>
      </c>
      <c r="M34" s="44">
        <v>0.0245</v>
      </c>
      <c r="N34" s="44">
        <v>4.08</v>
      </c>
      <c r="O34" s="44">
        <v>3.62</v>
      </c>
      <c r="P34" s="96"/>
      <c r="Q34" s="122"/>
    </row>
    <row r="35" ht="20" customHeight="1" spans="2:17">
      <c r="B35" s="61"/>
      <c r="C35" s="62"/>
      <c r="D35" s="62"/>
      <c r="E35" s="62"/>
      <c r="F35" s="62"/>
      <c r="G35" s="62"/>
      <c r="H35" s="62"/>
      <c r="I35" s="62"/>
      <c r="J35" s="62"/>
      <c r="K35" s="62"/>
      <c r="L35" s="62">
        <f>SUM(L31:L34)</f>
        <v>4</v>
      </c>
      <c r="M35" s="97">
        <v>0.057</v>
      </c>
      <c r="N35" s="62">
        <v>9.5</v>
      </c>
      <c r="O35" s="62">
        <v>8.2</v>
      </c>
      <c r="P35" s="98"/>
      <c r="Q35" s="123"/>
    </row>
    <row r="36" ht="10" customHeight="1" spans="2:17">
      <c r="B36" s="55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121"/>
    </row>
    <row r="37" ht="20" customHeight="1" spans="2:17">
      <c r="B37" s="63" t="s">
        <v>93</v>
      </c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124"/>
    </row>
    <row r="38" ht="20" customHeight="1" spans="2:17">
      <c r="B38" s="65" t="s">
        <v>94</v>
      </c>
      <c r="C38" s="66"/>
      <c r="D38" s="66"/>
      <c r="E38" s="66" t="s">
        <v>95</v>
      </c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125"/>
    </row>
    <row r="39" ht="20" customHeight="1" spans="2:17">
      <c r="B39" s="65" t="s">
        <v>96</v>
      </c>
      <c r="C39" s="66"/>
      <c r="D39" s="66"/>
      <c r="E39" s="66" t="s">
        <v>97</v>
      </c>
      <c r="F39" s="66"/>
      <c r="G39" s="66"/>
      <c r="H39" s="67"/>
      <c r="I39" s="67"/>
      <c r="J39" s="67"/>
      <c r="K39" s="67"/>
      <c r="L39" s="67"/>
      <c r="M39" s="67"/>
      <c r="N39" s="67"/>
      <c r="O39" s="67"/>
      <c r="P39" s="67"/>
      <c r="Q39" s="126"/>
    </row>
    <row r="40" ht="20" customHeight="1" spans="2:17">
      <c r="B40" s="65" t="s">
        <v>98</v>
      </c>
      <c r="C40" s="66"/>
      <c r="D40" s="66"/>
      <c r="E40" s="66" t="s">
        <v>99</v>
      </c>
      <c r="F40" s="66"/>
      <c r="G40" s="66"/>
      <c r="H40" s="66" t="s">
        <v>100</v>
      </c>
      <c r="I40" s="66"/>
      <c r="J40" s="66"/>
      <c r="K40" s="66" t="s">
        <v>101</v>
      </c>
      <c r="L40" s="66"/>
      <c r="M40" s="66"/>
      <c r="N40" s="66"/>
      <c r="O40" s="66"/>
      <c r="P40" s="66"/>
      <c r="Q40" s="125"/>
    </row>
    <row r="41" ht="20" customHeight="1" spans="2:17">
      <c r="B41" s="68" t="s">
        <v>102</v>
      </c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127"/>
    </row>
    <row r="42" ht="20" customHeight="1" spans="2:17">
      <c r="B42" s="65" t="s">
        <v>103</v>
      </c>
      <c r="C42" s="66"/>
      <c r="D42" s="66"/>
      <c r="E42" s="66" t="s">
        <v>104</v>
      </c>
      <c r="F42" s="66"/>
      <c r="G42" s="66"/>
      <c r="H42" s="66"/>
      <c r="I42" s="66"/>
      <c r="J42" s="67"/>
      <c r="K42" s="67"/>
      <c r="L42" s="67"/>
      <c r="M42" s="67"/>
      <c r="N42" s="67"/>
      <c r="O42" s="67"/>
      <c r="P42" s="67"/>
      <c r="Q42" s="126"/>
    </row>
    <row r="43" ht="20" customHeight="1" spans="2:17">
      <c r="B43" s="70" t="s">
        <v>105</v>
      </c>
      <c r="C43" s="71"/>
      <c r="D43" s="71"/>
      <c r="E43" s="72" t="s">
        <v>106</v>
      </c>
      <c r="F43" s="72"/>
      <c r="G43" s="72"/>
      <c r="H43" s="66" t="s">
        <v>107</v>
      </c>
      <c r="I43" s="66"/>
      <c r="J43" s="66"/>
      <c r="K43" s="67" t="s">
        <v>108</v>
      </c>
      <c r="L43" s="66"/>
      <c r="M43" s="66"/>
      <c r="N43" s="99" t="s">
        <v>109</v>
      </c>
      <c r="O43" s="99"/>
      <c r="P43" s="99"/>
      <c r="Q43" s="125"/>
    </row>
    <row r="44" ht="20" customHeight="1" spans="2:17">
      <c r="B44" s="65" t="s">
        <v>110</v>
      </c>
      <c r="C44" s="66"/>
      <c r="D44" s="66"/>
      <c r="E44" s="66" t="s">
        <v>111</v>
      </c>
      <c r="F44" s="66"/>
      <c r="G44" s="66"/>
      <c r="H44" s="66" t="s">
        <v>112</v>
      </c>
      <c r="I44" s="66"/>
      <c r="J44" s="66"/>
      <c r="K44" s="99" t="s">
        <v>113</v>
      </c>
      <c r="L44" s="99"/>
      <c r="M44" s="99"/>
      <c r="N44" s="67"/>
      <c r="O44" s="66"/>
      <c r="P44" s="67"/>
      <c r="Q44" s="126"/>
    </row>
    <row r="45" ht="20" customHeight="1" spans="2:17">
      <c r="B45" s="73" t="s">
        <v>114</v>
      </c>
      <c r="C45" s="74"/>
      <c r="D45" s="74"/>
      <c r="E45" s="74"/>
      <c r="F45" s="75"/>
      <c r="G45" s="75"/>
      <c r="H45" s="75"/>
      <c r="I45" s="75"/>
      <c r="J45" s="75"/>
      <c r="K45" s="75"/>
      <c r="L45" s="100" t="s">
        <v>115</v>
      </c>
      <c r="M45" s="100"/>
      <c r="N45" s="100"/>
      <c r="O45" s="101" t="s">
        <v>116</v>
      </c>
      <c r="P45" s="101"/>
      <c r="Q45" s="128"/>
    </row>
    <row r="46" ht="20" customHeight="1" spans="2:17">
      <c r="B46" s="76" t="s">
        <v>117</v>
      </c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129"/>
    </row>
    <row r="47" ht="20" customHeight="1" spans="2:17">
      <c r="B47" s="78" t="s">
        <v>93</v>
      </c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130"/>
    </row>
    <row r="48" ht="20" customHeight="1" spans="2:17">
      <c r="B48" s="65" t="s">
        <v>94</v>
      </c>
      <c r="C48" s="66"/>
      <c r="D48" s="66"/>
      <c r="E48" s="66" t="s">
        <v>118</v>
      </c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125"/>
    </row>
    <row r="49" ht="20" customHeight="1" spans="2:17">
      <c r="B49" s="65" t="s">
        <v>96</v>
      </c>
      <c r="C49" s="66"/>
      <c r="D49" s="66"/>
      <c r="E49" s="66" t="s">
        <v>119</v>
      </c>
      <c r="F49" s="66"/>
      <c r="G49" s="66"/>
      <c r="H49" s="67"/>
      <c r="I49" s="67"/>
      <c r="J49" s="67"/>
      <c r="K49" s="67"/>
      <c r="L49" s="67"/>
      <c r="M49" s="67"/>
      <c r="N49" s="67"/>
      <c r="O49" s="67"/>
      <c r="P49" s="67"/>
      <c r="Q49" s="126"/>
    </row>
    <row r="50" ht="20" customHeight="1" spans="2:17">
      <c r="B50" s="65" t="s">
        <v>98</v>
      </c>
      <c r="C50" s="66"/>
      <c r="D50" s="66"/>
      <c r="E50" s="66" t="s">
        <v>120</v>
      </c>
      <c r="F50" s="66"/>
      <c r="G50" s="66"/>
      <c r="H50" s="66" t="s">
        <v>121</v>
      </c>
      <c r="I50" s="66"/>
      <c r="J50" s="66"/>
      <c r="K50" s="66" t="s">
        <v>122</v>
      </c>
      <c r="L50" s="66"/>
      <c r="M50" s="66"/>
      <c r="N50" s="66"/>
      <c r="O50" s="66"/>
      <c r="P50" s="66"/>
      <c r="Q50" s="125"/>
    </row>
    <row r="51" ht="20" customHeight="1" spans="2:17">
      <c r="B51" s="68" t="s">
        <v>102</v>
      </c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127"/>
    </row>
    <row r="52" ht="20" customHeight="1" spans="2:17">
      <c r="B52" s="65" t="s">
        <v>123</v>
      </c>
      <c r="C52" s="66"/>
      <c r="D52" s="66"/>
      <c r="E52" s="66" t="s">
        <v>124</v>
      </c>
      <c r="F52" s="66"/>
      <c r="G52" s="66"/>
      <c r="H52" s="66"/>
      <c r="I52" s="66"/>
      <c r="J52" s="67"/>
      <c r="K52" s="67"/>
      <c r="L52" s="67"/>
      <c r="M52" s="67"/>
      <c r="N52" s="67"/>
      <c r="O52" s="67"/>
      <c r="P52" s="67"/>
      <c r="Q52" s="126"/>
    </row>
    <row r="53" ht="20" customHeight="1" spans="2:17">
      <c r="B53" s="70" t="s">
        <v>125</v>
      </c>
      <c r="C53" s="71"/>
      <c r="D53" s="71"/>
      <c r="E53" s="80"/>
      <c r="F53" s="80"/>
      <c r="G53" s="80"/>
      <c r="H53" s="66"/>
      <c r="I53" s="66"/>
      <c r="J53" s="66"/>
      <c r="K53" s="67" t="s">
        <v>108</v>
      </c>
      <c r="L53" s="66"/>
      <c r="M53" s="66"/>
      <c r="N53" s="99" t="s">
        <v>109</v>
      </c>
      <c r="O53" s="99"/>
      <c r="P53" s="99"/>
      <c r="Q53" s="125"/>
    </row>
    <row r="54" ht="20" customHeight="1" spans="2:17">
      <c r="B54" s="65"/>
      <c r="C54" s="66"/>
      <c r="D54" s="66"/>
      <c r="E54" s="66" t="s">
        <v>126</v>
      </c>
      <c r="F54" s="66"/>
      <c r="G54" s="66"/>
      <c r="H54" s="66" t="s">
        <v>127</v>
      </c>
      <c r="I54" s="66"/>
      <c r="J54" s="66"/>
      <c r="K54" s="66" t="s">
        <v>113</v>
      </c>
      <c r="L54" s="66"/>
      <c r="M54" s="66"/>
      <c r="N54" s="66"/>
      <c r="O54" s="66"/>
      <c r="P54" s="67"/>
      <c r="Q54" s="126"/>
    </row>
    <row r="55" ht="24" customHeight="1" spans="2:17">
      <c r="B55" s="81"/>
      <c r="C55" s="82"/>
      <c r="D55" s="82"/>
      <c r="E55" s="82"/>
      <c r="F55" s="82"/>
      <c r="G55" s="82"/>
      <c r="H55" s="83"/>
      <c r="I55" s="102" t="s">
        <v>128</v>
      </c>
      <c r="J55" s="102" t="s">
        <v>129</v>
      </c>
      <c r="K55" s="82"/>
      <c r="L55" s="82"/>
      <c r="M55" s="82"/>
      <c r="N55" s="82"/>
      <c r="O55" s="82"/>
      <c r="P55" s="82"/>
      <c r="Q55" s="131"/>
    </row>
  </sheetData>
  <mergeCells count="193">
    <mergeCell ref="B1:Q1"/>
    <mergeCell ref="B2:N2"/>
    <mergeCell ref="O2:Q2"/>
    <mergeCell ref="B3:D3"/>
    <mergeCell ref="G3:H3"/>
    <mergeCell ref="O3:Q3"/>
    <mergeCell ref="B4:D4"/>
    <mergeCell ref="E4:J4"/>
    <mergeCell ref="K4:O4"/>
    <mergeCell ref="B5:C5"/>
    <mergeCell ref="D5:H5"/>
    <mergeCell ref="I5:K5"/>
    <mergeCell ref="L5:Q5"/>
    <mergeCell ref="B6:Q6"/>
    <mergeCell ref="B7:Q7"/>
    <mergeCell ref="C8:D8"/>
    <mergeCell ref="E8:F8"/>
    <mergeCell ref="G8:H8"/>
    <mergeCell ref="I8:J8"/>
    <mergeCell ref="K8:L8"/>
    <mergeCell ref="M8:Q8"/>
    <mergeCell ref="C9:D9"/>
    <mergeCell ref="E9:F9"/>
    <mergeCell ref="G9:H9"/>
    <mergeCell ref="I9:J9"/>
    <mergeCell ref="K9:L9"/>
    <mergeCell ref="M9:Q9"/>
    <mergeCell ref="B10:Q10"/>
    <mergeCell ref="C11:D11"/>
    <mergeCell ref="E11:F11"/>
    <mergeCell ref="G11:H11"/>
    <mergeCell ref="I11:J11"/>
    <mergeCell ref="K11:L11"/>
    <mergeCell ref="M11:Q11"/>
    <mergeCell ref="C12:D12"/>
    <mergeCell ref="E12:F12"/>
    <mergeCell ref="G12:H12"/>
    <mergeCell ref="I12:J12"/>
    <mergeCell ref="K12:L12"/>
    <mergeCell ref="M12:Q12"/>
    <mergeCell ref="B14:C14"/>
    <mergeCell ref="D14:E14"/>
    <mergeCell ref="F14:G14"/>
    <mergeCell ref="H14:I14"/>
    <mergeCell ref="J14:K14"/>
    <mergeCell ref="L14:M14"/>
    <mergeCell ref="N14:O14"/>
    <mergeCell ref="P14:Q14"/>
    <mergeCell ref="B15:C15"/>
    <mergeCell ref="D15:E15"/>
    <mergeCell ref="F15:G15"/>
    <mergeCell ref="H15:I15"/>
    <mergeCell ref="J15:K15"/>
    <mergeCell ref="L15:M15"/>
    <mergeCell ref="N15:O15"/>
    <mergeCell ref="P15:Q15"/>
    <mergeCell ref="B16:Q16"/>
    <mergeCell ref="B17:C17"/>
    <mergeCell ref="D17:E17"/>
    <mergeCell ref="F17:G17"/>
    <mergeCell ref="H17:I17"/>
    <mergeCell ref="J17:K17"/>
    <mergeCell ref="L17:M17"/>
    <mergeCell ref="N17:O17"/>
    <mergeCell ref="P17:Q17"/>
    <mergeCell ref="B18:C18"/>
    <mergeCell ref="D18:E18"/>
    <mergeCell ref="F18:G18"/>
    <mergeCell ref="H18:I18"/>
    <mergeCell ref="J18:K18"/>
    <mergeCell ref="L18:M18"/>
    <mergeCell ref="N18:O18"/>
    <mergeCell ref="P18:Q18"/>
    <mergeCell ref="B19:Q19"/>
    <mergeCell ref="B20:Q20"/>
    <mergeCell ref="B21:D21"/>
    <mergeCell ref="F21:G21"/>
    <mergeCell ref="H21:I21"/>
    <mergeCell ref="K21:L21"/>
    <mergeCell ref="P21:Q21"/>
    <mergeCell ref="B22:D22"/>
    <mergeCell ref="F22:G22"/>
    <mergeCell ref="H22:I22"/>
    <mergeCell ref="K22:L22"/>
    <mergeCell ref="P22:Q22"/>
    <mergeCell ref="B23:D23"/>
    <mergeCell ref="F23:G23"/>
    <mergeCell ref="H23:I23"/>
    <mergeCell ref="K23:L23"/>
    <mergeCell ref="P23:Q23"/>
    <mergeCell ref="B24:D24"/>
    <mergeCell ref="F24:G24"/>
    <mergeCell ref="H24:I24"/>
    <mergeCell ref="K24:L24"/>
    <mergeCell ref="P24:Q24"/>
    <mergeCell ref="B25:D25"/>
    <mergeCell ref="F25:G25"/>
    <mergeCell ref="H25:I25"/>
    <mergeCell ref="K25:L25"/>
    <mergeCell ref="P25:Q25"/>
    <mergeCell ref="B26:D26"/>
    <mergeCell ref="F26:G26"/>
    <mergeCell ref="H26:I26"/>
    <mergeCell ref="K26:L26"/>
    <mergeCell ref="P26:Q26"/>
    <mergeCell ref="B27:L27"/>
    <mergeCell ref="P27:Q27"/>
    <mergeCell ref="B28:Q28"/>
    <mergeCell ref="B29:Q29"/>
    <mergeCell ref="B30:D30"/>
    <mergeCell ref="E30:F30"/>
    <mergeCell ref="H30:I30"/>
    <mergeCell ref="J30:K30"/>
    <mergeCell ref="P30:Q30"/>
    <mergeCell ref="B31:D31"/>
    <mergeCell ref="E31:F31"/>
    <mergeCell ref="H31:I31"/>
    <mergeCell ref="J31:K31"/>
    <mergeCell ref="P31:Q31"/>
    <mergeCell ref="B32:D32"/>
    <mergeCell ref="E32:F32"/>
    <mergeCell ref="H32:I32"/>
    <mergeCell ref="J32:K32"/>
    <mergeCell ref="P32:Q32"/>
    <mergeCell ref="B33:D33"/>
    <mergeCell ref="E33:F33"/>
    <mergeCell ref="H33:I33"/>
    <mergeCell ref="J33:K33"/>
    <mergeCell ref="P33:Q33"/>
    <mergeCell ref="B34:D34"/>
    <mergeCell ref="E34:F34"/>
    <mergeCell ref="H34:I34"/>
    <mergeCell ref="J34:K34"/>
    <mergeCell ref="P34:Q34"/>
    <mergeCell ref="B35:K35"/>
    <mergeCell ref="P35:Q35"/>
    <mergeCell ref="B36:Q36"/>
    <mergeCell ref="B37:Q37"/>
    <mergeCell ref="B38:D38"/>
    <mergeCell ref="E38:G38"/>
    <mergeCell ref="B39:D39"/>
    <mergeCell ref="E39:G39"/>
    <mergeCell ref="H39:J39"/>
    <mergeCell ref="K39:M39"/>
    <mergeCell ref="N39:Q39"/>
    <mergeCell ref="B40:D40"/>
    <mergeCell ref="E40:G40"/>
    <mergeCell ref="H40:J40"/>
    <mergeCell ref="K40:M40"/>
    <mergeCell ref="N40:Q40"/>
    <mergeCell ref="B41:Q41"/>
    <mergeCell ref="B42:D42"/>
    <mergeCell ref="E42:G42"/>
    <mergeCell ref="B43:D43"/>
    <mergeCell ref="E43:G43"/>
    <mergeCell ref="H43:J43"/>
    <mergeCell ref="K43:M43"/>
    <mergeCell ref="N43:P43"/>
    <mergeCell ref="B44:D44"/>
    <mergeCell ref="E44:G44"/>
    <mergeCell ref="H44:J44"/>
    <mergeCell ref="K44:M44"/>
    <mergeCell ref="B45:E45"/>
    <mergeCell ref="L45:N45"/>
    <mergeCell ref="O45:Q45"/>
    <mergeCell ref="B46:Q46"/>
    <mergeCell ref="B47:Q47"/>
    <mergeCell ref="B48:D48"/>
    <mergeCell ref="E48:G48"/>
    <mergeCell ref="B49:D49"/>
    <mergeCell ref="E49:G49"/>
    <mergeCell ref="H49:J49"/>
    <mergeCell ref="K49:M49"/>
    <mergeCell ref="N49:Q49"/>
    <mergeCell ref="B50:D50"/>
    <mergeCell ref="E50:G50"/>
    <mergeCell ref="H50:J50"/>
    <mergeCell ref="K50:M50"/>
    <mergeCell ref="N50:Q50"/>
    <mergeCell ref="B51:Q51"/>
    <mergeCell ref="B52:D52"/>
    <mergeCell ref="E52:G52"/>
    <mergeCell ref="B53:D53"/>
    <mergeCell ref="E53:G53"/>
    <mergeCell ref="H53:J53"/>
    <mergeCell ref="K53:M53"/>
    <mergeCell ref="N53:P53"/>
    <mergeCell ref="B54:D54"/>
    <mergeCell ref="E54:G54"/>
    <mergeCell ref="H54:J54"/>
    <mergeCell ref="K54:N54"/>
    <mergeCell ref="B8:B9"/>
    <mergeCell ref="B11:B12"/>
  </mergeCells>
  <pageMargins left="1.10208333333333" right="0.393055555555556" top="0" bottom="0" header="0.5" footer="0.5"/>
  <pageSetup paperSize="5" orientation="landscape" horizontalDpi="600"/>
  <headerFooter/>
  <ignoredErrors>
    <ignoredError sqref="E31:F34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2019-10-25T15:22:00Z</dcterms:created>
  <dcterms:modified xsi:type="dcterms:W3CDTF">2019-11-26T12:54:41Z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