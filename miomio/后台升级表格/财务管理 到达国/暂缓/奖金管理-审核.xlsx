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<sst xmlns="http://schemas.openxmlformats.org/spreadsheetml/2006/main" count="101" uniqueCount="53">
  <si>
    <t>利润明细</t>
  </si>
  <si>
    <t>JOB123456  JOB123456   JOB123456</t>
  </si>
  <si>
    <t>CAN.CHN→LOS.NGN</t>
  </si>
  <si>
    <t>特快</t>
  </si>
  <si>
    <t>信息详情</t>
  </si>
  <si>
    <t>空运</t>
  </si>
  <si>
    <t>承运人  ET</t>
  </si>
  <si>
    <t>提单号  071-12345678</t>
  </si>
  <si>
    <t>起运港  HKG</t>
  </si>
  <si>
    <t>目的港  LOS</t>
  </si>
  <si>
    <t>计费重量 kgs 5000</t>
  </si>
  <si>
    <t>件数  30</t>
  </si>
  <si>
    <t>操作账号 LOSOFFICE</t>
  </si>
  <si>
    <t>日期 2019/0102 10:30</t>
  </si>
  <si>
    <t>订单利润</t>
  </si>
  <si>
    <t>起运港应付</t>
  </si>
  <si>
    <t>目的港应付</t>
  </si>
  <si>
    <t>利润</t>
  </si>
  <si>
    <r>
      <rPr>
        <sz val="9"/>
        <color theme="1"/>
        <rFont val="宋体"/>
        <charset val="134"/>
      </rPr>
      <t>序号</t>
    </r>
  </si>
  <si>
    <t>JOB</t>
  </si>
  <si>
    <r>
      <rPr>
        <sz val="9"/>
        <color theme="1"/>
        <rFont val="宋体"/>
        <charset val="134"/>
      </rPr>
      <t>订单号</t>
    </r>
  </si>
  <si>
    <t>线路</t>
  </si>
  <si>
    <r>
      <rPr>
        <sz val="9"/>
        <color theme="1"/>
        <rFont val="宋体"/>
        <charset val="134"/>
      </rPr>
      <t>用户</t>
    </r>
  </si>
  <si>
    <r>
      <rPr>
        <sz val="9"/>
        <color theme="1"/>
        <rFont val="宋体"/>
        <charset val="134"/>
      </rPr>
      <t>业务员</t>
    </r>
  </si>
  <si>
    <r>
      <rPr>
        <sz val="9"/>
        <color theme="1"/>
        <rFont val="宋体"/>
        <charset val="134"/>
      </rPr>
      <t>重量</t>
    </r>
  </si>
  <si>
    <r>
      <rPr>
        <sz val="9"/>
        <color theme="1"/>
        <rFont val="宋体"/>
        <charset val="134"/>
      </rPr>
      <t>件数</t>
    </r>
  </si>
  <si>
    <r>
      <rPr>
        <sz val="9"/>
        <color theme="1"/>
        <rFont val="宋体"/>
        <charset val="134"/>
      </rPr>
      <t>支付方式</t>
    </r>
  </si>
  <si>
    <r>
      <rPr>
        <sz val="9"/>
        <color theme="1"/>
        <rFont val="宋体"/>
        <charset val="134"/>
      </rPr>
      <t>状态</t>
    </r>
  </si>
  <si>
    <r>
      <t>利润</t>
    </r>
    <r>
      <rPr>
        <sz val="9"/>
        <color theme="1"/>
        <rFont val="Arial"/>
        <charset val="134"/>
      </rPr>
      <t>CNY</t>
    </r>
  </si>
  <si>
    <r>
      <t>利润</t>
    </r>
    <r>
      <rPr>
        <sz val="9"/>
        <color theme="1"/>
        <rFont val="Arial"/>
        <charset val="134"/>
      </rPr>
      <t>USD</t>
    </r>
  </si>
  <si>
    <r>
      <t>利润</t>
    </r>
    <r>
      <rPr>
        <sz val="9"/>
        <color theme="1"/>
        <rFont val="Arial"/>
        <charset val="134"/>
      </rPr>
      <t>NGN</t>
    </r>
  </si>
  <si>
    <r>
      <rPr>
        <sz val="9"/>
        <color theme="1"/>
        <rFont val="宋体"/>
        <charset val="134"/>
      </rPr>
      <t>汇率</t>
    </r>
  </si>
  <si>
    <t>折合CNY</t>
  </si>
  <si>
    <r>
      <rPr>
        <sz val="9"/>
        <color theme="1"/>
        <rFont val="宋体"/>
        <charset val="134"/>
      </rPr>
      <t>比例</t>
    </r>
  </si>
  <si>
    <r>
      <rPr>
        <sz val="9"/>
        <color theme="1"/>
        <rFont val="宋体"/>
        <charset val="134"/>
      </rPr>
      <t>应收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</si>
  <si>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应付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</si>
  <si>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应付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</si>
  <si>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应付</t>
    </r>
    <r>
      <rPr>
        <sz val="9"/>
        <color theme="1"/>
        <rFont val="Arial"/>
        <charset val="134"/>
      </rPr>
      <t>NGN</t>
    </r>
  </si>
  <si>
    <r>
      <rPr>
        <sz val="9"/>
        <color theme="1"/>
        <rFont val="宋体"/>
        <charset val="134"/>
      </rPr>
      <t>折合</t>
    </r>
    <r>
      <rPr>
        <sz val="9"/>
        <color theme="1"/>
        <rFont val="Arial"/>
        <charset val="134"/>
      </rPr>
      <t>CNY</t>
    </r>
  </si>
  <si>
    <t>JOB123456</t>
  </si>
  <si>
    <t>191025000039</t>
  </si>
  <si>
    <t>CAN.CHN→LOS.NGA</t>
  </si>
  <si>
    <r>
      <rPr>
        <sz val="9"/>
        <color theme="1"/>
        <rFont val="宋体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</si>
  <si>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theme="1"/>
        <rFont val="宋体"/>
        <charset val="134"/>
      </rPr>
      <t>预付</t>
    </r>
  </si>
  <si>
    <r>
      <rPr>
        <sz val="9"/>
        <color theme="1"/>
        <rFont val="宋体"/>
        <charset val="134"/>
      </rPr>
      <t>已付</t>
    </r>
  </si>
  <si>
    <t>JOB123457</t>
  </si>
  <si>
    <t>JOB123458</t>
  </si>
  <si>
    <t>JOB123459</t>
  </si>
  <si>
    <t>JOB123460</t>
  </si>
  <si>
    <t>JOB123461</t>
  </si>
  <si>
    <t>JOB123462</t>
  </si>
  <si>
    <t>JOB123463</t>
  </si>
  <si>
    <t>返回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</si>
</sst>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</numFmts>
  <fonts count="32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0"/>
      <name val="宋体"/>
      <charset val="134"/>
    </font>
    <font>
      <sz val="9"/>
      <color theme="1"/>
      <name val="Arial"/>
      <charset val="134"/>
    </font>
    <font>
      <b/>
      <sz val="12"/>
      <color theme="0"/>
      <name val="宋体"/>
      <charset val="134"/>
    </font>
    <font>
      <sz val="9"/>
      <color theme="1"/>
      <name val="宋体"/>
      <charset val="134"/>
    </font>
    <font>
      <b/>
      <sz val="12"/>
      <color rgb="FFFF0000"/>
      <name val="Microsoft JhengHei"/>
      <charset val="134"/>
    </font>
    <font>
      <sz val="12"/>
      <color theme="1"/>
      <name val="Microsoft JhengHei"/>
      <charset val="134"/>
    </font>
    <font>
      <b/>
      <sz val="9"/>
      <color theme="0"/>
      <name val="Arial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30" fillId="23" borderId="1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vertical="center"/>
    </xf>
    <xf numFmtId="0" fontId="0" fillId="3" borderId="0" xfId="0" applyFill="1" applyBorder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4" fontId="7" fillId="3" borderId="0" xfId="0" applyNumberFormat="1" applyFont="1" applyFill="1" applyBorder="1" applyAlignment="1">
      <alignment horizontal="center" vertical="center"/>
    </xf>
    <xf numFmtId="176" fontId="7" fillId="5" borderId="0" xfId="0" applyNumberFormat="1" applyFont="1" applyFill="1" applyAlignment="1">
      <alignment horizontal="center" vertical="center"/>
    </xf>
    <xf numFmtId="4" fontId="7" fillId="5" borderId="0" xfId="0" applyNumberFormat="1" applyFont="1" applyFill="1" applyBorder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10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0" fontId="7" fillId="5" borderId="0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center" vertical="center"/>
    </xf>
    <xf numFmtId="10" fontId="7" fillId="3" borderId="7" xfId="0" applyNumberFormat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76" fontId="7" fillId="5" borderId="3" xfId="0" applyNumberFormat="1" applyFont="1" applyFill="1" applyBorder="1" applyAlignment="1">
      <alignment horizontal="center" vertical="center"/>
    </xf>
    <xf numFmtId="176" fontId="7" fillId="5" borderId="0" xfId="0" applyNumberFormat="1" applyFont="1" applyFill="1" applyBorder="1" applyAlignment="1">
      <alignment horizontal="center" vertical="center"/>
    </xf>
    <xf numFmtId="10" fontId="7" fillId="5" borderId="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8" fillId="2" borderId="8" xfId="0" applyFont="1" applyFill="1" applyBorder="1" applyAlignment="1">
      <alignment horizontal="center" vertical="center"/>
    </xf>
    <xf numFmtId="0" fontId="7" fillId="3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1"/>
  <sheetViews>
    <sheetView tabSelected="1" workbookViewId="0">
      <selection activeCell="T16" sqref="T16:W16"/>
    </sheetView>
  </sheetViews>
  <sheetFormatPr defaultColWidth="9" defaultRowHeight="13.5"/>
  <cols>
    <col min="1" max="6" width="2.375" customWidth="1"/>
    <col min="7" max="150" width="3.625" customWidth="1"/>
  </cols>
  <sheetData>
    <row r="1" ht="25" customHeight="1" spans="1:7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55"/>
    </row>
    <row r="2" ht="25" customHeight="1" spans="1:74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56"/>
    </row>
    <row r="3" ht="25" customHeight="1" spans="1:74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27" t="s">
        <v>3</v>
      </c>
      <c r="R3" s="27"/>
      <c r="S3" s="28"/>
      <c r="T3" s="28"/>
      <c r="U3" s="28"/>
      <c r="V3" s="28"/>
      <c r="W3" s="28"/>
      <c r="X3" s="28"/>
      <c r="Y3" s="28"/>
      <c r="Z3" s="30"/>
      <c r="AA3" s="30"/>
      <c r="AB3" s="30"/>
      <c r="AC3" s="30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54"/>
      <c r="BU3" s="54"/>
      <c r="BV3" s="57"/>
    </row>
    <row r="4" ht="25" customHeight="1" spans="1:74">
      <c r="A4" s="7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58"/>
    </row>
    <row r="5" ht="25" customHeight="1" spans="1:74">
      <c r="A5" s="9" t="s">
        <v>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59"/>
    </row>
    <row r="6" ht="25" customHeight="1" spans="1:74">
      <c r="A6" s="11" t="s">
        <v>6</v>
      </c>
      <c r="B6" s="12"/>
      <c r="C6" s="12"/>
      <c r="D6" s="12"/>
      <c r="E6" s="12"/>
      <c r="F6" s="12"/>
      <c r="G6" s="13"/>
      <c r="H6" s="13"/>
      <c r="I6" s="12"/>
      <c r="J6" s="12"/>
      <c r="K6" s="12"/>
      <c r="L6" s="12"/>
      <c r="M6" s="12"/>
      <c r="N6" s="12"/>
      <c r="O6" s="12"/>
      <c r="P6" s="12"/>
      <c r="Q6" s="13" t="s">
        <v>7</v>
      </c>
      <c r="R6" s="13"/>
      <c r="S6" s="12"/>
      <c r="T6" s="12"/>
      <c r="U6" s="12"/>
      <c r="V6" s="12"/>
      <c r="W6" s="12"/>
      <c r="X6" s="12"/>
      <c r="Y6" s="32"/>
      <c r="Z6" s="33"/>
      <c r="AA6" s="33"/>
      <c r="AB6" s="33"/>
      <c r="AC6" s="33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59"/>
    </row>
    <row r="7" ht="25" customHeight="1" spans="1:74">
      <c r="A7" s="11" t="s">
        <v>8</v>
      </c>
      <c r="B7" s="12"/>
      <c r="C7" s="12"/>
      <c r="D7" s="12"/>
      <c r="E7" s="12"/>
      <c r="F7" s="12"/>
      <c r="G7" s="13"/>
      <c r="H7" s="13"/>
      <c r="I7" s="12"/>
      <c r="J7" s="12"/>
      <c r="K7" s="12"/>
      <c r="L7" s="12"/>
      <c r="M7" s="12"/>
      <c r="N7" s="12"/>
      <c r="O7" s="12"/>
      <c r="P7" s="12"/>
      <c r="Q7" s="13" t="s">
        <v>9</v>
      </c>
      <c r="R7" s="13"/>
      <c r="S7" s="13"/>
      <c r="T7" s="12"/>
      <c r="U7" s="12"/>
      <c r="V7" s="12"/>
      <c r="W7" s="12"/>
      <c r="X7" s="12"/>
      <c r="Y7" s="12"/>
      <c r="Z7" s="12"/>
      <c r="AA7" s="12"/>
      <c r="AB7" s="12"/>
      <c r="AC7" s="33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59"/>
    </row>
    <row r="8" ht="25" customHeight="1" spans="1:74">
      <c r="A8" s="11" t="s">
        <v>10</v>
      </c>
      <c r="B8" s="12"/>
      <c r="C8" s="12"/>
      <c r="D8" s="12"/>
      <c r="E8" s="12"/>
      <c r="F8" s="12"/>
      <c r="G8" s="13"/>
      <c r="H8" s="13"/>
      <c r="I8" s="12"/>
      <c r="J8" s="12"/>
      <c r="K8" s="12"/>
      <c r="L8" s="12"/>
      <c r="M8" s="12"/>
      <c r="N8" s="12"/>
      <c r="O8" s="12"/>
      <c r="P8" s="12"/>
      <c r="Q8" s="13" t="s">
        <v>11</v>
      </c>
      <c r="R8" s="13"/>
      <c r="S8" s="13"/>
      <c r="T8" s="12"/>
      <c r="U8" s="12"/>
      <c r="V8" s="12"/>
      <c r="W8" s="12"/>
      <c r="X8" s="12"/>
      <c r="Y8" s="32"/>
      <c r="Z8" s="33"/>
      <c r="AA8" s="33"/>
      <c r="AB8" s="33"/>
      <c r="AC8" s="33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59"/>
    </row>
    <row r="9" ht="25" customHeight="1" spans="1:74">
      <c r="A9" s="14" t="s">
        <v>12</v>
      </c>
      <c r="B9" s="13"/>
      <c r="C9" s="13"/>
      <c r="D9" s="13"/>
      <c r="E9" s="13"/>
      <c r="F9" s="13"/>
      <c r="G9" s="15"/>
      <c r="H9" s="13"/>
      <c r="I9" s="12"/>
      <c r="J9" s="15"/>
      <c r="K9" s="15"/>
      <c r="L9" s="15"/>
      <c r="M9" s="15"/>
      <c r="N9" s="15"/>
      <c r="O9" s="15"/>
      <c r="P9" s="15"/>
      <c r="Q9" s="13" t="s">
        <v>13</v>
      </c>
      <c r="R9" s="12"/>
      <c r="S9" s="13"/>
      <c r="T9" s="13"/>
      <c r="U9" s="12"/>
      <c r="V9" s="12"/>
      <c r="W9" s="12"/>
      <c r="X9" s="12"/>
      <c r="Y9" s="32"/>
      <c r="Z9" s="33"/>
      <c r="AA9" s="33"/>
      <c r="AB9" s="33"/>
      <c r="AC9" s="33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59"/>
    </row>
    <row r="10" ht="25" customHeight="1" spans="1:74">
      <c r="A10" s="16" t="s">
        <v>14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42" t="s">
        <v>15</v>
      </c>
      <c r="AX10" s="43"/>
      <c r="AY10" s="43"/>
      <c r="AZ10" s="43"/>
      <c r="BA10" s="44"/>
      <c r="BB10" s="45" t="s">
        <v>16</v>
      </c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4"/>
      <c r="BR10" s="42" t="s">
        <v>17</v>
      </c>
      <c r="BS10" s="43"/>
      <c r="BT10" s="43"/>
      <c r="BU10" s="43"/>
      <c r="BV10" s="44"/>
    </row>
    <row r="11" ht="25" customHeight="1" spans="1:74">
      <c r="A11" s="18" t="s">
        <v>18</v>
      </c>
      <c r="B11" s="19"/>
      <c r="C11" s="20" t="s">
        <v>19</v>
      </c>
      <c r="D11" s="20"/>
      <c r="E11" s="20"/>
      <c r="F11" s="20"/>
      <c r="G11" s="19" t="s">
        <v>20</v>
      </c>
      <c r="H11" s="19"/>
      <c r="I11" s="19"/>
      <c r="J11" s="19"/>
      <c r="K11" s="26" t="s">
        <v>21</v>
      </c>
      <c r="L11" s="20"/>
      <c r="M11" s="20"/>
      <c r="N11" s="20"/>
      <c r="O11" s="20"/>
      <c r="P11" s="19" t="s">
        <v>22</v>
      </c>
      <c r="Q11" s="19"/>
      <c r="R11" s="19"/>
      <c r="S11" s="19"/>
      <c r="T11" s="19" t="s">
        <v>23</v>
      </c>
      <c r="U11" s="19"/>
      <c r="V11" s="19"/>
      <c r="W11" s="19"/>
      <c r="X11" s="19" t="s">
        <v>24</v>
      </c>
      <c r="Y11" s="19"/>
      <c r="Z11" s="19" t="s">
        <v>25</v>
      </c>
      <c r="AA11" s="19"/>
      <c r="AB11" s="19" t="s">
        <v>26</v>
      </c>
      <c r="AC11" s="19"/>
      <c r="AD11" s="19"/>
      <c r="AE11" s="19" t="s">
        <v>27</v>
      </c>
      <c r="AF11" s="19"/>
      <c r="AG11" s="34" t="s">
        <v>28</v>
      </c>
      <c r="AH11" s="19"/>
      <c r="AI11" s="19"/>
      <c r="AJ11" s="34" t="s">
        <v>29</v>
      </c>
      <c r="AK11" s="19"/>
      <c r="AL11" s="19"/>
      <c r="AM11" s="34" t="s">
        <v>30</v>
      </c>
      <c r="AN11" s="19"/>
      <c r="AO11" s="19"/>
      <c r="AP11" s="19" t="s">
        <v>31</v>
      </c>
      <c r="AQ11" s="19"/>
      <c r="AR11" s="20" t="s">
        <v>32</v>
      </c>
      <c r="AS11" s="20"/>
      <c r="AT11" s="20"/>
      <c r="AU11" s="19" t="s">
        <v>33</v>
      </c>
      <c r="AV11" s="19"/>
      <c r="AW11" s="18" t="s">
        <v>34</v>
      </c>
      <c r="AX11" s="19"/>
      <c r="AY11" s="19"/>
      <c r="AZ11" s="19" t="s">
        <v>33</v>
      </c>
      <c r="BA11" s="46"/>
      <c r="BB11" s="34" t="s">
        <v>35</v>
      </c>
      <c r="BC11" s="19"/>
      <c r="BD11" s="19"/>
      <c r="BE11" s="34" t="s">
        <v>36</v>
      </c>
      <c r="BF11" s="19"/>
      <c r="BG11" s="19"/>
      <c r="BH11" s="34" t="s">
        <v>37</v>
      </c>
      <c r="BI11" s="19"/>
      <c r="BJ11" s="19"/>
      <c r="BK11" s="19" t="s">
        <v>31</v>
      </c>
      <c r="BL11" s="19"/>
      <c r="BM11" s="19" t="s">
        <v>38</v>
      </c>
      <c r="BN11" s="19"/>
      <c r="BO11" s="19"/>
      <c r="BP11" s="19" t="s">
        <v>33</v>
      </c>
      <c r="BQ11" s="46"/>
      <c r="BR11" s="18" t="s">
        <v>34</v>
      </c>
      <c r="BS11" s="19"/>
      <c r="BT11" s="19"/>
      <c r="BU11" s="19" t="s">
        <v>33</v>
      </c>
      <c r="BV11" s="46"/>
    </row>
    <row r="12" ht="25" customHeight="1" spans="1:74">
      <c r="A12" s="21">
        <v>1</v>
      </c>
      <c r="B12" s="22"/>
      <c r="C12" s="23" t="s">
        <v>39</v>
      </c>
      <c r="D12" s="23"/>
      <c r="E12" s="23"/>
      <c r="F12" s="23"/>
      <c r="G12" s="61" t="s">
        <v>40</v>
      </c>
      <c r="H12" s="22"/>
      <c r="I12" s="22"/>
      <c r="J12" s="22"/>
      <c r="K12" s="23" t="s">
        <v>41</v>
      </c>
      <c r="L12" s="23"/>
      <c r="M12" s="23"/>
      <c r="N12" s="23"/>
      <c r="O12" s="23"/>
      <c r="P12" s="22" t="s">
        <v>42</v>
      </c>
      <c r="Q12" s="22"/>
      <c r="R12" s="22"/>
      <c r="S12" s="22"/>
      <c r="T12" s="22" t="s">
        <v>42</v>
      </c>
      <c r="U12" s="22"/>
      <c r="V12" s="22"/>
      <c r="W12" s="22"/>
      <c r="X12" s="22">
        <v>20</v>
      </c>
      <c r="Y12" s="22"/>
      <c r="Z12" s="22">
        <v>1</v>
      </c>
      <c r="AA12" s="22"/>
      <c r="AB12" s="22" t="s">
        <v>43</v>
      </c>
      <c r="AC12" s="22"/>
      <c r="AD12" s="22"/>
      <c r="AE12" s="22" t="s">
        <v>44</v>
      </c>
      <c r="AF12" s="22"/>
      <c r="AG12" s="35">
        <v>200000</v>
      </c>
      <c r="AH12" s="22"/>
      <c r="AI12" s="22"/>
      <c r="AJ12" s="29"/>
      <c r="AK12" s="22"/>
      <c r="AL12" s="22"/>
      <c r="AM12" s="29"/>
      <c r="AN12" s="22"/>
      <c r="AO12" s="22"/>
      <c r="AP12" s="22"/>
      <c r="AQ12" s="22"/>
      <c r="AR12" s="38">
        <v>20000</v>
      </c>
      <c r="AS12" s="38"/>
      <c r="AT12" s="38"/>
      <c r="AU12" s="39">
        <v>0.06</v>
      </c>
      <c r="AV12" s="39"/>
      <c r="AW12" s="47">
        <v>20000</v>
      </c>
      <c r="AX12" s="22"/>
      <c r="AY12" s="22"/>
      <c r="AZ12" s="39">
        <v>0.06</v>
      </c>
      <c r="BA12" s="48"/>
      <c r="BB12" s="35">
        <v>200000</v>
      </c>
      <c r="BC12" s="22"/>
      <c r="BD12" s="22"/>
      <c r="BE12" s="29"/>
      <c r="BF12" s="22"/>
      <c r="BG12" s="22"/>
      <c r="BH12" s="29"/>
      <c r="BI12" s="22"/>
      <c r="BJ12" s="22"/>
      <c r="BK12" s="22"/>
      <c r="BL12" s="22"/>
      <c r="BM12" s="35">
        <v>20000</v>
      </c>
      <c r="BN12" s="22"/>
      <c r="BO12" s="22"/>
      <c r="BP12" s="39">
        <v>0.06</v>
      </c>
      <c r="BQ12" s="39"/>
      <c r="BR12" s="47">
        <v>20000</v>
      </c>
      <c r="BS12" s="22"/>
      <c r="BT12" s="22"/>
      <c r="BU12" s="39">
        <v>0.06</v>
      </c>
      <c r="BV12" s="48"/>
    </row>
    <row r="13" ht="25" customHeight="1" spans="1:74">
      <c r="A13" s="21">
        <v>2</v>
      </c>
      <c r="B13" s="22"/>
      <c r="C13" s="23" t="s">
        <v>45</v>
      </c>
      <c r="D13" s="23"/>
      <c r="E13" s="23"/>
      <c r="F13" s="23"/>
      <c r="G13" s="61" t="s">
        <v>40</v>
      </c>
      <c r="H13" s="22"/>
      <c r="I13" s="22"/>
      <c r="J13" s="22"/>
      <c r="K13" s="23" t="s">
        <v>41</v>
      </c>
      <c r="L13" s="23"/>
      <c r="M13" s="23"/>
      <c r="N13" s="23"/>
      <c r="O13" s="23"/>
      <c r="P13" s="22" t="s">
        <v>42</v>
      </c>
      <c r="Q13" s="22"/>
      <c r="R13" s="22"/>
      <c r="S13" s="22"/>
      <c r="T13" s="29" t="s">
        <v>42</v>
      </c>
      <c r="U13" s="22"/>
      <c r="V13" s="22"/>
      <c r="W13" s="22"/>
      <c r="X13" s="22">
        <v>21</v>
      </c>
      <c r="Y13" s="22"/>
      <c r="Z13" s="22">
        <v>2</v>
      </c>
      <c r="AA13" s="22"/>
      <c r="AB13" s="22" t="s">
        <v>43</v>
      </c>
      <c r="AC13" s="22"/>
      <c r="AD13" s="22"/>
      <c r="AE13" s="22" t="s">
        <v>44</v>
      </c>
      <c r="AF13" s="22"/>
      <c r="AG13" s="29"/>
      <c r="AH13" s="22"/>
      <c r="AI13" s="22"/>
      <c r="AJ13" s="35">
        <v>20000</v>
      </c>
      <c r="AK13" s="22"/>
      <c r="AL13" s="22"/>
      <c r="AM13" s="29"/>
      <c r="AN13" s="22"/>
      <c r="AO13" s="22"/>
      <c r="AP13" s="22">
        <v>6.45</v>
      </c>
      <c r="AQ13" s="22"/>
      <c r="AR13" s="40">
        <v>129000</v>
      </c>
      <c r="AS13" s="40"/>
      <c r="AT13" s="40"/>
      <c r="AU13" s="39">
        <v>0.4</v>
      </c>
      <c r="AV13" s="39"/>
      <c r="AW13" s="49">
        <v>129000</v>
      </c>
      <c r="AX13" s="50"/>
      <c r="AY13" s="50"/>
      <c r="AZ13" s="39">
        <v>0.4</v>
      </c>
      <c r="BA13" s="48"/>
      <c r="BB13" s="29"/>
      <c r="BC13" s="22"/>
      <c r="BD13" s="22"/>
      <c r="BE13" s="35">
        <v>20000</v>
      </c>
      <c r="BF13" s="22"/>
      <c r="BG13" s="22"/>
      <c r="BH13" s="29"/>
      <c r="BI13" s="22"/>
      <c r="BJ13" s="22"/>
      <c r="BK13" s="22">
        <v>6.45</v>
      </c>
      <c r="BL13" s="22"/>
      <c r="BM13" s="50">
        <v>129000</v>
      </c>
      <c r="BN13" s="50"/>
      <c r="BO13" s="50"/>
      <c r="BP13" s="39">
        <v>0.4</v>
      </c>
      <c r="BQ13" s="39"/>
      <c r="BR13" s="49">
        <v>129000</v>
      </c>
      <c r="BS13" s="50"/>
      <c r="BT13" s="50"/>
      <c r="BU13" s="39">
        <v>0.4</v>
      </c>
      <c r="BV13" s="48"/>
    </row>
    <row r="14" ht="25" customHeight="1" spans="1:74">
      <c r="A14" s="21">
        <v>3</v>
      </c>
      <c r="B14" s="22"/>
      <c r="C14" s="23" t="s">
        <v>46</v>
      </c>
      <c r="D14" s="23"/>
      <c r="E14" s="23"/>
      <c r="F14" s="23"/>
      <c r="G14" s="61" t="s">
        <v>40</v>
      </c>
      <c r="H14" s="22"/>
      <c r="I14" s="22"/>
      <c r="J14" s="22"/>
      <c r="K14" s="23" t="s">
        <v>41</v>
      </c>
      <c r="L14" s="23"/>
      <c r="M14" s="23"/>
      <c r="N14" s="23"/>
      <c r="O14" s="23"/>
      <c r="P14" s="22" t="s">
        <v>42</v>
      </c>
      <c r="Q14" s="22"/>
      <c r="R14" s="22"/>
      <c r="S14" s="22"/>
      <c r="T14" s="22" t="s">
        <v>42</v>
      </c>
      <c r="U14" s="22"/>
      <c r="V14" s="22"/>
      <c r="W14" s="22"/>
      <c r="X14" s="22">
        <v>22</v>
      </c>
      <c r="Y14" s="22"/>
      <c r="Z14" s="22">
        <v>3</v>
      </c>
      <c r="AA14" s="22"/>
      <c r="AB14" s="22" t="s">
        <v>43</v>
      </c>
      <c r="AC14" s="22"/>
      <c r="AD14" s="22"/>
      <c r="AE14" s="22" t="s">
        <v>44</v>
      </c>
      <c r="AF14" s="22"/>
      <c r="AG14" s="29"/>
      <c r="AH14" s="22"/>
      <c r="AI14" s="22"/>
      <c r="AJ14" s="35">
        <v>20000.01</v>
      </c>
      <c r="AK14" s="22"/>
      <c r="AL14" s="22"/>
      <c r="AM14" s="29"/>
      <c r="AN14" s="22"/>
      <c r="AO14" s="22"/>
      <c r="AP14" s="22">
        <v>6.45</v>
      </c>
      <c r="AQ14" s="22"/>
      <c r="AR14" s="40">
        <v>129001</v>
      </c>
      <c r="AS14" s="40"/>
      <c r="AT14" s="40"/>
      <c r="AU14" s="39">
        <v>0.1</v>
      </c>
      <c r="AV14" s="39"/>
      <c r="AW14" s="49">
        <v>129001</v>
      </c>
      <c r="AX14" s="50"/>
      <c r="AY14" s="50"/>
      <c r="AZ14" s="39">
        <v>0.1</v>
      </c>
      <c r="BA14" s="48"/>
      <c r="BB14" s="29"/>
      <c r="BC14" s="22"/>
      <c r="BD14" s="22"/>
      <c r="BE14" s="35">
        <v>20000.01</v>
      </c>
      <c r="BF14" s="22"/>
      <c r="BG14" s="22"/>
      <c r="BH14" s="29"/>
      <c r="BI14" s="22"/>
      <c r="BJ14" s="22"/>
      <c r="BK14" s="22">
        <v>6.45</v>
      </c>
      <c r="BL14" s="22"/>
      <c r="BM14" s="50">
        <v>129001</v>
      </c>
      <c r="BN14" s="50"/>
      <c r="BO14" s="50"/>
      <c r="BP14" s="39">
        <v>0.1</v>
      </c>
      <c r="BQ14" s="39"/>
      <c r="BR14" s="49">
        <v>129001</v>
      </c>
      <c r="BS14" s="50"/>
      <c r="BT14" s="50"/>
      <c r="BU14" s="39">
        <v>0.1</v>
      </c>
      <c r="BV14" s="48"/>
    </row>
    <row r="15" ht="25" customHeight="1" spans="1:74">
      <c r="A15" s="21">
        <v>4</v>
      </c>
      <c r="B15" s="22"/>
      <c r="C15" s="23" t="s">
        <v>47</v>
      </c>
      <c r="D15" s="23"/>
      <c r="E15" s="23"/>
      <c r="F15" s="23"/>
      <c r="G15" s="61" t="s">
        <v>40</v>
      </c>
      <c r="H15" s="22"/>
      <c r="I15" s="22"/>
      <c r="J15" s="22"/>
      <c r="K15" s="23" t="s">
        <v>41</v>
      </c>
      <c r="L15" s="23"/>
      <c r="M15" s="23"/>
      <c r="N15" s="23"/>
      <c r="O15" s="23"/>
      <c r="P15" s="22" t="s">
        <v>42</v>
      </c>
      <c r="Q15" s="22"/>
      <c r="R15" s="22"/>
      <c r="S15" s="22"/>
      <c r="T15" s="22" t="s">
        <v>42</v>
      </c>
      <c r="U15" s="22"/>
      <c r="V15" s="22"/>
      <c r="W15" s="22"/>
      <c r="X15" s="22">
        <v>23</v>
      </c>
      <c r="Y15" s="22"/>
      <c r="Z15" s="22">
        <v>4</v>
      </c>
      <c r="AA15" s="22"/>
      <c r="AB15" s="22" t="s">
        <v>43</v>
      </c>
      <c r="AC15" s="22"/>
      <c r="AD15" s="22"/>
      <c r="AE15" s="22" t="s">
        <v>44</v>
      </c>
      <c r="AF15" s="22"/>
      <c r="AG15" s="29"/>
      <c r="AH15" s="22"/>
      <c r="AI15" s="22"/>
      <c r="AJ15" s="35">
        <v>20000.02</v>
      </c>
      <c r="AK15" s="22"/>
      <c r="AL15" s="22"/>
      <c r="AM15" s="29"/>
      <c r="AN15" s="22"/>
      <c r="AO15" s="22"/>
      <c r="AP15" s="22">
        <v>6.45</v>
      </c>
      <c r="AQ15" s="22"/>
      <c r="AR15" s="40">
        <v>129002</v>
      </c>
      <c r="AS15" s="40"/>
      <c r="AT15" s="40"/>
      <c r="AU15" s="39">
        <v>0.1</v>
      </c>
      <c r="AV15" s="39"/>
      <c r="AW15" s="49">
        <v>129002</v>
      </c>
      <c r="AX15" s="50"/>
      <c r="AY15" s="50"/>
      <c r="AZ15" s="39">
        <v>0.1</v>
      </c>
      <c r="BA15" s="48"/>
      <c r="BB15" s="29"/>
      <c r="BC15" s="22"/>
      <c r="BD15" s="22"/>
      <c r="BE15" s="35">
        <v>20000.02</v>
      </c>
      <c r="BF15" s="22"/>
      <c r="BG15" s="22"/>
      <c r="BH15" s="29"/>
      <c r="BI15" s="22"/>
      <c r="BJ15" s="22"/>
      <c r="BK15" s="22">
        <v>6.45</v>
      </c>
      <c r="BL15" s="22"/>
      <c r="BM15" s="50">
        <v>129002</v>
      </c>
      <c r="BN15" s="50"/>
      <c r="BO15" s="50"/>
      <c r="BP15" s="39">
        <v>0.1</v>
      </c>
      <c r="BQ15" s="39"/>
      <c r="BR15" s="49">
        <v>129002</v>
      </c>
      <c r="BS15" s="50"/>
      <c r="BT15" s="50"/>
      <c r="BU15" s="39">
        <v>0.1</v>
      </c>
      <c r="BV15" s="48"/>
    </row>
    <row r="16" ht="25" customHeight="1" spans="1:74">
      <c r="A16" s="21">
        <v>5</v>
      </c>
      <c r="B16" s="22"/>
      <c r="C16" s="23" t="s">
        <v>48</v>
      </c>
      <c r="D16" s="23"/>
      <c r="E16" s="23"/>
      <c r="F16" s="23"/>
      <c r="G16" s="61" t="s">
        <v>40</v>
      </c>
      <c r="H16" s="22"/>
      <c r="I16" s="22"/>
      <c r="J16" s="22"/>
      <c r="K16" s="23" t="s">
        <v>41</v>
      </c>
      <c r="L16" s="23"/>
      <c r="M16" s="23"/>
      <c r="N16" s="23"/>
      <c r="O16" s="23"/>
      <c r="P16" s="22" t="s">
        <v>42</v>
      </c>
      <c r="Q16" s="22"/>
      <c r="R16" s="22"/>
      <c r="S16" s="22"/>
      <c r="T16" s="22" t="s">
        <v>42</v>
      </c>
      <c r="U16" s="22"/>
      <c r="V16" s="22"/>
      <c r="W16" s="22"/>
      <c r="X16" s="22">
        <v>24</v>
      </c>
      <c r="Y16" s="22"/>
      <c r="Z16" s="22">
        <v>5</v>
      </c>
      <c r="AA16" s="22"/>
      <c r="AB16" s="22" t="s">
        <v>43</v>
      </c>
      <c r="AC16" s="22"/>
      <c r="AD16" s="22"/>
      <c r="AE16" s="22" t="s">
        <v>44</v>
      </c>
      <c r="AF16" s="22"/>
      <c r="AG16" s="29"/>
      <c r="AH16" s="22"/>
      <c r="AI16" s="22"/>
      <c r="AJ16" s="35">
        <v>20000.03</v>
      </c>
      <c r="AK16" s="22"/>
      <c r="AL16" s="22"/>
      <c r="AM16" s="29"/>
      <c r="AN16" s="22"/>
      <c r="AO16" s="22"/>
      <c r="AP16" s="22">
        <v>6.45</v>
      </c>
      <c r="AQ16" s="22"/>
      <c r="AR16" s="40">
        <v>129003</v>
      </c>
      <c r="AS16" s="40"/>
      <c r="AT16" s="40"/>
      <c r="AU16" s="39">
        <v>0.1</v>
      </c>
      <c r="AV16" s="39"/>
      <c r="AW16" s="49">
        <v>129003</v>
      </c>
      <c r="AX16" s="50"/>
      <c r="AY16" s="50"/>
      <c r="AZ16" s="39">
        <v>0.1</v>
      </c>
      <c r="BA16" s="48"/>
      <c r="BB16" s="29"/>
      <c r="BC16" s="22"/>
      <c r="BD16" s="22"/>
      <c r="BE16" s="35">
        <v>20000.03</v>
      </c>
      <c r="BF16" s="22"/>
      <c r="BG16" s="22"/>
      <c r="BH16" s="29"/>
      <c r="BI16" s="22"/>
      <c r="BJ16" s="22"/>
      <c r="BK16" s="22">
        <v>6.45</v>
      </c>
      <c r="BL16" s="22"/>
      <c r="BM16" s="50">
        <v>129003</v>
      </c>
      <c r="BN16" s="50"/>
      <c r="BO16" s="50"/>
      <c r="BP16" s="39">
        <v>0.1</v>
      </c>
      <c r="BQ16" s="39"/>
      <c r="BR16" s="49">
        <v>129003</v>
      </c>
      <c r="BS16" s="50"/>
      <c r="BT16" s="50"/>
      <c r="BU16" s="39">
        <v>0.1</v>
      </c>
      <c r="BV16" s="48"/>
    </row>
    <row r="17" ht="25" customHeight="1" spans="1:74">
      <c r="A17" s="21">
        <v>6</v>
      </c>
      <c r="B17" s="22"/>
      <c r="C17" s="23" t="s">
        <v>49</v>
      </c>
      <c r="D17" s="23"/>
      <c r="E17" s="23"/>
      <c r="F17" s="23"/>
      <c r="G17" s="61" t="s">
        <v>40</v>
      </c>
      <c r="H17" s="22"/>
      <c r="I17" s="22"/>
      <c r="J17" s="22"/>
      <c r="K17" s="23" t="s">
        <v>41</v>
      </c>
      <c r="L17" s="23"/>
      <c r="M17" s="23"/>
      <c r="N17" s="23"/>
      <c r="O17" s="23"/>
      <c r="P17" s="22" t="s">
        <v>42</v>
      </c>
      <c r="Q17" s="22"/>
      <c r="R17" s="22"/>
      <c r="S17" s="22"/>
      <c r="T17" s="22" t="s">
        <v>42</v>
      </c>
      <c r="U17" s="22"/>
      <c r="V17" s="22"/>
      <c r="W17" s="22"/>
      <c r="X17" s="22">
        <v>25</v>
      </c>
      <c r="Y17" s="22"/>
      <c r="Z17" s="22">
        <v>6</v>
      </c>
      <c r="AA17" s="22"/>
      <c r="AB17" s="22" t="s">
        <v>43</v>
      </c>
      <c r="AC17" s="22"/>
      <c r="AD17" s="22"/>
      <c r="AE17" s="22" t="s">
        <v>44</v>
      </c>
      <c r="AF17" s="22"/>
      <c r="AG17" s="29"/>
      <c r="AH17" s="22"/>
      <c r="AI17" s="22"/>
      <c r="AJ17" s="35">
        <v>20000.04</v>
      </c>
      <c r="AK17" s="22"/>
      <c r="AL17" s="22"/>
      <c r="AM17" s="29"/>
      <c r="AN17" s="22"/>
      <c r="AO17" s="22"/>
      <c r="AP17" s="22">
        <v>6.45</v>
      </c>
      <c r="AQ17" s="22"/>
      <c r="AR17" s="40">
        <v>129004</v>
      </c>
      <c r="AS17" s="40"/>
      <c r="AT17" s="40"/>
      <c r="AU17" s="39">
        <v>0.04</v>
      </c>
      <c r="AV17" s="39"/>
      <c r="AW17" s="49">
        <v>129004</v>
      </c>
      <c r="AX17" s="50"/>
      <c r="AY17" s="50"/>
      <c r="AZ17" s="39">
        <v>0.04</v>
      </c>
      <c r="BA17" s="48"/>
      <c r="BB17" s="29"/>
      <c r="BC17" s="22"/>
      <c r="BD17" s="22"/>
      <c r="BE17" s="35">
        <v>20000.04</v>
      </c>
      <c r="BF17" s="22"/>
      <c r="BG17" s="22"/>
      <c r="BH17" s="29"/>
      <c r="BI17" s="22"/>
      <c r="BJ17" s="22"/>
      <c r="BK17" s="22">
        <v>6.45</v>
      </c>
      <c r="BL17" s="22"/>
      <c r="BM17" s="50">
        <v>129004</v>
      </c>
      <c r="BN17" s="50"/>
      <c r="BO17" s="50"/>
      <c r="BP17" s="39">
        <v>0.04</v>
      </c>
      <c r="BQ17" s="39"/>
      <c r="BR17" s="49">
        <v>129004</v>
      </c>
      <c r="BS17" s="50"/>
      <c r="BT17" s="50"/>
      <c r="BU17" s="39">
        <v>0.04</v>
      </c>
      <c r="BV17" s="48"/>
    </row>
    <row r="18" ht="25" customHeight="1" spans="1:74">
      <c r="A18" s="21">
        <v>7</v>
      </c>
      <c r="B18" s="22"/>
      <c r="C18" s="23" t="s">
        <v>50</v>
      </c>
      <c r="D18" s="23"/>
      <c r="E18" s="23"/>
      <c r="F18" s="23"/>
      <c r="G18" s="61" t="s">
        <v>40</v>
      </c>
      <c r="H18" s="22"/>
      <c r="I18" s="22"/>
      <c r="J18" s="22"/>
      <c r="K18" s="23" t="s">
        <v>41</v>
      </c>
      <c r="L18" s="23"/>
      <c r="M18" s="23"/>
      <c r="N18" s="23"/>
      <c r="O18" s="23"/>
      <c r="P18" s="22" t="s">
        <v>42</v>
      </c>
      <c r="Q18" s="22"/>
      <c r="R18" s="22"/>
      <c r="S18" s="22"/>
      <c r="T18" s="22" t="s">
        <v>42</v>
      </c>
      <c r="U18" s="22"/>
      <c r="V18" s="22"/>
      <c r="W18" s="22"/>
      <c r="X18" s="22">
        <v>26</v>
      </c>
      <c r="Y18" s="22"/>
      <c r="Z18" s="22">
        <v>7</v>
      </c>
      <c r="AA18" s="22"/>
      <c r="AB18" s="22" t="s">
        <v>43</v>
      </c>
      <c r="AC18" s="22"/>
      <c r="AD18" s="22"/>
      <c r="AE18" s="22" t="s">
        <v>44</v>
      </c>
      <c r="AF18" s="22"/>
      <c r="AG18" s="29"/>
      <c r="AH18" s="22"/>
      <c r="AI18" s="22"/>
      <c r="AJ18" s="35">
        <v>20000.05</v>
      </c>
      <c r="AK18" s="22"/>
      <c r="AL18" s="22"/>
      <c r="AM18" s="29"/>
      <c r="AN18" s="22"/>
      <c r="AO18" s="22"/>
      <c r="AP18" s="22">
        <v>6.45</v>
      </c>
      <c r="AQ18" s="22"/>
      <c r="AR18" s="40">
        <v>129005</v>
      </c>
      <c r="AS18" s="40"/>
      <c r="AT18" s="40"/>
      <c r="AU18" s="39">
        <v>0.1</v>
      </c>
      <c r="AV18" s="39"/>
      <c r="AW18" s="49">
        <v>129005</v>
      </c>
      <c r="AX18" s="50"/>
      <c r="AY18" s="50"/>
      <c r="AZ18" s="39">
        <v>0.1</v>
      </c>
      <c r="BA18" s="48"/>
      <c r="BB18" s="29"/>
      <c r="BC18" s="22"/>
      <c r="BD18" s="22"/>
      <c r="BE18" s="35">
        <v>20000.05</v>
      </c>
      <c r="BF18" s="22"/>
      <c r="BG18" s="22"/>
      <c r="BH18" s="29"/>
      <c r="BI18" s="22"/>
      <c r="BJ18" s="22"/>
      <c r="BK18" s="22">
        <v>6.45</v>
      </c>
      <c r="BL18" s="22"/>
      <c r="BM18" s="50">
        <v>129005</v>
      </c>
      <c r="BN18" s="50"/>
      <c r="BO18" s="50"/>
      <c r="BP18" s="39">
        <v>0.1</v>
      </c>
      <c r="BQ18" s="39"/>
      <c r="BR18" s="49">
        <v>129005</v>
      </c>
      <c r="BS18" s="50"/>
      <c r="BT18" s="50"/>
      <c r="BU18" s="39">
        <v>0.1</v>
      </c>
      <c r="BV18" s="48"/>
    </row>
    <row r="19" ht="25" customHeight="1" spans="1:74">
      <c r="A19" s="21">
        <v>8</v>
      </c>
      <c r="B19" s="22"/>
      <c r="C19" s="23" t="s">
        <v>51</v>
      </c>
      <c r="D19" s="23"/>
      <c r="E19" s="23"/>
      <c r="F19" s="23"/>
      <c r="G19" s="61" t="s">
        <v>40</v>
      </c>
      <c r="H19" s="22"/>
      <c r="I19" s="22"/>
      <c r="J19" s="22"/>
      <c r="K19" s="23" t="s">
        <v>41</v>
      </c>
      <c r="L19" s="23"/>
      <c r="M19" s="23"/>
      <c r="N19" s="23"/>
      <c r="O19" s="23"/>
      <c r="P19" s="22" t="s">
        <v>42</v>
      </c>
      <c r="Q19" s="22"/>
      <c r="R19" s="22"/>
      <c r="S19" s="22"/>
      <c r="T19" s="22" t="s">
        <v>42</v>
      </c>
      <c r="U19" s="22"/>
      <c r="V19" s="22"/>
      <c r="W19" s="22"/>
      <c r="X19" s="22">
        <v>27</v>
      </c>
      <c r="Y19" s="22"/>
      <c r="Z19" s="22">
        <v>8</v>
      </c>
      <c r="AA19" s="22"/>
      <c r="AB19" s="22" t="s">
        <v>43</v>
      </c>
      <c r="AC19" s="22"/>
      <c r="AD19" s="22"/>
      <c r="AE19" s="22" t="s">
        <v>44</v>
      </c>
      <c r="AF19" s="22"/>
      <c r="AG19" s="29"/>
      <c r="AH19" s="22"/>
      <c r="AI19" s="22"/>
      <c r="AJ19" s="29"/>
      <c r="AK19" s="22"/>
      <c r="AL19" s="22"/>
      <c r="AM19" s="35">
        <v>15000000</v>
      </c>
      <c r="AN19" s="22"/>
      <c r="AO19" s="22"/>
      <c r="AP19" s="22">
        <v>75</v>
      </c>
      <c r="AQ19" s="22"/>
      <c r="AR19" s="40">
        <v>129006</v>
      </c>
      <c r="AS19" s="40"/>
      <c r="AT19" s="40"/>
      <c r="AU19" s="39">
        <v>0.1</v>
      </c>
      <c r="AV19" s="39"/>
      <c r="AW19" s="49">
        <v>129006</v>
      </c>
      <c r="AX19" s="50"/>
      <c r="AY19" s="50"/>
      <c r="AZ19" s="39">
        <v>0.1</v>
      </c>
      <c r="BA19" s="48"/>
      <c r="BB19" s="29"/>
      <c r="BC19" s="22"/>
      <c r="BD19" s="22"/>
      <c r="BE19" s="29"/>
      <c r="BF19" s="22"/>
      <c r="BG19" s="22"/>
      <c r="BH19" s="35">
        <v>2000000</v>
      </c>
      <c r="BI19" s="22"/>
      <c r="BJ19" s="22"/>
      <c r="BK19" s="22">
        <v>75</v>
      </c>
      <c r="BL19" s="22"/>
      <c r="BM19" s="50">
        <v>129006</v>
      </c>
      <c r="BN19" s="50"/>
      <c r="BO19" s="50"/>
      <c r="BP19" s="39">
        <v>0.1</v>
      </c>
      <c r="BQ19" s="39"/>
      <c r="BR19" s="49">
        <v>129006</v>
      </c>
      <c r="BS19" s="50"/>
      <c r="BT19" s="50"/>
      <c r="BU19" s="39">
        <v>0.1</v>
      </c>
      <c r="BV19" s="48"/>
    </row>
    <row r="20" ht="25" customHeight="1" spans="1:74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20">
        <f>SUM(Z12:Z19)</f>
        <v>36</v>
      </c>
      <c r="AA20" s="20"/>
      <c r="AB20" s="19"/>
      <c r="AC20" s="19"/>
      <c r="AD20" s="19"/>
      <c r="AE20" s="19"/>
      <c r="AF20" s="19"/>
      <c r="AG20" s="36">
        <f>SUM(AG12:AG19)</f>
        <v>200000</v>
      </c>
      <c r="AH20" s="36"/>
      <c r="AI20" s="36"/>
      <c r="AJ20" s="36">
        <f>SUM(AJ13:AJ19)</f>
        <v>120000.15</v>
      </c>
      <c r="AK20" s="36"/>
      <c r="AL20" s="36"/>
      <c r="AM20" s="37">
        <v>20000000</v>
      </c>
      <c r="AN20" s="19"/>
      <c r="AO20" s="19"/>
      <c r="AP20" s="19"/>
      <c r="AQ20" s="19"/>
      <c r="AR20" s="36">
        <f>SUM(AR12:AR19)</f>
        <v>923021</v>
      </c>
      <c r="AS20" s="36"/>
      <c r="AT20" s="36"/>
      <c r="AU20" s="41">
        <f>SUM(AU12:AU19)</f>
        <v>1</v>
      </c>
      <c r="AV20" s="41"/>
      <c r="AW20" s="51">
        <f>SUM(AW12:AW19)</f>
        <v>923021</v>
      </c>
      <c r="AX20" s="52"/>
      <c r="AY20" s="52"/>
      <c r="AZ20" s="41">
        <f>SUM(AZ12:AZ19)</f>
        <v>1</v>
      </c>
      <c r="BA20" s="53"/>
      <c r="BB20" s="36">
        <f>SUM(BB12:BB19)</f>
        <v>200000</v>
      </c>
      <c r="BC20" s="36"/>
      <c r="BD20" s="36"/>
      <c r="BE20" s="36">
        <f>SUM(BE13:BE19)</f>
        <v>120000.15</v>
      </c>
      <c r="BF20" s="36"/>
      <c r="BG20" s="36"/>
      <c r="BH20" s="37">
        <v>2000000</v>
      </c>
      <c r="BI20" s="19"/>
      <c r="BJ20" s="19"/>
      <c r="BK20" s="19"/>
      <c r="BL20" s="19"/>
      <c r="BM20" s="52">
        <f t="shared" ref="BM20:BR20" si="0">SUM(BM12:BM19)</f>
        <v>923021</v>
      </c>
      <c r="BN20" s="52"/>
      <c r="BO20" s="52"/>
      <c r="BP20" s="41">
        <f t="shared" si="0"/>
        <v>1</v>
      </c>
      <c r="BQ20" s="41"/>
      <c r="BR20" s="51">
        <f t="shared" si="0"/>
        <v>923021</v>
      </c>
      <c r="BS20" s="52"/>
      <c r="BT20" s="52"/>
      <c r="BU20" s="41">
        <f>SUM(BU12:BU19)</f>
        <v>1</v>
      </c>
      <c r="BV20" s="53"/>
    </row>
    <row r="21" ht="25" customHeight="1" spans="1:74">
      <c r="A21" s="24" t="s">
        <v>52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60"/>
    </row>
  </sheetData>
  <mergeCells count="266">
    <mergeCell ref="A1:BV1"/>
    <mergeCell ref="A2:BV2"/>
    <mergeCell ref="A3:P3"/>
    <mergeCell ref="Q3:R3"/>
    <mergeCell ref="A4:BV4"/>
    <mergeCell ref="Y6:Z6"/>
    <mergeCell ref="AB6:AC6"/>
    <mergeCell ref="Y8:Z8"/>
    <mergeCell ref="AB8:AC8"/>
    <mergeCell ref="A10:AV10"/>
    <mergeCell ref="AW10:BA10"/>
    <mergeCell ref="BB10:BQ10"/>
    <mergeCell ref="BR10:BV10"/>
    <mergeCell ref="A11:B11"/>
    <mergeCell ref="C11:F11"/>
    <mergeCell ref="G11:J11"/>
    <mergeCell ref="K11:O11"/>
    <mergeCell ref="P11:S11"/>
    <mergeCell ref="T11:W11"/>
    <mergeCell ref="X11:Y11"/>
    <mergeCell ref="Z11:AA11"/>
    <mergeCell ref="AB11:AD11"/>
    <mergeCell ref="AE11:AF11"/>
    <mergeCell ref="AG11:AI11"/>
    <mergeCell ref="AJ11:AL11"/>
    <mergeCell ref="AM11:AO11"/>
    <mergeCell ref="AP11:AQ11"/>
    <mergeCell ref="AR11:AT11"/>
    <mergeCell ref="AU11:AV11"/>
    <mergeCell ref="AW11:AY11"/>
    <mergeCell ref="AZ11:BA11"/>
    <mergeCell ref="BB11:BD11"/>
    <mergeCell ref="BE11:BG11"/>
    <mergeCell ref="BH11:BJ11"/>
    <mergeCell ref="BK11:BL11"/>
    <mergeCell ref="BM11:BO11"/>
    <mergeCell ref="BP11:BQ11"/>
    <mergeCell ref="BR11:BT11"/>
    <mergeCell ref="BU11:BV11"/>
    <mergeCell ref="A12:B12"/>
    <mergeCell ref="C12:F12"/>
    <mergeCell ref="G12:J12"/>
    <mergeCell ref="K12:O12"/>
    <mergeCell ref="P12:S12"/>
    <mergeCell ref="T12:W12"/>
    <mergeCell ref="X12:Y12"/>
    <mergeCell ref="Z12:AA12"/>
    <mergeCell ref="AB12:AD12"/>
    <mergeCell ref="AE12:AF12"/>
    <mergeCell ref="AG12:AI12"/>
    <mergeCell ref="AJ12:AL12"/>
    <mergeCell ref="AM12:AO12"/>
    <mergeCell ref="AP12:AQ12"/>
    <mergeCell ref="AR12:AT12"/>
    <mergeCell ref="AU12:AV12"/>
    <mergeCell ref="AW12:AY12"/>
    <mergeCell ref="AZ12:BA12"/>
    <mergeCell ref="BB12:BD12"/>
    <mergeCell ref="BE12:BG12"/>
    <mergeCell ref="BH12:BJ12"/>
    <mergeCell ref="BK12:BL12"/>
    <mergeCell ref="BM12:BO12"/>
    <mergeCell ref="BP12:BQ12"/>
    <mergeCell ref="BR12:BT12"/>
    <mergeCell ref="BU12:BV12"/>
    <mergeCell ref="A13:B13"/>
    <mergeCell ref="C13:F13"/>
    <mergeCell ref="G13:J13"/>
    <mergeCell ref="K13:O13"/>
    <mergeCell ref="P13:S13"/>
    <mergeCell ref="T13:W13"/>
    <mergeCell ref="X13:Y13"/>
    <mergeCell ref="Z13:AA13"/>
    <mergeCell ref="AB13:AD13"/>
    <mergeCell ref="AE13:AF13"/>
    <mergeCell ref="AG13:AI13"/>
    <mergeCell ref="AJ13:AL13"/>
    <mergeCell ref="AM13:AO13"/>
    <mergeCell ref="AP13:AQ13"/>
    <mergeCell ref="AR13:AT13"/>
    <mergeCell ref="AU13:AV13"/>
    <mergeCell ref="AW13:AY13"/>
    <mergeCell ref="AZ13:BA13"/>
    <mergeCell ref="BB13:BD13"/>
    <mergeCell ref="BE13:BG13"/>
    <mergeCell ref="BH13:BJ13"/>
    <mergeCell ref="BK13:BL13"/>
    <mergeCell ref="BM13:BO13"/>
    <mergeCell ref="BP13:BQ13"/>
    <mergeCell ref="BR13:BT13"/>
    <mergeCell ref="BU13:BV13"/>
    <mergeCell ref="A14:B14"/>
    <mergeCell ref="C14:F14"/>
    <mergeCell ref="G14:J14"/>
    <mergeCell ref="K14:O14"/>
    <mergeCell ref="P14:S14"/>
    <mergeCell ref="T14:W14"/>
    <mergeCell ref="X14:Y14"/>
    <mergeCell ref="Z14:AA14"/>
    <mergeCell ref="AB14:AD14"/>
    <mergeCell ref="AE14:AF14"/>
    <mergeCell ref="AG14:AI14"/>
    <mergeCell ref="AJ14:AL14"/>
    <mergeCell ref="AM14:AO14"/>
    <mergeCell ref="AP14:AQ14"/>
    <mergeCell ref="AR14:AT14"/>
    <mergeCell ref="AU14:AV14"/>
    <mergeCell ref="AW14:AY14"/>
    <mergeCell ref="AZ14:BA14"/>
    <mergeCell ref="BB14:BD14"/>
    <mergeCell ref="BE14:BG14"/>
    <mergeCell ref="BH14:BJ14"/>
    <mergeCell ref="BK14:BL14"/>
    <mergeCell ref="BM14:BO14"/>
    <mergeCell ref="BP14:BQ14"/>
    <mergeCell ref="BR14:BT14"/>
    <mergeCell ref="BU14:BV14"/>
    <mergeCell ref="A15:B15"/>
    <mergeCell ref="C15:F15"/>
    <mergeCell ref="G15:J15"/>
    <mergeCell ref="K15:O15"/>
    <mergeCell ref="P15:S15"/>
    <mergeCell ref="T15:W15"/>
    <mergeCell ref="X15:Y15"/>
    <mergeCell ref="Z15:AA15"/>
    <mergeCell ref="AB15:AD15"/>
    <mergeCell ref="AE15:AF15"/>
    <mergeCell ref="AG15:AI15"/>
    <mergeCell ref="AJ15:AL15"/>
    <mergeCell ref="AM15:AO15"/>
    <mergeCell ref="AP15:AQ15"/>
    <mergeCell ref="AR15:AT15"/>
    <mergeCell ref="AU15:AV15"/>
    <mergeCell ref="AW15:AY15"/>
    <mergeCell ref="AZ15:BA15"/>
    <mergeCell ref="BB15:BD15"/>
    <mergeCell ref="BE15:BG15"/>
    <mergeCell ref="BH15:BJ15"/>
    <mergeCell ref="BK15:BL15"/>
    <mergeCell ref="BM15:BO15"/>
    <mergeCell ref="BP15:BQ15"/>
    <mergeCell ref="BR15:BT15"/>
    <mergeCell ref="BU15:BV15"/>
    <mergeCell ref="A16:B16"/>
    <mergeCell ref="C16:F16"/>
    <mergeCell ref="G16:J16"/>
    <mergeCell ref="K16:O16"/>
    <mergeCell ref="P16:S16"/>
    <mergeCell ref="T16:W16"/>
    <mergeCell ref="X16:Y16"/>
    <mergeCell ref="Z16:AA16"/>
    <mergeCell ref="AB16:AD16"/>
    <mergeCell ref="AE16:AF16"/>
    <mergeCell ref="AG16:AI16"/>
    <mergeCell ref="AJ16:AL16"/>
    <mergeCell ref="AM16:AO16"/>
    <mergeCell ref="AP16:AQ16"/>
    <mergeCell ref="AR16:AT16"/>
    <mergeCell ref="AU16:AV16"/>
    <mergeCell ref="AW16:AY16"/>
    <mergeCell ref="AZ16:BA16"/>
    <mergeCell ref="BB16:BD16"/>
    <mergeCell ref="BE16:BG16"/>
    <mergeCell ref="BH16:BJ16"/>
    <mergeCell ref="BK16:BL16"/>
    <mergeCell ref="BM16:BO16"/>
    <mergeCell ref="BP16:BQ16"/>
    <mergeCell ref="BR16:BT16"/>
    <mergeCell ref="BU16:BV16"/>
    <mergeCell ref="A17:B17"/>
    <mergeCell ref="C17:F17"/>
    <mergeCell ref="G17:J17"/>
    <mergeCell ref="K17:O17"/>
    <mergeCell ref="P17:S17"/>
    <mergeCell ref="T17:W17"/>
    <mergeCell ref="X17:Y17"/>
    <mergeCell ref="Z17:AA17"/>
    <mergeCell ref="AB17:AD17"/>
    <mergeCell ref="AE17:AF17"/>
    <mergeCell ref="AG17:AI17"/>
    <mergeCell ref="AJ17:AL17"/>
    <mergeCell ref="AM17:AO17"/>
    <mergeCell ref="AP17:AQ17"/>
    <mergeCell ref="AR17:AT17"/>
    <mergeCell ref="AU17:AV17"/>
    <mergeCell ref="AW17:AY17"/>
    <mergeCell ref="AZ17:BA17"/>
    <mergeCell ref="BB17:BD17"/>
    <mergeCell ref="BE17:BG17"/>
    <mergeCell ref="BH17:BJ17"/>
    <mergeCell ref="BK17:BL17"/>
    <mergeCell ref="BM17:BO17"/>
    <mergeCell ref="BP17:BQ17"/>
    <mergeCell ref="BR17:BT17"/>
    <mergeCell ref="BU17:BV17"/>
    <mergeCell ref="A18:B18"/>
    <mergeCell ref="C18:F18"/>
    <mergeCell ref="G18:J18"/>
    <mergeCell ref="K18:O18"/>
    <mergeCell ref="P18:S18"/>
    <mergeCell ref="T18:W18"/>
    <mergeCell ref="X18:Y18"/>
    <mergeCell ref="Z18:AA18"/>
    <mergeCell ref="AB18:AD18"/>
    <mergeCell ref="AE18:AF18"/>
    <mergeCell ref="AG18:AI18"/>
    <mergeCell ref="AJ18:AL18"/>
    <mergeCell ref="AM18:AO18"/>
    <mergeCell ref="AP18:AQ18"/>
    <mergeCell ref="AR18:AT18"/>
    <mergeCell ref="AU18:AV18"/>
    <mergeCell ref="AW18:AY18"/>
    <mergeCell ref="AZ18:BA18"/>
    <mergeCell ref="BB18:BD18"/>
    <mergeCell ref="BE18:BG18"/>
    <mergeCell ref="BH18:BJ18"/>
    <mergeCell ref="BK18:BL18"/>
    <mergeCell ref="BM18:BO18"/>
    <mergeCell ref="BP18:BQ18"/>
    <mergeCell ref="BR18:BT18"/>
    <mergeCell ref="BU18:BV18"/>
    <mergeCell ref="A19:B19"/>
    <mergeCell ref="C19:F19"/>
    <mergeCell ref="G19:J19"/>
    <mergeCell ref="K19:O19"/>
    <mergeCell ref="P19:S19"/>
    <mergeCell ref="T19:W19"/>
    <mergeCell ref="X19:Y19"/>
    <mergeCell ref="Z19:AA19"/>
    <mergeCell ref="AB19:AD19"/>
    <mergeCell ref="AE19:AF19"/>
    <mergeCell ref="AG19:AI19"/>
    <mergeCell ref="AJ19:AL19"/>
    <mergeCell ref="AM19:AO19"/>
    <mergeCell ref="AP19:AQ19"/>
    <mergeCell ref="AR19:AT19"/>
    <mergeCell ref="AU19:AV19"/>
    <mergeCell ref="AW19:AY19"/>
    <mergeCell ref="AZ19:BA19"/>
    <mergeCell ref="BB19:BD19"/>
    <mergeCell ref="BE19:BG19"/>
    <mergeCell ref="BH19:BJ19"/>
    <mergeCell ref="BK19:BL19"/>
    <mergeCell ref="BM19:BO19"/>
    <mergeCell ref="BP19:BQ19"/>
    <mergeCell ref="BR19:BT19"/>
    <mergeCell ref="BU19:BV19"/>
    <mergeCell ref="A20:B20"/>
    <mergeCell ref="Z20:AA20"/>
    <mergeCell ref="AG20:AI20"/>
    <mergeCell ref="AJ20:AL20"/>
    <mergeCell ref="AM20:AO20"/>
    <mergeCell ref="AP20:AQ20"/>
    <mergeCell ref="AR20:AT20"/>
    <mergeCell ref="AU20:AV20"/>
    <mergeCell ref="AW20:AY20"/>
    <mergeCell ref="AZ20:BA20"/>
    <mergeCell ref="BB20:BD20"/>
    <mergeCell ref="BE20:BG20"/>
    <mergeCell ref="BH20:BJ20"/>
    <mergeCell ref="BK20:BL20"/>
    <mergeCell ref="BM20:BO20"/>
    <mergeCell ref="BP20:BQ20"/>
    <mergeCell ref="BR20:BT20"/>
    <mergeCell ref="BU20:BV20"/>
    <mergeCell ref="A21:BV21"/>
  </mergeCells>
  <pageMargins left="0.75" right="0.75" top="1" bottom="1" header="0.5" footer="0.5"/>
  <headerFooter/>
  <ignoredErrors>
    <ignoredError sqref="G12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2021-03-12T03:35:00Z</dcterms:created>
  <dcterms:modified xsi:type="dcterms:W3CDTF">2021-03-15T06:26:46Z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