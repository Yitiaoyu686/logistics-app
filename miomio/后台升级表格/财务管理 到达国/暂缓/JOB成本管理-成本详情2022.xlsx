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1"/>
  </bookViews>
  <sheets>
    <sheet name="正常" sheetId="3" r:id="rId1"/>
    <sheet name="展开" sheetId="4" r:id="rId2"/>
  </sheets>
  <calcPr calcId="144525"/>
</workbook>
</file>

<file path=xl/sharedStrings.xml><?xml version="1.0" encoding="utf-8"?>
<sst xmlns="http://schemas.openxmlformats.org/spreadsheetml/2006/main" count="282" uniqueCount="74">
  <si>
    <t>工单详情</t>
  </si>
  <si>
    <r>
      <rPr>
        <b/>
        <sz val="11"/>
        <color theme="1"/>
        <rFont val="宋体"/>
        <charset val="134"/>
      </rPr>
      <t>服务类型：普快</t>
    </r>
  </si>
  <si>
    <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</si>
  <si>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</si>
  <si>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</si>
  <si>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</si>
  <si>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</si>
  <si>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</si>
  <si>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</si>
  <si>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</si>
  <si>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t>到港日期</t>
    </r>
    <r>
      <rPr>
        <sz val="9"/>
        <color theme="1"/>
        <rFont val="Arial"/>
        <charset val="134"/>
      </rPr>
      <t>2019/8/28 15:01:22</t>
    </r>
  </si>
  <si>
    <t>站点</t>
  </si>
  <si>
    <t>JOB</t>
  </si>
  <si>
    <t>订单数量</t>
  </si>
  <si>
    <t>件数</t>
  </si>
  <si>
    <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</si>
  <si>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</si>
  <si>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</si>
  <si>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</si>
  <si>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</si>
  <si>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</si>
  <si>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</si>
  <si>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</si>
  <si>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</si>
  <si>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</si>
  <si>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</si>
  <si>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t xml:space="preserve">预付订单应收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</si>
  <si>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CNY892,422.00</t>
    </r>
  </si>
  <si>
    <r>
      <t xml:space="preserve">到付订单应收 </t>
    </r>
    <r>
      <rPr>
        <b/>
        <sz val="11"/>
        <color rgb="FF0070C0"/>
        <rFont val="宋体"/>
        <charset val="134"/>
      </rPr>
      <t xml:space="preserve"> 收起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</si>
  <si>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USD892,422.00</t>
    </r>
  </si>
  <si>
    <r>
      <rPr>
        <b/>
        <sz val="9"/>
        <color rgb="FF393939"/>
        <rFont val="Microsoft JhengHei"/>
        <charset val="134"/>
      </rPr>
      <t>应收明细</t>
    </r>
  </si>
  <si>
    <r>
      <rPr>
        <b/>
        <sz val="9"/>
        <color theme="1"/>
        <rFont val="宋体"/>
        <charset val="134"/>
      </rPr>
      <t>序号</t>
    </r>
  </si>
  <si>
    <r>
      <rPr>
        <b/>
        <sz val="9"/>
        <color theme="1"/>
        <rFont val="宋体"/>
        <charset val="134"/>
      </rPr>
      <t>供应商</t>
    </r>
  </si>
  <si>
    <r>
      <rPr>
        <sz val="9"/>
        <color theme="1"/>
        <rFont val="宋体"/>
        <charset val="134"/>
      </rPr>
      <t>订单号</t>
    </r>
  </si>
  <si>
    <r>
      <rPr>
        <sz val="9"/>
        <color theme="1"/>
        <rFont val="Microsoft JhengHei"/>
        <charset val="134"/>
      </rPr>
      <t>项目</t>
    </r>
  </si>
  <si>
    <r>
      <t>单价</t>
    </r>
    <r>
      <rPr>
        <b/>
        <sz val="9"/>
        <color theme="1"/>
        <rFont val="Arial"/>
        <charset val="134"/>
      </rPr>
      <t xml:space="preserve"> CNY</t>
    </r>
  </si>
  <si>
    <r>
      <rPr>
        <b/>
        <sz val="9"/>
        <color rgb="FF393939"/>
        <rFont val="宋体"/>
        <charset val="134"/>
      </rPr>
      <t>数量</t>
    </r>
  </si>
  <si>
    <r>
      <t>小计</t>
    </r>
    <r>
      <rPr>
        <b/>
        <sz val="9"/>
        <color rgb="FF393939"/>
        <rFont val="Arial"/>
        <charset val="134"/>
      </rPr>
      <t xml:space="preserve"> CNY</t>
    </r>
  </si>
  <si>
    <r>
      <rPr>
        <b/>
        <sz val="9"/>
        <color theme="1"/>
        <rFont val="宋体"/>
        <charset val="134"/>
      </rPr>
      <t>支付状态</t>
    </r>
  </si>
  <si>
    <t>支付途径</t>
  </si>
  <si>
    <r>
      <rPr>
        <b/>
        <sz val="9"/>
        <color theme="1"/>
        <rFont val="宋体"/>
        <charset val="134"/>
      </rPr>
      <t>支付日期</t>
    </r>
  </si>
  <si>
    <r>
      <t>审核状态</t>
    </r>
    <r>
      <rPr>
        <b/>
        <sz val="9"/>
        <color theme="1"/>
        <rFont val="Arial"/>
        <charset val="134"/>
      </rPr>
      <t>/</t>
    </r>
    <r>
      <rPr>
        <b/>
        <sz val="9"/>
        <color theme="1"/>
        <rFont val="宋体"/>
        <charset val="134"/>
      </rPr>
      <t>日期</t>
    </r>
  </si>
  <si>
    <t>Guangzho meow meow International Freight Forwarding Co., Ltd. Shenzhen Branch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</si>
  <si>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</si>
  <si>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空运费</t>
    </r>
  </si>
  <si>
    <t>未付</t>
  </si>
  <si>
    <t>无</t>
  </si>
  <si>
    <r>
      <t>已审核</t>
    </r>
    <r>
      <rPr>
        <sz val="9"/>
        <color theme="1"/>
        <rFont val="Arial"/>
        <charset val="134"/>
      </rPr>
      <t xml:space="preserve"> CANSAMPAO  </t>
    </r>
    <r>
      <rPr>
        <sz val="8"/>
        <color theme="1"/>
        <rFont val="Arial"/>
        <charset val="134"/>
      </rPr>
      <t>2019/8/28 15:01:22</t>
    </r>
  </si>
  <si>
    <r>
      <rPr>
        <sz val="9"/>
        <color theme="1"/>
        <rFont val="宋体"/>
        <charset val="134"/>
      </rPr>
      <t>中国广东省广州喵喵国际货运代理有限公司深圳分公司</t>
    </r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</si>
  <si>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</si>
  <si>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</si>
  <si>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9"/>
        <color theme="1"/>
        <rFont val="宋体"/>
        <charset val="134"/>
      </rPr>
      <t>广州喵喵国际货运代理有限公司深圳分公司</t>
    </r>
  </si>
  <si>
    <r>
      <rPr>
        <sz val="9"/>
        <color theme="1"/>
        <rFont val="Microsoft JhengHei"/>
        <charset val="134"/>
      </rPr>
      <t>提货费</t>
    </r>
  </si>
  <si>
    <r>
      <rPr>
        <sz val="9"/>
        <color theme="1"/>
        <rFont val="Microsoft JhengHei"/>
        <charset val="134"/>
      </rPr>
      <t>送货费</t>
    </r>
  </si>
  <si>
    <r>
      <rPr>
        <sz val="9"/>
        <color theme="1"/>
        <rFont val="Microsoft JhengHei"/>
        <charset val="134"/>
      </rPr>
      <t>包装费</t>
    </r>
  </si>
  <si>
    <r>
      <rPr>
        <sz val="9"/>
        <color theme="1"/>
        <rFont val="Microsoft JhengHei"/>
        <charset val="134"/>
      </rPr>
      <t>代垫运费</t>
    </r>
  </si>
  <si>
    <r>
      <rPr>
        <sz val="9"/>
        <color theme="1"/>
        <rFont val="Microsoft JhengHei"/>
        <charset val="134"/>
      </rPr>
      <t>商检费</t>
    </r>
  </si>
  <si>
    <r>
      <rPr>
        <sz val="9"/>
        <color theme="1"/>
        <rFont val="Microsoft JhengHei"/>
        <charset val="134"/>
      </rPr>
      <t>检测费</t>
    </r>
  </si>
  <si>
    <r>
      <rPr>
        <sz val="9"/>
        <color rgb="FF393939"/>
        <rFont val="宋体"/>
        <charset val="134"/>
      </rPr>
      <t>已付</t>
    </r>
  </si>
  <si>
    <t>COMPANY ACC 02020049</t>
  </si>
  <si>
    <r>
      <t xml:space="preserve">2019/8/28 15:01:22  </t>
    </r>
    <r>
      <rPr>
        <sz val="9"/>
        <color rgb="FF0070C0"/>
        <rFont val="宋体"/>
        <charset val="134"/>
      </rPr>
      <t>查看</t>
    </r>
  </si>
  <si>
    <t>微信私账 35000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</si>
  <si>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CNY</t>
    </r>
  </si>
  <si>
    <r>
      <t>返回</t>
    </r>
    <r>
      <rPr>
        <b/>
        <sz val="12"/>
        <color theme="0"/>
        <rFont val="Arial"/>
        <charset val="134"/>
      </rPr>
      <t xml:space="preserve"> 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</si>
  <si>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</si>
  <si>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</si>
  <si>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CNY</t>
    </r>
  </si>
  <si>
    <r>
      <t>白云区站点</t>
    </r>
    <r>
      <rPr>
        <b/>
        <sz val="9"/>
        <color theme="1"/>
        <rFont val="Arial"/>
        <charset val="134"/>
      </rPr>
      <t>JOB123456</t>
    </r>
  </si>
  <si>
    <r>
      <t>海珠区站点</t>
    </r>
    <r>
      <rPr>
        <b/>
        <sz val="9"/>
        <color theme="1"/>
        <rFont val="Arial"/>
        <charset val="134"/>
      </rPr>
      <t>JOB123456</t>
    </r>
  </si>
  <si>
    <r>
      <t>福田区站点</t>
    </r>
    <r>
      <rPr>
        <b/>
        <sz val="9"/>
        <color theme="1"/>
        <rFont val="Arial"/>
        <charset val="134"/>
      </rPr>
      <t>JOB213456</t>
    </r>
  </si>
  <si>
    <t>站点/JOB</t>
  </si>
  <si>
    <t>订单号</t>
  </si>
  <si>
    <r>
      <t>应收</t>
    </r>
    <r>
      <rPr>
        <b/>
        <sz val="9"/>
        <color theme="1"/>
        <rFont val="Arial"/>
        <charset val="134"/>
      </rPr>
      <t>USD</t>
    </r>
  </si>
  <si>
    <r>
      <t>应收</t>
    </r>
    <r>
      <rPr>
        <b/>
        <sz val="9"/>
        <color theme="1"/>
        <rFont val="Arial"/>
        <charset val="134"/>
      </rPr>
      <t>CNY</t>
    </r>
  </si>
</sst>
</file>

<file path=xl/styles.xml><?xml version="1.0" encoding="utf-8"?>
<styleSheet xmlns="http://schemas.openxmlformats.org/spreadsheetml/2006/main">
  <numFmts count="10">
    <numFmt numFmtId="176" formatCode="0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#,##0.00_ "/>
    <numFmt numFmtId="7" formatCode="&quot;￥&quot;#,##0.00;&quot;￥&quot;\-#,##0.00"/>
    <numFmt numFmtId="178" formatCode="\$#,##0.00;\-\$#,##0.00"/>
    <numFmt numFmtId="179" formatCode="0.0%"/>
    <numFmt numFmtId="180" formatCode="yyyy/m/d\ h:mm;@"/>
  </numFmts>
  <fonts count="46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FF0000"/>
      <name val="Arial"/>
      <charset val="134"/>
    </font>
    <font>
      <b/>
      <sz val="9"/>
      <color rgb="FF393939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sz val="9"/>
      <color rgb="FF0070C0"/>
      <name val="Arial"/>
      <charset val="134"/>
    </font>
    <font>
      <b/>
      <sz val="9"/>
      <color theme="0"/>
      <name val="Arial"/>
      <charset val="134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0070C0"/>
      <name val="宋体"/>
      <charset val="134"/>
    </font>
    <font>
      <b/>
      <sz val="11"/>
      <color rgb="FFFF0000"/>
      <name val="宋体"/>
      <charset val="134"/>
    </font>
    <font>
      <b/>
      <sz val="9"/>
      <color rgb="FF393939"/>
      <name val="Microsoft JhengHei"/>
      <charset val="134"/>
    </font>
    <font>
      <sz val="8"/>
      <color theme="1"/>
      <name val="Arial"/>
      <charset val="134"/>
    </font>
    <font>
      <sz val="9"/>
      <color rgb="FF0070C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9" borderId="10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6" fillId="28" borderId="13" applyNumberFormat="0" applyAlignment="0" applyProtection="0">
      <alignment vertical="center"/>
    </xf>
    <xf numFmtId="0" fontId="35" fillId="28" borderId="9" applyNumberFormat="0" applyAlignment="0" applyProtection="0">
      <alignment vertical="center"/>
    </xf>
    <xf numFmtId="0" fontId="38" fillId="30" borderId="14" applyNumberFormat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6" fontId="10" fillId="5" borderId="3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/>
    </xf>
    <xf numFmtId="176" fontId="10" fillId="5" borderId="0" xfId="0" applyNumberFormat="1" applyFont="1" applyFill="1" applyAlignment="1">
      <alignment horizontal="center" vertical="center"/>
    </xf>
    <xf numFmtId="176" fontId="10" fillId="5" borderId="0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7" fontId="6" fillId="2" borderId="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176" fontId="10" fillId="5" borderId="3" xfId="0" applyNumberFormat="1" applyFont="1" applyFill="1" applyBorder="1" applyAlignment="1">
      <alignment horizontal="center" vertical="center" wrapText="1"/>
    </xf>
    <xf numFmtId="176" fontId="10" fillId="6" borderId="3" xfId="0" applyNumberFormat="1" applyFont="1" applyFill="1" applyBorder="1" applyAlignment="1">
      <alignment horizontal="center" vertical="center" wrapText="1"/>
    </xf>
    <xf numFmtId="176" fontId="1" fillId="6" borderId="0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177" fontId="6" fillId="6" borderId="0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" fillId="5" borderId="0" xfId="0" applyNumberFormat="1" applyFont="1" applyFill="1" applyAlignment="1">
      <alignment horizontal="center" vertical="center" wrapText="1"/>
    </xf>
    <xf numFmtId="0" fontId="12" fillId="5" borderId="3" xfId="0" applyFont="1" applyFill="1" applyBorder="1" applyAlignment="1">
      <alignment horizontal="right" vertical="center" wrapText="1"/>
    </xf>
    <xf numFmtId="0" fontId="12" fillId="5" borderId="0" xfId="0" applyFont="1" applyFill="1" applyAlignment="1">
      <alignment horizontal="right"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177" fontId="1" fillId="6" borderId="0" xfId="0" applyNumberFormat="1" applyFont="1" applyFill="1" applyAlignment="1">
      <alignment horizontal="center" vertical="center" wrapText="1"/>
    </xf>
    <xf numFmtId="176" fontId="11" fillId="5" borderId="3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178" fontId="1" fillId="5" borderId="0" xfId="0" applyNumberFormat="1" applyFont="1" applyFill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76" fontId="1" fillId="7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176" fontId="1" fillId="5" borderId="0" xfId="0" applyNumberFormat="1" applyFont="1" applyFill="1" applyAlignment="1">
      <alignment horizontal="center" vertical="center"/>
    </xf>
    <xf numFmtId="0" fontId="14" fillId="6" borderId="3" xfId="0" applyFont="1" applyFill="1" applyBorder="1" applyAlignment="1">
      <alignment vertical="center"/>
    </xf>
    <xf numFmtId="0" fontId="14" fillId="6" borderId="0" xfId="0" applyFont="1" applyFill="1" applyBorder="1" applyAlignment="1">
      <alignment vertical="center"/>
    </xf>
    <xf numFmtId="0" fontId="1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177" fontId="1" fillId="7" borderId="0" xfId="0" applyNumberFormat="1" applyFont="1" applyFill="1" applyAlignment="1">
      <alignment horizontal="center" vertical="center"/>
    </xf>
    <xf numFmtId="177" fontId="11" fillId="7" borderId="0" xfId="0" applyNumberFormat="1" applyFont="1" applyFill="1" applyBorder="1" applyAlignment="1">
      <alignment horizontal="center" vertical="center"/>
    </xf>
    <xf numFmtId="177" fontId="13" fillId="7" borderId="0" xfId="0" applyNumberFormat="1" applyFont="1" applyFill="1" applyBorder="1" applyAlignment="1">
      <alignment horizontal="center" vertical="center" wrapText="1"/>
    </xf>
    <xf numFmtId="177" fontId="17" fillId="7" borderId="0" xfId="0" applyNumberFormat="1" applyFont="1" applyFill="1" applyBorder="1" applyAlignment="1">
      <alignment horizontal="center" vertical="center" wrapText="1"/>
    </xf>
    <xf numFmtId="177" fontId="10" fillId="7" borderId="0" xfId="0" applyNumberFormat="1" applyFont="1" applyFill="1" applyBorder="1" applyAlignment="1">
      <alignment horizontal="center" vertical="center" wrapText="1"/>
    </xf>
    <xf numFmtId="177" fontId="11" fillId="7" borderId="0" xfId="0" applyNumberFormat="1" applyFont="1" applyFill="1" applyAlignment="1">
      <alignment horizontal="center" vertical="center" wrapText="1"/>
    </xf>
    <xf numFmtId="177" fontId="10" fillId="7" borderId="0" xfId="0" applyNumberFormat="1" applyFon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/>
    </xf>
    <xf numFmtId="177" fontId="18" fillId="2" borderId="0" xfId="0" applyNumberFormat="1" applyFont="1" applyFill="1" applyBorder="1" applyAlignment="1">
      <alignment horizontal="center" vertical="center" wrapText="1"/>
    </xf>
    <xf numFmtId="177" fontId="19" fillId="2" borderId="0" xfId="0" applyNumberFormat="1" applyFont="1" applyFill="1" applyAlignment="1">
      <alignment horizontal="center" vertical="center" wrapText="1"/>
    </xf>
    <xf numFmtId="180" fontId="19" fillId="2" borderId="0" xfId="0" applyNumberFormat="1" applyFont="1" applyFill="1" applyAlignment="1">
      <alignment horizontal="center" vertical="center" wrapText="1"/>
    </xf>
    <xf numFmtId="180" fontId="18" fillId="2" borderId="0" xfId="0" applyNumberFormat="1" applyFont="1" applyFill="1" applyAlignment="1">
      <alignment horizontal="center" vertical="center" wrapText="1"/>
    </xf>
    <xf numFmtId="177" fontId="1" fillId="5" borderId="0" xfId="0" applyNumberFormat="1" applyFont="1" applyFill="1" applyAlignment="1">
      <alignment horizontal="center" vertical="center"/>
    </xf>
    <xf numFmtId="177" fontId="1" fillId="5" borderId="0" xfId="0" applyNumberFormat="1" applyFont="1" applyFill="1" applyBorder="1" applyAlignment="1">
      <alignment horizontal="center" vertical="center"/>
    </xf>
    <xf numFmtId="177" fontId="18" fillId="5" borderId="0" xfId="0" applyNumberFormat="1" applyFont="1" applyFill="1" applyBorder="1" applyAlignment="1">
      <alignment horizontal="center" vertical="center" wrapText="1"/>
    </xf>
    <xf numFmtId="177" fontId="18" fillId="5" borderId="0" xfId="0" applyNumberFormat="1" applyFont="1" applyFill="1" applyAlignment="1">
      <alignment horizontal="center" vertical="center" wrapText="1"/>
    </xf>
    <xf numFmtId="180" fontId="19" fillId="5" borderId="0" xfId="0" applyNumberFormat="1" applyFont="1" applyFill="1" applyAlignment="1">
      <alignment horizontal="center" vertical="center" wrapText="1"/>
    </xf>
    <xf numFmtId="180" fontId="18" fillId="5" borderId="0" xfId="0" applyNumberFormat="1" applyFont="1" applyFill="1" applyAlignment="1">
      <alignment horizontal="center" vertical="center" wrapText="1"/>
    </xf>
    <xf numFmtId="177" fontId="18" fillId="2" borderId="0" xfId="0" applyNumberFormat="1" applyFont="1" applyFill="1" applyAlignment="1">
      <alignment horizontal="center" vertical="center" wrapText="1"/>
    </xf>
    <xf numFmtId="0" fontId="20" fillId="6" borderId="0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 wrapText="1"/>
    </xf>
    <xf numFmtId="177" fontId="12" fillId="6" borderId="0" xfId="0" applyNumberFormat="1" applyFont="1" applyFill="1" applyBorder="1" applyAlignment="1">
      <alignment horizontal="center" vertical="center" wrapText="1"/>
    </xf>
    <xf numFmtId="0" fontId="20" fillId="6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10" fontId="1" fillId="2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6" fontId="10" fillId="5" borderId="7" xfId="0" applyNumberFormat="1" applyFont="1" applyFill="1" applyBorder="1" applyAlignment="1">
      <alignment horizontal="center" vertical="center"/>
    </xf>
    <xf numFmtId="177" fontId="6" fillId="2" borderId="7" xfId="0" applyNumberFormat="1" applyFont="1" applyFill="1" applyBorder="1" applyAlignment="1">
      <alignment horizontal="center" vertical="center"/>
    </xf>
    <xf numFmtId="177" fontId="6" fillId="6" borderId="7" xfId="0" applyNumberFormat="1" applyFont="1" applyFill="1" applyBorder="1" applyAlignment="1">
      <alignment horizontal="center" vertical="center"/>
    </xf>
    <xf numFmtId="7" fontId="1" fillId="5" borderId="7" xfId="0" applyNumberFormat="1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right" vertical="center" wrapText="1"/>
    </xf>
    <xf numFmtId="0" fontId="1" fillId="6" borderId="7" xfId="0" applyFont="1" applyFill="1" applyBorder="1" applyAlignment="1">
      <alignment vertical="center"/>
    </xf>
    <xf numFmtId="176" fontId="11" fillId="5" borderId="7" xfId="0" applyNumberFormat="1" applyFont="1" applyFill="1" applyBorder="1" applyAlignment="1">
      <alignment horizontal="center" vertical="center"/>
    </xf>
    <xf numFmtId="178" fontId="1" fillId="5" borderId="7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 wrapText="1"/>
    </xf>
    <xf numFmtId="177" fontId="10" fillId="7" borderId="7" xfId="0" applyNumberFormat="1" applyFont="1" applyFill="1" applyBorder="1" applyAlignment="1">
      <alignment horizontal="center" vertical="center" wrapText="1"/>
    </xf>
    <xf numFmtId="177" fontId="7" fillId="2" borderId="0" xfId="0" applyNumberFormat="1" applyFont="1" applyFill="1" applyAlignment="1">
      <alignment horizontal="center" vertical="center" wrapText="1"/>
    </xf>
    <xf numFmtId="177" fontId="1" fillId="2" borderId="7" xfId="0" applyNumberFormat="1" applyFont="1" applyFill="1" applyBorder="1" applyAlignment="1">
      <alignment horizontal="center" vertical="center" wrapText="1"/>
    </xf>
    <xf numFmtId="177" fontId="7" fillId="5" borderId="0" xfId="0" applyNumberFormat="1" applyFont="1" applyFill="1" applyAlignment="1">
      <alignment horizontal="center" vertical="center" wrapText="1"/>
    </xf>
    <xf numFmtId="177" fontId="1" fillId="5" borderId="7" xfId="0" applyNumberFormat="1" applyFont="1" applyFill="1" applyBorder="1" applyAlignment="1">
      <alignment horizontal="center" vertical="center" wrapText="1"/>
    </xf>
    <xf numFmtId="0" fontId="20" fillId="6" borderId="0" xfId="0" applyFont="1" applyFill="1" applyBorder="1" applyAlignment="1">
      <alignment vertical="center"/>
    </xf>
    <xf numFmtId="0" fontId="18" fillId="6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21" fillId="3" borderId="5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10" fillId="2" borderId="0" xfId="0" applyFont="1" applyFill="1">
      <alignment vertical="center"/>
    </xf>
    <xf numFmtId="0" fontId="21" fillId="3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33"/>
  <sheetViews>
    <sheetView workbookViewId="0">
      <selection activeCell="E10" sqref="E10:F10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16"/>
    </row>
    <row r="2" s="1" customFormat="1" ht="25" customHeight="1" spans="2:21">
      <c r="B2" s="7" t="s">
        <v>1</v>
      </c>
      <c r="C2" s="8"/>
      <c r="D2" s="9" t="s">
        <v>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2"/>
      <c r="Q2" s="82"/>
      <c r="R2" s="82"/>
      <c r="S2" s="82"/>
      <c r="T2" s="117"/>
      <c r="U2" s="118"/>
    </row>
    <row r="3" s="1" customFormat="1" ht="25" customHeight="1" spans="2:21">
      <c r="B3" s="7" t="s">
        <v>3</v>
      </c>
      <c r="C3" s="8"/>
      <c r="D3" s="8" t="s">
        <v>4</v>
      </c>
      <c r="E3" s="8"/>
      <c r="F3" s="8" t="s">
        <v>5</v>
      </c>
      <c r="G3" s="8"/>
      <c r="H3" s="8" t="s">
        <v>6</v>
      </c>
      <c r="I3" s="8"/>
      <c r="J3" s="8" t="s">
        <v>7</v>
      </c>
      <c r="K3" s="8"/>
      <c r="L3" s="8"/>
      <c r="M3" s="8"/>
      <c r="N3" s="8"/>
      <c r="O3" s="8"/>
      <c r="P3" s="82"/>
      <c r="Q3" s="82"/>
      <c r="R3" s="82"/>
      <c r="S3" s="82"/>
      <c r="T3" s="117"/>
      <c r="U3" s="118"/>
    </row>
    <row r="4" ht="25" customHeight="1" spans="2:20">
      <c r="B4" s="10" t="s">
        <v>8</v>
      </c>
      <c r="C4" s="11"/>
      <c r="D4" s="11"/>
      <c r="E4" s="12" t="s">
        <v>9</v>
      </c>
      <c r="F4" s="12"/>
      <c r="G4" s="12"/>
      <c r="H4" s="12" t="s">
        <v>10</v>
      </c>
      <c r="I4" s="12"/>
      <c r="J4" s="12"/>
      <c r="K4" s="83"/>
      <c r="L4" s="84"/>
      <c r="M4" s="85"/>
      <c r="N4" s="85"/>
      <c r="O4" s="85"/>
      <c r="P4" s="85"/>
      <c r="Q4" s="85"/>
      <c r="R4" s="85"/>
      <c r="S4" s="85"/>
      <c r="T4" s="119"/>
    </row>
    <row r="5" ht="5" customHeight="1" spans="2:20">
      <c r="B5" s="13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20"/>
    </row>
    <row r="6" s="144" customFormat="1" ht="25" customHeight="1" spans="2:21">
      <c r="B6" s="16" t="s">
        <v>11</v>
      </c>
      <c r="C6" s="17"/>
      <c r="D6" s="18" t="s">
        <v>12</v>
      </c>
      <c r="E6" s="19" t="s">
        <v>13</v>
      </c>
      <c r="F6" s="19"/>
      <c r="G6" s="19" t="s">
        <v>14</v>
      </c>
      <c r="H6" s="19"/>
      <c r="I6" s="19" t="s">
        <v>15</v>
      </c>
      <c r="J6" s="19"/>
      <c r="K6" s="19" t="s">
        <v>16</v>
      </c>
      <c r="L6" s="19"/>
      <c r="M6" s="19" t="s">
        <v>17</v>
      </c>
      <c r="N6" s="19"/>
      <c r="O6" s="86" t="s">
        <v>18</v>
      </c>
      <c r="P6" s="87"/>
      <c r="Q6" s="86" t="s">
        <v>19</v>
      </c>
      <c r="R6" s="87"/>
      <c r="S6" s="18"/>
      <c r="T6" s="121"/>
      <c r="U6" s="147"/>
    </row>
    <row r="7" ht="25" customHeight="1" spans="2:20">
      <c r="B7" s="20" t="s">
        <v>20</v>
      </c>
      <c r="C7" s="21"/>
      <c r="D7" s="22" t="s">
        <v>21</v>
      </c>
      <c r="E7" s="23">
        <v>50</v>
      </c>
      <c r="F7" s="23"/>
      <c r="G7" s="23">
        <v>20</v>
      </c>
      <c r="H7" s="23"/>
      <c r="I7" s="23">
        <v>1300</v>
      </c>
      <c r="J7" s="23"/>
      <c r="K7" s="88">
        <v>0.52</v>
      </c>
      <c r="L7" s="88"/>
      <c r="M7" s="88">
        <v>0.52</v>
      </c>
      <c r="N7" s="88"/>
      <c r="O7" s="89">
        <v>0.52</v>
      </c>
      <c r="P7" s="90"/>
      <c r="Q7" s="122">
        <v>0.9</v>
      </c>
      <c r="R7" s="123"/>
      <c r="S7" s="22"/>
      <c r="T7" s="124"/>
    </row>
    <row r="8" ht="25" customHeight="1" spans="2:20">
      <c r="B8" s="24" t="s">
        <v>22</v>
      </c>
      <c r="C8" s="25"/>
      <c r="D8" s="22" t="s">
        <v>23</v>
      </c>
      <c r="E8" s="23">
        <v>20</v>
      </c>
      <c r="F8" s="23"/>
      <c r="G8" s="23">
        <v>20</v>
      </c>
      <c r="H8" s="23"/>
      <c r="I8" s="23">
        <v>1000</v>
      </c>
      <c r="J8" s="23"/>
      <c r="K8" s="88">
        <v>0.4</v>
      </c>
      <c r="L8" s="88"/>
      <c r="M8" s="88">
        <v>0.4</v>
      </c>
      <c r="N8" s="88"/>
      <c r="O8" s="89">
        <v>0.4</v>
      </c>
      <c r="P8" s="90"/>
      <c r="Q8" s="122">
        <v>0.7</v>
      </c>
      <c r="R8" s="123"/>
      <c r="S8" s="25"/>
      <c r="T8" s="124"/>
    </row>
    <row r="9" ht="25" customHeight="1" spans="2:20">
      <c r="B9" s="24" t="s">
        <v>24</v>
      </c>
      <c r="C9" s="25"/>
      <c r="D9" s="22" t="s">
        <v>25</v>
      </c>
      <c r="E9" s="23">
        <v>5</v>
      </c>
      <c r="F9" s="23"/>
      <c r="G9" s="23">
        <v>5</v>
      </c>
      <c r="H9" s="23"/>
      <c r="I9" s="23">
        <v>200</v>
      </c>
      <c r="J9" s="23"/>
      <c r="K9" s="88">
        <v>0.08</v>
      </c>
      <c r="L9" s="88"/>
      <c r="M9" s="88">
        <v>0.08</v>
      </c>
      <c r="N9" s="88"/>
      <c r="O9" s="89">
        <v>0.08</v>
      </c>
      <c r="P9" s="90"/>
      <c r="Q9" s="89">
        <v>0.5</v>
      </c>
      <c r="R9" s="90"/>
      <c r="S9" s="22"/>
      <c r="T9" s="124"/>
    </row>
    <row r="10" ht="25" customHeight="1" spans="2:20">
      <c r="B10" s="26"/>
      <c r="C10" s="27"/>
      <c r="D10" s="22"/>
      <c r="E10" s="23">
        <f t="shared" ref="E10:I10" si="0">SUM(E7:E9)</f>
        <v>75</v>
      </c>
      <c r="F10" s="23"/>
      <c r="G10" s="23">
        <f t="shared" si="0"/>
        <v>45</v>
      </c>
      <c r="H10" s="23"/>
      <c r="I10" s="23">
        <f t="shared" si="0"/>
        <v>2500</v>
      </c>
      <c r="J10" s="23"/>
      <c r="K10" s="91"/>
      <c r="L10" s="91"/>
      <c r="M10" s="91"/>
      <c r="N10" s="91"/>
      <c r="O10" s="25"/>
      <c r="P10" s="25"/>
      <c r="Q10" s="25"/>
      <c r="R10" s="25"/>
      <c r="S10" s="22"/>
      <c r="T10" s="124"/>
    </row>
    <row r="11" ht="5" customHeight="1" spans="2:20">
      <c r="B11" s="28"/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25"/>
    </row>
    <row r="12" ht="25" customHeight="1" spans="2:20">
      <c r="B12" s="31" t="s">
        <v>26</v>
      </c>
      <c r="C12" s="3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126"/>
    </row>
    <row r="13" ht="25" customHeight="1" spans="2:20">
      <c r="B13" s="54" t="s">
        <v>27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131"/>
    </row>
    <row r="14" ht="5" customHeight="1" spans="2:20">
      <c r="B14" s="56"/>
      <c r="C14" s="57"/>
      <c r="D14" s="58"/>
      <c r="E14" s="59"/>
      <c r="F14" s="58"/>
      <c r="G14" s="58"/>
      <c r="H14" s="59"/>
      <c r="I14" s="58"/>
      <c r="J14" s="58"/>
      <c r="K14" s="59"/>
      <c r="L14" s="58"/>
      <c r="M14" s="58"/>
      <c r="N14" s="59"/>
      <c r="O14" s="58"/>
      <c r="P14" s="58"/>
      <c r="Q14" s="59"/>
      <c r="R14" s="59"/>
      <c r="S14" s="59"/>
      <c r="T14" s="132"/>
    </row>
    <row r="15" ht="25" customHeight="1" spans="2:20">
      <c r="B15" s="31" t="s">
        <v>28</v>
      </c>
      <c r="C15" s="32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126"/>
    </row>
    <row r="16" ht="25" customHeight="1" spans="2:20">
      <c r="B16" s="54" t="s">
        <v>29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131"/>
    </row>
    <row r="17" ht="5" customHeight="1" spans="2:20">
      <c r="B17" s="28"/>
      <c r="C17" s="29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125"/>
    </row>
    <row r="18" ht="25" customHeight="1" spans="2:20">
      <c r="B18" s="65" t="s">
        <v>30</v>
      </c>
      <c r="C18" s="66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135"/>
    </row>
    <row r="19" ht="25" customHeight="1" spans="2:20">
      <c r="B19" s="68" t="s">
        <v>31</v>
      </c>
      <c r="C19" s="69" t="s">
        <v>32</v>
      </c>
      <c r="D19" s="69"/>
      <c r="E19" s="69"/>
      <c r="F19" s="69"/>
      <c r="G19" s="70" t="s">
        <v>33</v>
      </c>
      <c r="H19" s="70"/>
      <c r="I19" s="92" t="s">
        <v>34</v>
      </c>
      <c r="J19" s="92"/>
      <c r="K19" s="93" t="s">
        <v>35</v>
      </c>
      <c r="L19" s="94" t="s">
        <v>36</v>
      </c>
      <c r="M19" s="95" t="s">
        <v>37</v>
      </c>
      <c r="N19" s="96" t="s">
        <v>38</v>
      </c>
      <c r="O19" s="97" t="s">
        <v>39</v>
      </c>
      <c r="P19" s="98"/>
      <c r="Q19" s="98" t="s">
        <v>40</v>
      </c>
      <c r="R19" s="98"/>
      <c r="S19" s="97" t="s">
        <v>41</v>
      </c>
      <c r="T19" s="136"/>
    </row>
    <row r="20" ht="25" customHeight="1" spans="2:20">
      <c r="B20" s="71">
        <v>1</v>
      </c>
      <c r="C20" s="25" t="s">
        <v>42</v>
      </c>
      <c r="D20" s="25"/>
      <c r="E20" s="25"/>
      <c r="F20" s="25"/>
      <c r="G20" s="40" t="s">
        <v>43</v>
      </c>
      <c r="H20" s="40"/>
      <c r="I20" s="99" t="s">
        <v>44</v>
      </c>
      <c r="J20" s="99"/>
      <c r="K20" s="100">
        <v>30</v>
      </c>
      <c r="L20" s="101">
        <v>2500</v>
      </c>
      <c r="M20" s="101">
        <v>75000</v>
      </c>
      <c r="N20" s="102" t="s">
        <v>45</v>
      </c>
      <c r="O20" s="103" t="s">
        <v>46</v>
      </c>
      <c r="P20" s="104"/>
      <c r="Q20" s="103" t="s">
        <v>46</v>
      </c>
      <c r="R20" s="104"/>
      <c r="S20" s="137" t="s">
        <v>47</v>
      </c>
      <c r="T20" s="138"/>
    </row>
    <row r="21" ht="25" customHeight="1" spans="2:20">
      <c r="B21" s="72">
        <v>2</v>
      </c>
      <c r="C21" s="73" t="s">
        <v>48</v>
      </c>
      <c r="D21" s="73"/>
      <c r="E21" s="73"/>
      <c r="F21" s="73"/>
      <c r="G21" s="74" t="s">
        <v>43</v>
      </c>
      <c r="H21" s="74"/>
      <c r="I21" s="105" t="s">
        <v>49</v>
      </c>
      <c r="J21" s="105"/>
      <c r="K21" s="106">
        <v>350</v>
      </c>
      <c r="L21" s="107">
        <v>1</v>
      </c>
      <c r="M21" s="107">
        <v>350</v>
      </c>
      <c r="N21" s="108" t="s">
        <v>50</v>
      </c>
      <c r="O21" s="109" t="s">
        <v>46</v>
      </c>
      <c r="P21" s="110"/>
      <c r="Q21" s="109" t="s">
        <v>46</v>
      </c>
      <c r="R21" s="110"/>
      <c r="S21" s="139" t="s">
        <v>47</v>
      </c>
      <c r="T21" s="140"/>
    </row>
    <row r="22" ht="25" customHeight="1" spans="2:20">
      <c r="B22" s="71">
        <v>3</v>
      </c>
      <c r="C22" s="25" t="s">
        <v>51</v>
      </c>
      <c r="D22" s="25"/>
      <c r="E22" s="25"/>
      <c r="F22" s="25"/>
      <c r="G22" s="40" t="s">
        <v>43</v>
      </c>
      <c r="H22" s="40"/>
      <c r="I22" s="99" t="s">
        <v>52</v>
      </c>
      <c r="J22" s="99"/>
      <c r="K22" s="100">
        <v>30</v>
      </c>
      <c r="L22" s="101">
        <v>1</v>
      </c>
      <c r="M22" s="101">
        <v>30</v>
      </c>
      <c r="N22" s="111" t="s">
        <v>50</v>
      </c>
      <c r="O22" s="103" t="s">
        <v>46</v>
      </c>
      <c r="P22" s="104"/>
      <c r="Q22" s="103" t="s">
        <v>46</v>
      </c>
      <c r="R22" s="104"/>
      <c r="S22" s="137" t="s">
        <v>47</v>
      </c>
      <c r="T22" s="138"/>
    </row>
    <row r="23" ht="25" customHeight="1" spans="2:20">
      <c r="B23" s="72">
        <v>4</v>
      </c>
      <c r="C23" s="73" t="s">
        <v>51</v>
      </c>
      <c r="D23" s="73"/>
      <c r="E23" s="73"/>
      <c r="F23" s="73"/>
      <c r="G23" s="74" t="s">
        <v>43</v>
      </c>
      <c r="H23" s="74"/>
      <c r="I23" s="105" t="s">
        <v>53</v>
      </c>
      <c r="J23" s="105"/>
      <c r="K23" s="106">
        <v>30</v>
      </c>
      <c r="L23" s="107">
        <v>1</v>
      </c>
      <c r="M23" s="107">
        <v>30</v>
      </c>
      <c r="N23" s="108" t="s">
        <v>50</v>
      </c>
      <c r="O23" s="109" t="s">
        <v>46</v>
      </c>
      <c r="P23" s="110"/>
      <c r="Q23" s="109" t="s">
        <v>46</v>
      </c>
      <c r="R23" s="110"/>
      <c r="S23" s="139" t="s">
        <v>47</v>
      </c>
      <c r="T23" s="140"/>
    </row>
    <row r="24" ht="25" customHeight="1" spans="2:20">
      <c r="B24" s="71">
        <v>5</v>
      </c>
      <c r="C24" s="25" t="s">
        <v>51</v>
      </c>
      <c r="D24" s="25"/>
      <c r="E24" s="25"/>
      <c r="F24" s="25"/>
      <c r="G24" s="40" t="s">
        <v>43</v>
      </c>
      <c r="H24" s="40"/>
      <c r="I24" s="99" t="s">
        <v>54</v>
      </c>
      <c r="J24" s="99"/>
      <c r="K24" s="100">
        <v>30</v>
      </c>
      <c r="L24" s="101">
        <v>2</v>
      </c>
      <c r="M24" s="101">
        <v>60</v>
      </c>
      <c r="N24" s="111" t="s">
        <v>50</v>
      </c>
      <c r="O24" s="103" t="s">
        <v>46</v>
      </c>
      <c r="P24" s="104"/>
      <c r="Q24" s="103" t="s">
        <v>46</v>
      </c>
      <c r="R24" s="104"/>
      <c r="S24" s="137" t="s">
        <v>47</v>
      </c>
      <c r="T24" s="138"/>
    </row>
    <row r="25" ht="25" customHeight="1" spans="2:20">
      <c r="B25" s="72">
        <v>6</v>
      </c>
      <c r="C25" s="73" t="s">
        <v>51</v>
      </c>
      <c r="D25" s="73"/>
      <c r="E25" s="73"/>
      <c r="F25" s="73"/>
      <c r="G25" s="74">
        <v>190922000006</v>
      </c>
      <c r="H25" s="74"/>
      <c r="I25" s="105" t="s">
        <v>55</v>
      </c>
      <c r="J25" s="105"/>
      <c r="K25" s="106">
        <v>30</v>
      </c>
      <c r="L25" s="107">
        <v>1</v>
      </c>
      <c r="M25" s="107">
        <v>30</v>
      </c>
      <c r="N25" s="108" t="s">
        <v>50</v>
      </c>
      <c r="O25" s="109" t="s">
        <v>46</v>
      </c>
      <c r="P25" s="110"/>
      <c r="Q25" s="109" t="s">
        <v>46</v>
      </c>
      <c r="R25" s="110"/>
      <c r="S25" s="139" t="s">
        <v>47</v>
      </c>
      <c r="T25" s="140"/>
    </row>
    <row r="26" ht="25" customHeight="1" spans="2:20">
      <c r="B26" s="71">
        <v>7</v>
      </c>
      <c r="C26" s="25" t="s">
        <v>51</v>
      </c>
      <c r="D26" s="25"/>
      <c r="E26" s="25"/>
      <c r="F26" s="25"/>
      <c r="G26" s="40">
        <v>190922000006</v>
      </c>
      <c r="H26" s="40"/>
      <c r="I26" s="99" t="s">
        <v>56</v>
      </c>
      <c r="J26" s="99"/>
      <c r="K26" s="100">
        <v>30</v>
      </c>
      <c r="L26" s="101">
        <v>2</v>
      </c>
      <c r="M26" s="101">
        <v>60</v>
      </c>
      <c r="N26" s="111" t="s">
        <v>50</v>
      </c>
      <c r="O26" s="103" t="s">
        <v>46</v>
      </c>
      <c r="P26" s="104"/>
      <c r="Q26" s="103" t="s">
        <v>46</v>
      </c>
      <c r="R26" s="104"/>
      <c r="S26" s="137" t="s">
        <v>47</v>
      </c>
      <c r="T26" s="138"/>
    </row>
    <row r="27" ht="25" customHeight="1" spans="2:20">
      <c r="B27" s="72">
        <v>8</v>
      </c>
      <c r="C27" s="73" t="s">
        <v>51</v>
      </c>
      <c r="D27" s="73"/>
      <c r="E27" s="73"/>
      <c r="F27" s="73"/>
      <c r="G27" s="74">
        <v>191013000009</v>
      </c>
      <c r="H27" s="74"/>
      <c r="I27" s="105" t="s">
        <v>57</v>
      </c>
      <c r="J27" s="105"/>
      <c r="K27" s="106">
        <v>30</v>
      </c>
      <c r="L27" s="107">
        <v>1</v>
      </c>
      <c r="M27" s="107">
        <v>30</v>
      </c>
      <c r="N27" s="108" t="s">
        <v>50</v>
      </c>
      <c r="O27" s="109" t="s">
        <v>46</v>
      </c>
      <c r="P27" s="110"/>
      <c r="Q27" s="109" t="s">
        <v>46</v>
      </c>
      <c r="R27" s="110"/>
      <c r="S27" s="139" t="s">
        <v>47</v>
      </c>
      <c r="T27" s="140"/>
    </row>
    <row r="28" ht="25" customHeight="1" spans="2:20">
      <c r="B28" s="71">
        <v>9</v>
      </c>
      <c r="C28" s="25" t="s">
        <v>51</v>
      </c>
      <c r="D28" s="25"/>
      <c r="E28" s="25"/>
      <c r="F28" s="25"/>
      <c r="G28" s="40" t="s">
        <v>43</v>
      </c>
      <c r="H28" s="40"/>
      <c r="I28" s="99" t="s">
        <v>56</v>
      </c>
      <c r="J28" s="99"/>
      <c r="K28" s="100">
        <v>30</v>
      </c>
      <c r="L28" s="101">
        <v>1</v>
      </c>
      <c r="M28" s="101">
        <v>30</v>
      </c>
      <c r="N28" s="111" t="s">
        <v>50</v>
      </c>
      <c r="O28" s="103" t="s">
        <v>46</v>
      </c>
      <c r="P28" s="104"/>
      <c r="Q28" s="103" t="s">
        <v>46</v>
      </c>
      <c r="R28" s="104"/>
      <c r="S28" s="137" t="s">
        <v>47</v>
      </c>
      <c r="T28" s="138"/>
    </row>
    <row r="29" ht="25" customHeight="1" spans="2:20">
      <c r="B29" s="72">
        <v>10</v>
      </c>
      <c r="C29" s="73" t="s">
        <v>51</v>
      </c>
      <c r="D29" s="73"/>
      <c r="E29" s="73"/>
      <c r="F29" s="73"/>
      <c r="G29" s="74" t="s">
        <v>43</v>
      </c>
      <c r="H29" s="74"/>
      <c r="I29" s="105" t="s">
        <v>56</v>
      </c>
      <c r="J29" s="105"/>
      <c r="K29" s="106">
        <v>30</v>
      </c>
      <c r="L29" s="107">
        <v>1</v>
      </c>
      <c r="M29" s="107">
        <v>30</v>
      </c>
      <c r="N29" s="108" t="s">
        <v>50</v>
      </c>
      <c r="O29" s="109" t="s">
        <v>46</v>
      </c>
      <c r="P29" s="110"/>
      <c r="Q29" s="109" t="s">
        <v>46</v>
      </c>
      <c r="R29" s="110"/>
      <c r="S29" s="139" t="s">
        <v>47</v>
      </c>
      <c r="T29" s="140"/>
    </row>
    <row r="30" ht="25" customHeight="1" spans="2:20">
      <c r="B30" s="71">
        <v>11</v>
      </c>
      <c r="C30" s="25" t="s">
        <v>51</v>
      </c>
      <c r="D30" s="25"/>
      <c r="E30" s="25"/>
      <c r="F30" s="25"/>
      <c r="G30" s="40" t="s">
        <v>43</v>
      </c>
      <c r="H30" s="40"/>
      <c r="I30" s="99" t="s">
        <v>56</v>
      </c>
      <c r="J30" s="99"/>
      <c r="K30" s="100">
        <v>30</v>
      </c>
      <c r="L30" s="101">
        <v>1</v>
      </c>
      <c r="M30" s="101">
        <v>30</v>
      </c>
      <c r="N30" s="111" t="s">
        <v>58</v>
      </c>
      <c r="O30" s="104" t="s">
        <v>59</v>
      </c>
      <c r="P30" s="104"/>
      <c r="Q30" s="104" t="s">
        <v>60</v>
      </c>
      <c r="R30" s="104"/>
      <c r="S30" s="137" t="s">
        <v>47</v>
      </c>
      <c r="T30" s="138"/>
    </row>
    <row r="31" ht="25" customHeight="1" spans="2:20">
      <c r="B31" s="72">
        <v>12</v>
      </c>
      <c r="C31" s="73" t="s">
        <v>51</v>
      </c>
      <c r="D31" s="73"/>
      <c r="E31" s="73"/>
      <c r="F31" s="73"/>
      <c r="G31" s="74" t="s">
        <v>43</v>
      </c>
      <c r="H31" s="74"/>
      <c r="I31" s="105" t="s">
        <v>56</v>
      </c>
      <c r="J31" s="105"/>
      <c r="K31" s="106">
        <v>30</v>
      </c>
      <c r="L31" s="107">
        <v>1</v>
      </c>
      <c r="M31" s="107">
        <v>30</v>
      </c>
      <c r="N31" s="108" t="s">
        <v>58</v>
      </c>
      <c r="O31" s="109" t="s">
        <v>61</v>
      </c>
      <c r="P31" s="110"/>
      <c r="Q31" s="110" t="s">
        <v>60</v>
      </c>
      <c r="R31" s="110"/>
      <c r="S31" s="139" t="s">
        <v>47</v>
      </c>
      <c r="T31" s="140"/>
    </row>
    <row r="32" s="2" customFormat="1" ht="25" customHeight="1" spans="2:21">
      <c r="B32" s="75"/>
      <c r="C32" s="76"/>
      <c r="D32" s="77"/>
      <c r="E32" s="77"/>
      <c r="F32" s="77"/>
      <c r="G32" s="77"/>
      <c r="H32" s="78"/>
      <c r="I32" s="78"/>
      <c r="J32" s="78"/>
      <c r="K32" s="112"/>
      <c r="L32" s="113" t="s">
        <v>62</v>
      </c>
      <c r="M32" s="114">
        <f>SUM(M20:M31)</f>
        <v>75710</v>
      </c>
      <c r="N32" s="112"/>
      <c r="O32" s="115"/>
      <c r="P32" s="115"/>
      <c r="Q32" s="115"/>
      <c r="R32" s="141"/>
      <c r="S32" s="115"/>
      <c r="T32" s="142"/>
      <c r="U32" s="3"/>
    </row>
    <row r="33" ht="25" customHeight="1" spans="2:20">
      <c r="B33" s="79" t="s">
        <v>63</v>
      </c>
      <c r="C33" s="145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8"/>
    </row>
  </sheetData>
  <mergeCells count="144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B13:T13"/>
    <mergeCell ref="B15:T15"/>
    <mergeCell ref="B16:T16"/>
    <mergeCell ref="B17:T17"/>
    <mergeCell ref="B18:T18"/>
    <mergeCell ref="C19:F19"/>
    <mergeCell ref="G19:H19"/>
    <mergeCell ref="I19:J19"/>
    <mergeCell ref="O19:P19"/>
    <mergeCell ref="Q19:R19"/>
    <mergeCell ref="S19:T19"/>
    <mergeCell ref="C20:F20"/>
    <mergeCell ref="G20:H20"/>
    <mergeCell ref="I20:J20"/>
    <mergeCell ref="O20:P20"/>
    <mergeCell ref="Q20:R20"/>
    <mergeCell ref="S20:T20"/>
    <mergeCell ref="C21:F21"/>
    <mergeCell ref="G21:H21"/>
    <mergeCell ref="I21:J21"/>
    <mergeCell ref="O21:P21"/>
    <mergeCell ref="Q21:R21"/>
    <mergeCell ref="S21:T21"/>
    <mergeCell ref="C22:F22"/>
    <mergeCell ref="G22:H22"/>
    <mergeCell ref="I22:J22"/>
    <mergeCell ref="O22:P22"/>
    <mergeCell ref="Q22:R22"/>
    <mergeCell ref="S22:T22"/>
    <mergeCell ref="C23:F23"/>
    <mergeCell ref="G23:H23"/>
    <mergeCell ref="I23:J23"/>
    <mergeCell ref="O23:P23"/>
    <mergeCell ref="Q23:R23"/>
    <mergeCell ref="S23:T23"/>
    <mergeCell ref="C24:F24"/>
    <mergeCell ref="G24:H24"/>
    <mergeCell ref="I24:J24"/>
    <mergeCell ref="O24:P24"/>
    <mergeCell ref="Q24:R24"/>
    <mergeCell ref="S24:T24"/>
    <mergeCell ref="C25:F25"/>
    <mergeCell ref="G25:H25"/>
    <mergeCell ref="I25:J25"/>
    <mergeCell ref="O25:P25"/>
    <mergeCell ref="Q25:R25"/>
    <mergeCell ref="S25:T25"/>
    <mergeCell ref="C26:F26"/>
    <mergeCell ref="G26:H26"/>
    <mergeCell ref="I26:J26"/>
    <mergeCell ref="O26:P26"/>
    <mergeCell ref="Q26:R26"/>
    <mergeCell ref="S26:T26"/>
    <mergeCell ref="C27:F27"/>
    <mergeCell ref="G27:H27"/>
    <mergeCell ref="I27:J27"/>
    <mergeCell ref="O27:P27"/>
    <mergeCell ref="Q27:R27"/>
    <mergeCell ref="S27:T27"/>
    <mergeCell ref="C28:F28"/>
    <mergeCell ref="G28:H28"/>
    <mergeCell ref="I28:J28"/>
    <mergeCell ref="O28:P28"/>
    <mergeCell ref="Q28:R28"/>
    <mergeCell ref="S28:T28"/>
    <mergeCell ref="C29:F29"/>
    <mergeCell ref="G29:H29"/>
    <mergeCell ref="I29:J29"/>
    <mergeCell ref="O29:P29"/>
    <mergeCell ref="Q29:R29"/>
    <mergeCell ref="S29:T29"/>
    <mergeCell ref="C30:F30"/>
    <mergeCell ref="G30:H30"/>
    <mergeCell ref="I30:J30"/>
    <mergeCell ref="O30:P30"/>
    <mergeCell ref="Q30:R30"/>
    <mergeCell ref="S30:T30"/>
    <mergeCell ref="C31:F31"/>
    <mergeCell ref="G31:H31"/>
    <mergeCell ref="I31:J31"/>
    <mergeCell ref="O31:P31"/>
    <mergeCell ref="Q31:R31"/>
    <mergeCell ref="S31:T31"/>
    <mergeCell ref="B33:T33"/>
  </mergeCells>
  <pageMargins left="1.10208333333333" right="0.393055555555556" top="0" bottom="0" header="0.5" footer="0.5"/>
  <pageSetup paperSize="5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1"/>
  <sheetViews>
    <sheetView tabSelected="1" workbookViewId="0">
      <selection activeCell="F13" sqref="F13:G13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0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16"/>
    </row>
    <row r="2" s="1" customFormat="1" ht="25" customHeight="1" spans="2:21">
      <c r="B2" s="7" t="s">
        <v>1</v>
      </c>
      <c r="C2" s="8"/>
      <c r="D2" s="9" t="s">
        <v>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2"/>
      <c r="Q2" s="82"/>
      <c r="R2" s="82"/>
      <c r="S2" s="82"/>
      <c r="T2" s="117"/>
      <c r="U2" s="118"/>
    </row>
    <row r="3" s="1" customFormat="1" ht="25" customHeight="1" spans="2:21">
      <c r="B3" s="7" t="s">
        <v>3</v>
      </c>
      <c r="C3" s="8"/>
      <c r="D3" s="8" t="s">
        <v>4</v>
      </c>
      <c r="E3" s="8"/>
      <c r="F3" s="8" t="s">
        <v>5</v>
      </c>
      <c r="G3" s="8"/>
      <c r="H3" s="8" t="s">
        <v>6</v>
      </c>
      <c r="I3" s="8"/>
      <c r="J3" s="8" t="s">
        <v>7</v>
      </c>
      <c r="K3" s="8"/>
      <c r="L3" s="8"/>
      <c r="M3" s="8"/>
      <c r="N3" s="8"/>
      <c r="O3" s="8"/>
      <c r="P3" s="82"/>
      <c r="Q3" s="82"/>
      <c r="R3" s="82"/>
      <c r="S3" s="82"/>
      <c r="T3" s="117"/>
      <c r="U3" s="118"/>
    </row>
    <row r="4" ht="25" customHeight="1" spans="2:20">
      <c r="B4" s="10" t="s">
        <v>8</v>
      </c>
      <c r="C4" s="11"/>
      <c r="D4" s="11"/>
      <c r="E4" s="12" t="s">
        <v>9</v>
      </c>
      <c r="F4" s="12"/>
      <c r="G4" s="12"/>
      <c r="H4" s="12" t="s">
        <v>10</v>
      </c>
      <c r="I4" s="12"/>
      <c r="J4" s="12"/>
      <c r="K4" s="83"/>
      <c r="L4" s="84"/>
      <c r="M4" s="85"/>
      <c r="N4" s="85"/>
      <c r="O4" s="85"/>
      <c r="P4" s="85"/>
      <c r="Q4" s="85"/>
      <c r="R4" s="85"/>
      <c r="S4" s="85"/>
      <c r="T4" s="119"/>
    </row>
    <row r="5" ht="5" customHeight="1" spans="2:20">
      <c r="B5" s="13"/>
      <c r="C5" s="14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20"/>
    </row>
    <row r="6" ht="25" customHeight="1" spans="2:20">
      <c r="B6" s="16" t="s">
        <v>11</v>
      </c>
      <c r="C6" s="17"/>
      <c r="D6" s="18" t="s">
        <v>12</v>
      </c>
      <c r="E6" s="19" t="s">
        <v>13</v>
      </c>
      <c r="F6" s="19"/>
      <c r="G6" s="19" t="s">
        <v>14</v>
      </c>
      <c r="H6" s="19"/>
      <c r="I6" s="19" t="s">
        <v>15</v>
      </c>
      <c r="J6" s="19"/>
      <c r="K6" s="19" t="s">
        <v>16</v>
      </c>
      <c r="L6" s="19"/>
      <c r="M6" s="19" t="s">
        <v>17</v>
      </c>
      <c r="N6" s="19"/>
      <c r="O6" s="86" t="s">
        <v>18</v>
      </c>
      <c r="P6" s="87"/>
      <c r="Q6" s="86" t="s">
        <v>19</v>
      </c>
      <c r="R6" s="87"/>
      <c r="S6" s="18"/>
      <c r="T6" s="121"/>
    </row>
    <row r="7" ht="25" customHeight="1" spans="2:20">
      <c r="B7" s="20" t="s">
        <v>20</v>
      </c>
      <c r="C7" s="21"/>
      <c r="D7" s="22" t="s">
        <v>21</v>
      </c>
      <c r="E7" s="23">
        <v>50</v>
      </c>
      <c r="F7" s="23"/>
      <c r="G7" s="23">
        <v>20</v>
      </c>
      <c r="H7" s="23"/>
      <c r="I7" s="23">
        <v>1300</v>
      </c>
      <c r="J7" s="23"/>
      <c r="K7" s="88">
        <v>0.52</v>
      </c>
      <c r="L7" s="88"/>
      <c r="M7" s="88">
        <v>0.52</v>
      </c>
      <c r="N7" s="88"/>
      <c r="O7" s="89">
        <v>0.52</v>
      </c>
      <c r="P7" s="90"/>
      <c r="Q7" s="122">
        <v>0.9</v>
      </c>
      <c r="R7" s="123"/>
      <c r="S7" s="22"/>
      <c r="T7" s="124"/>
    </row>
    <row r="8" ht="25" customHeight="1" spans="2:20">
      <c r="B8" s="24" t="s">
        <v>22</v>
      </c>
      <c r="C8" s="25"/>
      <c r="D8" s="22" t="s">
        <v>23</v>
      </c>
      <c r="E8" s="23">
        <v>20</v>
      </c>
      <c r="F8" s="23"/>
      <c r="G8" s="23">
        <v>20</v>
      </c>
      <c r="H8" s="23"/>
      <c r="I8" s="23">
        <v>1000</v>
      </c>
      <c r="J8" s="23"/>
      <c r="K8" s="88">
        <v>0.4</v>
      </c>
      <c r="L8" s="88"/>
      <c r="M8" s="88">
        <v>0.4</v>
      </c>
      <c r="N8" s="88"/>
      <c r="O8" s="89">
        <v>0.4</v>
      </c>
      <c r="P8" s="90"/>
      <c r="Q8" s="122">
        <v>0.7</v>
      </c>
      <c r="R8" s="123"/>
      <c r="S8" s="25"/>
      <c r="T8" s="124"/>
    </row>
    <row r="9" ht="25" customHeight="1" spans="2:20">
      <c r="B9" s="24" t="s">
        <v>24</v>
      </c>
      <c r="C9" s="25"/>
      <c r="D9" s="22" t="s">
        <v>25</v>
      </c>
      <c r="E9" s="23">
        <v>5</v>
      </c>
      <c r="F9" s="23"/>
      <c r="G9" s="23">
        <v>5</v>
      </c>
      <c r="H9" s="23"/>
      <c r="I9" s="23">
        <v>200</v>
      </c>
      <c r="J9" s="23"/>
      <c r="K9" s="88">
        <v>0.08</v>
      </c>
      <c r="L9" s="88"/>
      <c r="M9" s="88">
        <v>0.08</v>
      </c>
      <c r="N9" s="88"/>
      <c r="O9" s="89">
        <v>0.08</v>
      </c>
      <c r="P9" s="90"/>
      <c r="Q9" s="89">
        <v>0.5</v>
      </c>
      <c r="R9" s="90"/>
      <c r="S9" s="22"/>
      <c r="T9" s="124"/>
    </row>
    <row r="10" ht="25" customHeight="1" spans="2:20">
      <c r="B10" s="26"/>
      <c r="C10" s="27"/>
      <c r="D10" s="22"/>
      <c r="E10" s="23">
        <f>SUM(E7:E9)</f>
        <v>75</v>
      </c>
      <c r="F10" s="23"/>
      <c r="G10" s="23">
        <f>SUM(G7:G9)</f>
        <v>45</v>
      </c>
      <c r="H10" s="23"/>
      <c r="I10" s="23">
        <f>SUM(I7:I9)</f>
        <v>2500</v>
      </c>
      <c r="J10" s="23"/>
      <c r="K10" s="91"/>
      <c r="L10" s="91"/>
      <c r="M10" s="91"/>
      <c r="N10" s="91"/>
      <c r="O10" s="25"/>
      <c r="P10" s="25"/>
      <c r="Q10" s="25"/>
      <c r="R10" s="25"/>
      <c r="S10" s="22"/>
      <c r="T10" s="124"/>
    </row>
    <row r="11" ht="5" customHeight="1" spans="2:20">
      <c r="B11" s="28"/>
      <c r="C11" s="29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25"/>
    </row>
    <row r="12" ht="25" customHeight="1" spans="2:20">
      <c r="B12" s="31" t="s">
        <v>26</v>
      </c>
      <c r="C12" s="32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126"/>
    </row>
    <row r="13" ht="25" customHeight="1" spans="2:20">
      <c r="B13" s="34" t="s">
        <v>64</v>
      </c>
      <c r="C13" s="35" t="s">
        <v>65</v>
      </c>
      <c r="D13" s="36"/>
      <c r="E13" s="37" t="s">
        <v>66</v>
      </c>
      <c r="F13" s="37" t="s">
        <v>65</v>
      </c>
      <c r="G13" s="37"/>
      <c r="H13" s="37" t="s">
        <v>66</v>
      </c>
      <c r="I13" s="37" t="s">
        <v>65</v>
      </c>
      <c r="J13" s="37"/>
      <c r="K13" s="37" t="s">
        <v>66</v>
      </c>
      <c r="L13" s="37" t="s">
        <v>65</v>
      </c>
      <c r="M13" s="37"/>
      <c r="N13" s="37" t="s">
        <v>66</v>
      </c>
      <c r="O13" s="37" t="s">
        <v>65</v>
      </c>
      <c r="P13" s="37"/>
      <c r="Q13" s="37" t="s">
        <v>66</v>
      </c>
      <c r="R13" s="37" t="s">
        <v>65</v>
      </c>
      <c r="S13" s="37"/>
      <c r="T13" s="127" t="s">
        <v>66</v>
      </c>
    </row>
    <row r="14" ht="25" customHeight="1" spans="2:20">
      <c r="B14" s="38" t="s">
        <v>67</v>
      </c>
      <c r="C14" s="39">
        <v>191025000038</v>
      </c>
      <c r="D14" s="40"/>
      <c r="E14" s="41">
        <v>888787</v>
      </c>
      <c r="F14" s="42">
        <v>191025000038</v>
      </c>
      <c r="G14" s="42"/>
      <c r="H14" s="41">
        <v>888787</v>
      </c>
      <c r="I14" s="42">
        <v>191025000038</v>
      </c>
      <c r="J14" s="42"/>
      <c r="K14" s="41">
        <v>888787</v>
      </c>
      <c r="L14" s="42">
        <v>191025000038</v>
      </c>
      <c r="M14" s="42"/>
      <c r="N14" s="41">
        <v>888787</v>
      </c>
      <c r="O14" s="42">
        <v>191025000038</v>
      </c>
      <c r="P14" s="42"/>
      <c r="Q14" s="41">
        <v>888787</v>
      </c>
      <c r="R14" s="42">
        <v>191025000038</v>
      </c>
      <c r="S14" s="42"/>
      <c r="T14" s="128">
        <v>888787</v>
      </c>
    </row>
    <row r="15" ht="25" customHeight="1" spans="2:20">
      <c r="B15" s="43"/>
      <c r="C15" s="39">
        <v>190922000006</v>
      </c>
      <c r="D15" s="40"/>
      <c r="E15" s="41">
        <v>401</v>
      </c>
      <c r="F15" s="42">
        <v>190922000006</v>
      </c>
      <c r="G15" s="42"/>
      <c r="H15" s="41">
        <v>401</v>
      </c>
      <c r="I15" s="42">
        <v>190922000006</v>
      </c>
      <c r="J15" s="42"/>
      <c r="K15" s="41">
        <v>401</v>
      </c>
      <c r="L15" s="42">
        <v>190922000006</v>
      </c>
      <c r="M15" s="42"/>
      <c r="N15" s="41">
        <v>401</v>
      </c>
      <c r="O15" s="42">
        <v>190922000006</v>
      </c>
      <c r="P15" s="42"/>
      <c r="Q15" s="41">
        <v>401</v>
      </c>
      <c r="R15" s="42">
        <v>190922000006</v>
      </c>
      <c r="S15" s="42"/>
      <c r="T15" s="128">
        <v>401</v>
      </c>
    </row>
    <row r="16" ht="25" customHeight="1" spans="2:20">
      <c r="B16" s="43"/>
      <c r="C16" s="39">
        <v>190828000021</v>
      </c>
      <c r="D16" s="40"/>
      <c r="E16" s="41">
        <v>402</v>
      </c>
      <c r="F16" s="42">
        <v>190828000021</v>
      </c>
      <c r="G16" s="42"/>
      <c r="H16" s="41">
        <v>402</v>
      </c>
      <c r="I16" s="42">
        <v>190828000021</v>
      </c>
      <c r="J16" s="42"/>
      <c r="K16" s="41">
        <v>402</v>
      </c>
      <c r="L16" s="42">
        <v>190828000021</v>
      </c>
      <c r="M16" s="42"/>
      <c r="N16" s="41">
        <v>402</v>
      </c>
      <c r="O16" s="42">
        <v>190828000021</v>
      </c>
      <c r="P16" s="42"/>
      <c r="Q16" s="41">
        <v>402</v>
      </c>
      <c r="R16" s="42">
        <v>190828000021</v>
      </c>
      <c r="S16" s="42"/>
      <c r="T16" s="128">
        <v>402</v>
      </c>
    </row>
    <row r="17" ht="25" customHeight="1" spans="2:20">
      <c r="B17" s="43"/>
      <c r="C17" s="39">
        <v>191025000041</v>
      </c>
      <c r="D17" s="40"/>
      <c r="E17" s="41">
        <v>403</v>
      </c>
      <c r="F17" s="42">
        <v>191025000041</v>
      </c>
      <c r="G17" s="42"/>
      <c r="H17" s="41">
        <v>403</v>
      </c>
      <c r="I17" s="42">
        <v>191025000041</v>
      </c>
      <c r="J17" s="42"/>
      <c r="K17" s="41">
        <v>403</v>
      </c>
      <c r="L17" s="42">
        <v>191025000041</v>
      </c>
      <c r="M17" s="42"/>
      <c r="N17" s="41">
        <v>403</v>
      </c>
      <c r="O17" s="42">
        <v>191025000041</v>
      </c>
      <c r="P17" s="42"/>
      <c r="Q17" s="41">
        <v>403</v>
      </c>
      <c r="R17" s="42">
        <v>191025000041</v>
      </c>
      <c r="S17" s="42"/>
      <c r="T17" s="128">
        <v>403</v>
      </c>
    </row>
    <row r="18" ht="1" customHeight="1" spans="2:20">
      <c r="B18" s="44"/>
      <c r="C18" s="45"/>
      <c r="D18" s="46"/>
      <c r="E18" s="47"/>
      <c r="F18" s="48"/>
      <c r="G18" s="48"/>
      <c r="H18" s="47"/>
      <c r="I18" s="48"/>
      <c r="J18" s="48"/>
      <c r="K18" s="47"/>
      <c r="L18" s="48"/>
      <c r="M18" s="48"/>
      <c r="N18" s="47"/>
      <c r="O18" s="48"/>
      <c r="P18" s="48"/>
      <c r="Q18" s="47"/>
      <c r="R18" s="48"/>
      <c r="S18" s="48"/>
      <c r="T18" s="129"/>
    </row>
    <row r="19" ht="25" customHeight="1" spans="2:20">
      <c r="B19" s="38" t="s">
        <v>68</v>
      </c>
      <c r="C19" s="39">
        <v>191025000040</v>
      </c>
      <c r="D19" s="40"/>
      <c r="E19" s="41">
        <v>404</v>
      </c>
      <c r="F19" s="42">
        <v>191025000040</v>
      </c>
      <c r="G19" s="42"/>
      <c r="H19" s="41">
        <v>404</v>
      </c>
      <c r="I19" s="42">
        <v>191025000040</v>
      </c>
      <c r="J19" s="42"/>
      <c r="K19" s="41">
        <v>404</v>
      </c>
      <c r="L19" s="42">
        <v>191025000040</v>
      </c>
      <c r="M19" s="42"/>
      <c r="N19" s="41">
        <v>404</v>
      </c>
      <c r="O19" s="42">
        <v>191025000040</v>
      </c>
      <c r="P19" s="42"/>
      <c r="Q19" s="41">
        <v>404</v>
      </c>
      <c r="R19" s="42">
        <v>191025000040</v>
      </c>
      <c r="S19" s="42"/>
      <c r="T19" s="128">
        <v>404</v>
      </c>
    </row>
    <row r="20" ht="25" customHeight="1" spans="2:20">
      <c r="B20" s="43"/>
      <c r="C20" s="39">
        <v>191012000003</v>
      </c>
      <c r="D20" s="40"/>
      <c r="E20" s="41">
        <v>405</v>
      </c>
      <c r="F20" s="42">
        <v>191012000003</v>
      </c>
      <c r="G20" s="42"/>
      <c r="H20" s="41">
        <v>405</v>
      </c>
      <c r="I20" s="42">
        <v>191012000003</v>
      </c>
      <c r="J20" s="42"/>
      <c r="K20" s="41">
        <v>405</v>
      </c>
      <c r="L20" s="42">
        <v>191012000003</v>
      </c>
      <c r="M20" s="42"/>
      <c r="N20" s="41">
        <v>405</v>
      </c>
      <c r="O20" s="42">
        <v>191012000003</v>
      </c>
      <c r="P20" s="42"/>
      <c r="Q20" s="41">
        <v>405</v>
      </c>
      <c r="R20" s="42">
        <v>191012000003</v>
      </c>
      <c r="S20" s="42"/>
      <c r="T20" s="128">
        <v>405</v>
      </c>
    </row>
    <row r="21" ht="25" customHeight="1" spans="2:20">
      <c r="B21" s="43"/>
      <c r="C21" s="39">
        <v>191013000009</v>
      </c>
      <c r="D21" s="40"/>
      <c r="E21" s="41">
        <v>406</v>
      </c>
      <c r="F21" s="42">
        <v>191013000009</v>
      </c>
      <c r="G21" s="42"/>
      <c r="H21" s="41">
        <v>406</v>
      </c>
      <c r="I21" s="42">
        <v>191013000009</v>
      </c>
      <c r="J21" s="42"/>
      <c r="K21" s="41">
        <v>406</v>
      </c>
      <c r="L21" s="42">
        <v>191013000009</v>
      </c>
      <c r="M21" s="42"/>
      <c r="N21" s="41">
        <v>406</v>
      </c>
      <c r="O21" s="42">
        <v>191013000009</v>
      </c>
      <c r="P21" s="42"/>
      <c r="Q21" s="41">
        <v>406</v>
      </c>
      <c r="R21" s="42">
        <v>191013000009</v>
      </c>
      <c r="S21" s="42"/>
      <c r="T21" s="128">
        <v>406</v>
      </c>
    </row>
    <row r="22" ht="25" customHeight="1" spans="2:20">
      <c r="B22" s="43"/>
      <c r="C22" s="39">
        <v>190922000006</v>
      </c>
      <c r="D22" s="40"/>
      <c r="E22" s="41">
        <v>407</v>
      </c>
      <c r="F22" s="42">
        <v>190922000006</v>
      </c>
      <c r="G22" s="42"/>
      <c r="H22" s="41">
        <v>407</v>
      </c>
      <c r="I22" s="42">
        <v>190922000006</v>
      </c>
      <c r="J22" s="42"/>
      <c r="K22" s="41">
        <v>407</v>
      </c>
      <c r="L22" s="42">
        <v>190922000006</v>
      </c>
      <c r="M22" s="42"/>
      <c r="N22" s="41">
        <v>407</v>
      </c>
      <c r="O22" s="42">
        <v>190922000006</v>
      </c>
      <c r="P22" s="42"/>
      <c r="Q22" s="41">
        <v>407</v>
      </c>
      <c r="R22" s="42">
        <v>190922000006</v>
      </c>
      <c r="S22" s="42"/>
      <c r="T22" s="128">
        <v>407</v>
      </c>
    </row>
    <row r="23" ht="25" customHeight="1" spans="2:20">
      <c r="B23" s="43"/>
      <c r="C23" s="39">
        <v>190828000021</v>
      </c>
      <c r="D23" s="40"/>
      <c r="E23" s="41">
        <v>403</v>
      </c>
      <c r="F23" s="42">
        <v>190828000021</v>
      </c>
      <c r="G23" s="42"/>
      <c r="H23" s="41">
        <v>403</v>
      </c>
      <c r="I23" s="42">
        <v>190828000021</v>
      </c>
      <c r="J23" s="42"/>
      <c r="K23" s="41">
        <v>403</v>
      </c>
      <c r="L23" s="42">
        <v>190828000021</v>
      </c>
      <c r="M23" s="42"/>
      <c r="N23" s="41">
        <v>403</v>
      </c>
      <c r="O23" s="42">
        <v>190828000021</v>
      </c>
      <c r="P23" s="42"/>
      <c r="Q23" s="41">
        <v>403</v>
      </c>
      <c r="R23" s="42">
        <v>190828000021</v>
      </c>
      <c r="S23" s="42"/>
      <c r="T23" s="128">
        <v>403</v>
      </c>
    </row>
    <row r="24" ht="1" customHeight="1" spans="2:20">
      <c r="B24" s="44"/>
      <c r="C24" s="45"/>
      <c r="D24" s="46"/>
      <c r="E24" s="47"/>
      <c r="F24" s="48"/>
      <c r="G24" s="48"/>
      <c r="H24" s="47"/>
      <c r="I24" s="48"/>
      <c r="J24" s="48"/>
      <c r="K24" s="47"/>
      <c r="L24" s="48"/>
      <c r="M24" s="48"/>
      <c r="N24" s="47"/>
      <c r="O24" s="48"/>
      <c r="P24" s="48"/>
      <c r="Q24" s="47"/>
      <c r="R24" s="48"/>
      <c r="S24" s="48"/>
      <c r="T24" s="129"/>
    </row>
    <row r="25" ht="25" customHeight="1" spans="2:20">
      <c r="B25" s="49" t="s">
        <v>69</v>
      </c>
      <c r="C25" s="39">
        <v>191013000009</v>
      </c>
      <c r="D25" s="40"/>
      <c r="E25" s="41">
        <v>404</v>
      </c>
      <c r="F25" s="42">
        <v>191013000009</v>
      </c>
      <c r="G25" s="42"/>
      <c r="H25" s="41">
        <v>404</v>
      </c>
      <c r="I25" s="42">
        <v>191013000009</v>
      </c>
      <c r="J25" s="42"/>
      <c r="K25" s="41">
        <v>404</v>
      </c>
      <c r="L25" s="42">
        <v>191013000009</v>
      </c>
      <c r="M25" s="42"/>
      <c r="N25" s="41">
        <v>404</v>
      </c>
      <c r="O25" s="42">
        <v>191013000009</v>
      </c>
      <c r="P25" s="42"/>
      <c r="Q25" s="41">
        <v>404</v>
      </c>
      <c r="R25" s="42">
        <v>191013000009</v>
      </c>
      <c r="S25" s="42"/>
      <c r="T25" s="128">
        <v>404</v>
      </c>
    </row>
    <row r="26" ht="25" customHeight="1" spans="2:20">
      <c r="B26" s="50"/>
      <c r="C26" s="51"/>
      <c r="D26" s="52"/>
      <c r="E26" s="53">
        <f>SUM(E14:E25)</f>
        <v>892422</v>
      </c>
      <c r="F26" s="52"/>
      <c r="G26" s="52"/>
      <c r="H26" s="53">
        <f>SUM(H14:H25)</f>
        <v>892422</v>
      </c>
      <c r="I26" s="52"/>
      <c r="J26" s="52"/>
      <c r="K26" s="53">
        <f>SUM(K14:K25)</f>
        <v>892422</v>
      </c>
      <c r="L26" s="52"/>
      <c r="M26" s="52"/>
      <c r="N26" s="53">
        <f>SUM(N14:N25)</f>
        <v>892422</v>
      </c>
      <c r="O26" s="52"/>
      <c r="P26" s="52"/>
      <c r="Q26" s="53">
        <f>SUM(Q14:Q25)</f>
        <v>892422</v>
      </c>
      <c r="R26" s="52"/>
      <c r="S26" s="52"/>
      <c r="T26" s="130">
        <f>SUM(T14:T25)</f>
        <v>892422</v>
      </c>
    </row>
    <row r="27" ht="25" customHeight="1" spans="2:20">
      <c r="B27" s="54" t="s">
        <v>27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131"/>
    </row>
    <row r="28" ht="5" customHeight="1" spans="2:20">
      <c r="B28" s="56"/>
      <c r="C28" s="57"/>
      <c r="D28" s="58"/>
      <c r="E28" s="59"/>
      <c r="F28" s="58"/>
      <c r="G28" s="58"/>
      <c r="H28" s="59"/>
      <c r="I28" s="58"/>
      <c r="J28" s="58"/>
      <c r="K28" s="59"/>
      <c r="L28" s="58"/>
      <c r="M28" s="58"/>
      <c r="N28" s="59"/>
      <c r="O28" s="58"/>
      <c r="P28" s="58"/>
      <c r="Q28" s="59"/>
      <c r="R28" s="59"/>
      <c r="S28" s="59"/>
      <c r="T28" s="132"/>
    </row>
    <row r="29" ht="25" customHeight="1" spans="2:20">
      <c r="B29" s="31" t="s">
        <v>28</v>
      </c>
      <c r="C29" s="32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126"/>
    </row>
    <row r="30" ht="25" customHeight="1" spans="2:20">
      <c r="B30" s="60" t="s">
        <v>70</v>
      </c>
      <c r="C30" s="61" t="s">
        <v>71</v>
      </c>
      <c r="D30" s="62"/>
      <c r="E30" s="63" t="s">
        <v>72</v>
      </c>
      <c r="F30" s="63" t="s">
        <v>71</v>
      </c>
      <c r="G30" s="37"/>
      <c r="H30" s="63" t="s">
        <v>72</v>
      </c>
      <c r="I30" s="63" t="s">
        <v>71</v>
      </c>
      <c r="J30" s="37"/>
      <c r="K30" s="63" t="s">
        <v>72</v>
      </c>
      <c r="L30" s="63" t="s">
        <v>71</v>
      </c>
      <c r="M30" s="37"/>
      <c r="N30" s="63" t="s">
        <v>72</v>
      </c>
      <c r="O30" s="63" t="s">
        <v>71</v>
      </c>
      <c r="P30" s="37"/>
      <c r="Q30" s="63" t="s">
        <v>72</v>
      </c>
      <c r="R30" s="63" t="s">
        <v>71</v>
      </c>
      <c r="S30" s="37"/>
      <c r="T30" s="133" t="s">
        <v>73</v>
      </c>
    </row>
    <row r="31" ht="25" customHeight="1" spans="2:20">
      <c r="B31" s="38" t="s">
        <v>67</v>
      </c>
      <c r="C31" s="39">
        <v>191025000038</v>
      </c>
      <c r="D31" s="40"/>
      <c r="E31" s="41">
        <v>888787</v>
      </c>
      <c r="F31" s="42">
        <v>191025000038</v>
      </c>
      <c r="G31" s="42"/>
      <c r="H31" s="41">
        <v>888787</v>
      </c>
      <c r="I31" s="42">
        <v>191025000038</v>
      </c>
      <c r="J31" s="42"/>
      <c r="K31" s="41">
        <v>888787</v>
      </c>
      <c r="L31" s="42">
        <v>191025000038</v>
      </c>
      <c r="M31" s="42"/>
      <c r="N31" s="41">
        <v>888787</v>
      </c>
      <c r="O31" s="42">
        <v>191025000038</v>
      </c>
      <c r="P31" s="42"/>
      <c r="Q31" s="41">
        <v>888787</v>
      </c>
      <c r="R31" s="42">
        <v>191025000038</v>
      </c>
      <c r="S31" s="42"/>
      <c r="T31" s="128">
        <v>888787</v>
      </c>
    </row>
    <row r="32" ht="25" customHeight="1" spans="2:20">
      <c r="B32" s="43"/>
      <c r="C32" s="39">
        <v>190922000006</v>
      </c>
      <c r="D32" s="40"/>
      <c r="E32" s="41">
        <v>401</v>
      </c>
      <c r="F32" s="42">
        <v>190922000006</v>
      </c>
      <c r="G32" s="42"/>
      <c r="H32" s="41">
        <v>401</v>
      </c>
      <c r="I32" s="42">
        <v>190922000006</v>
      </c>
      <c r="J32" s="42"/>
      <c r="K32" s="41">
        <v>401</v>
      </c>
      <c r="L32" s="42">
        <v>190922000006</v>
      </c>
      <c r="M32" s="42"/>
      <c r="N32" s="41">
        <v>401</v>
      </c>
      <c r="O32" s="42">
        <v>190922000006</v>
      </c>
      <c r="P32" s="42"/>
      <c r="Q32" s="41">
        <v>401</v>
      </c>
      <c r="R32" s="42">
        <v>190922000006</v>
      </c>
      <c r="S32" s="42"/>
      <c r="T32" s="128">
        <v>401</v>
      </c>
    </row>
    <row r="33" ht="25" customHeight="1" spans="2:20">
      <c r="B33" s="43"/>
      <c r="C33" s="39">
        <v>190828000021</v>
      </c>
      <c r="D33" s="40"/>
      <c r="E33" s="41">
        <v>402</v>
      </c>
      <c r="F33" s="42">
        <v>190828000021</v>
      </c>
      <c r="G33" s="42"/>
      <c r="H33" s="41">
        <v>402</v>
      </c>
      <c r="I33" s="42">
        <v>190828000021</v>
      </c>
      <c r="J33" s="42"/>
      <c r="K33" s="41">
        <v>402</v>
      </c>
      <c r="L33" s="42">
        <v>190828000021</v>
      </c>
      <c r="M33" s="42"/>
      <c r="N33" s="41">
        <v>402</v>
      </c>
      <c r="O33" s="42">
        <v>190828000021</v>
      </c>
      <c r="P33" s="42"/>
      <c r="Q33" s="41">
        <v>402</v>
      </c>
      <c r="R33" s="42">
        <v>190828000021</v>
      </c>
      <c r="S33" s="42"/>
      <c r="T33" s="128">
        <v>402</v>
      </c>
    </row>
    <row r="34" ht="25" customHeight="1" spans="2:20">
      <c r="B34" s="43"/>
      <c r="C34" s="39">
        <v>191025000041</v>
      </c>
      <c r="D34" s="40"/>
      <c r="E34" s="41">
        <v>403</v>
      </c>
      <c r="F34" s="42">
        <v>191025000041</v>
      </c>
      <c r="G34" s="42"/>
      <c r="H34" s="41">
        <v>403</v>
      </c>
      <c r="I34" s="42">
        <v>191025000041</v>
      </c>
      <c r="J34" s="42"/>
      <c r="K34" s="41">
        <v>403</v>
      </c>
      <c r="L34" s="42">
        <v>191025000041</v>
      </c>
      <c r="M34" s="42"/>
      <c r="N34" s="41">
        <v>403</v>
      </c>
      <c r="O34" s="42">
        <v>191025000041</v>
      </c>
      <c r="P34" s="42"/>
      <c r="Q34" s="41">
        <v>403</v>
      </c>
      <c r="R34" s="42">
        <v>191025000041</v>
      </c>
      <c r="S34" s="42"/>
      <c r="T34" s="128">
        <v>403</v>
      </c>
    </row>
    <row r="35" ht="1" customHeight="1" spans="2:20">
      <c r="B35" s="44"/>
      <c r="C35" s="45"/>
      <c r="D35" s="46"/>
      <c r="E35" s="47"/>
      <c r="F35" s="48"/>
      <c r="G35" s="48"/>
      <c r="H35" s="47"/>
      <c r="I35" s="48"/>
      <c r="J35" s="48"/>
      <c r="K35" s="47"/>
      <c r="L35" s="48"/>
      <c r="M35" s="48"/>
      <c r="N35" s="47"/>
      <c r="O35" s="48"/>
      <c r="P35" s="48"/>
      <c r="Q35" s="47"/>
      <c r="R35" s="48"/>
      <c r="S35" s="48"/>
      <c r="T35" s="129"/>
    </row>
    <row r="36" ht="25" customHeight="1" spans="2:20">
      <c r="B36" s="38" t="s">
        <v>68</v>
      </c>
      <c r="C36" s="39">
        <v>191025000040</v>
      </c>
      <c r="D36" s="40"/>
      <c r="E36" s="41">
        <v>404</v>
      </c>
      <c r="F36" s="42">
        <v>191025000040</v>
      </c>
      <c r="G36" s="42"/>
      <c r="H36" s="41">
        <v>404</v>
      </c>
      <c r="I36" s="42">
        <v>191025000040</v>
      </c>
      <c r="J36" s="42"/>
      <c r="K36" s="41">
        <v>404</v>
      </c>
      <c r="L36" s="42">
        <v>191025000040</v>
      </c>
      <c r="M36" s="42"/>
      <c r="N36" s="41">
        <v>404</v>
      </c>
      <c r="O36" s="42">
        <v>191025000040</v>
      </c>
      <c r="P36" s="42"/>
      <c r="Q36" s="41">
        <v>404</v>
      </c>
      <c r="R36" s="42">
        <v>191025000040</v>
      </c>
      <c r="S36" s="42"/>
      <c r="T36" s="128">
        <v>404</v>
      </c>
    </row>
    <row r="37" ht="25" customHeight="1" spans="2:20">
      <c r="B37" s="43"/>
      <c r="C37" s="39">
        <v>191012000003</v>
      </c>
      <c r="D37" s="40"/>
      <c r="E37" s="41">
        <v>405</v>
      </c>
      <c r="F37" s="42">
        <v>191012000003</v>
      </c>
      <c r="G37" s="42"/>
      <c r="H37" s="41">
        <v>405</v>
      </c>
      <c r="I37" s="42">
        <v>191012000003</v>
      </c>
      <c r="J37" s="42"/>
      <c r="K37" s="41">
        <v>405</v>
      </c>
      <c r="L37" s="42">
        <v>191012000003</v>
      </c>
      <c r="M37" s="42"/>
      <c r="N37" s="41">
        <v>405</v>
      </c>
      <c r="O37" s="42">
        <v>191012000003</v>
      </c>
      <c r="P37" s="42"/>
      <c r="Q37" s="41">
        <v>405</v>
      </c>
      <c r="R37" s="42">
        <v>191012000003</v>
      </c>
      <c r="S37" s="42"/>
      <c r="T37" s="128">
        <v>405</v>
      </c>
    </row>
    <row r="38" ht="25" customHeight="1" spans="2:20">
      <c r="B38" s="43"/>
      <c r="C38" s="39">
        <v>191013000009</v>
      </c>
      <c r="D38" s="40"/>
      <c r="E38" s="41">
        <v>406</v>
      </c>
      <c r="F38" s="42">
        <v>191013000009</v>
      </c>
      <c r="G38" s="42"/>
      <c r="H38" s="41">
        <v>406</v>
      </c>
      <c r="I38" s="42">
        <v>191013000009</v>
      </c>
      <c r="J38" s="42"/>
      <c r="K38" s="41">
        <v>406</v>
      </c>
      <c r="L38" s="42">
        <v>191013000009</v>
      </c>
      <c r="M38" s="42"/>
      <c r="N38" s="41">
        <v>406</v>
      </c>
      <c r="O38" s="42">
        <v>191013000009</v>
      </c>
      <c r="P38" s="42"/>
      <c r="Q38" s="41">
        <v>406</v>
      </c>
      <c r="R38" s="42">
        <v>191013000009</v>
      </c>
      <c r="S38" s="42"/>
      <c r="T38" s="128">
        <v>406</v>
      </c>
    </row>
    <row r="39" ht="25" customHeight="1" spans="2:20">
      <c r="B39" s="43"/>
      <c r="C39" s="39">
        <v>190922000006</v>
      </c>
      <c r="D39" s="40"/>
      <c r="E39" s="41">
        <v>407</v>
      </c>
      <c r="F39" s="42">
        <v>190922000006</v>
      </c>
      <c r="G39" s="42"/>
      <c r="H39" s="41">
        <v>407</v>
      </c>
      <c r="I39" s="42">
        <v>190922000006</v>
      </c>
      <c r="J39" s="42"/>
      <c r="K39" s="41">
        <v>407</v>
      </c>
      <c r="L39" s="42">
        <v>190922000006</v>
      </c>
      <c r="M39" s="42"/>
      <c r="N39" s="41">
        <v>407</v>
      </c>
      <c r="O39" s="42">
        <v>190922000006</v>
      </c>
      <c r="P39" s="42"/>
      <c r="Q39" s="41">
        <v>407</v>
      </c>
      <c r="R39" s="42">
        <v>190922000006</v>
      </c>
      <c r="S39" s="42"/>
      <c r="T39" s="128">
        <v>407</v>
      </c>
    </row>
    <row r="40" ht="25" customHeight="1" spans="2:20">
      <c r="B40" s="43"/>
      <c r="C40" s="39">
        <v>190828000021</v>
      </c>
      <c r="D40" s="40"/>
      <c r="E40" s="41">
        <v>403</v>
      </c>
      <c r="F40" s="42">
        <v>190828000021</v>
      </c>
      <c r="G40" s="42"/>
      <c r="H40" s="41">
        <v>403</v>
      </c>
      <c r="I40" s="42">
        <v>190828000021</v>
      </c>
      <c r="J40" s="42"/>
      <c r="K40" s="41">
        <v>403</v>
      </c>
      <c r="L40" s="42">
        <v>190828000021</v>
      </c>
      <c r="M40" s="42"/>
      <c r="N40" s="41">
        <v>403</v>
      </c>
      <c r="O40" s="42">
        <v>190828000021</v>
      </c>
      <c r="P40" s="42"/>
      <c r="Q40" s="41">
        <v>403</v>
      </c>
      <c r="R40" s="42">
        <v>190828000021</v>
      </c>
      <c r="S40" s="42"/>
      <c r="T40" s="128">
        <v>403</v>
      </c>
    </row>
    <row r="41" ht="1" customHeight="1" spans="2:20">
      <c r="B41" s="44"/>
      <c r="C41" s="45"/>
      <c r="D41" s="46"/>
      <c r="E41" s="47"/>
      <c r="F41" s="48"/>
      <c r="G41" s="48"/>
      <c r="H41" s="47"/>
      <c r="I41" s="48"/>
      <c r="J41" s="48"/>
      <c r="K41" s="47"/>
      <c r="L41" s="48"/>
      <c r="M41" s="48"/>
      <c r="N41" s="47"/>
      <c r="O41" s="48"/>
      <c r="P41" s="48"/>
      <c r="Q41" s="47"/>
      <c r="R41" s="48"/>
      <c r="S41" s="48"/>
      <c r="T41" s="129"/>
    </row>
    <row r="42" ht="25" customHeight="1" spans="2:20">
      <c r="B42" s="49" t="s">
        <v>69</v>
      </c>
      <c r="C42" s="39">
        <v>191013000009</v>
      </c>
      <c r="D42" s="40"/>
      <c r="E42" s="41">
        <v>404</v>
      </c>
      <c r="F42" s="42">
        <v>191013000009</v>
      </c>
      <c r="G42" s="42"/>
      <c r="H42" s="41">
        <v>404</v>
      </c>
      <c r="I42" s="42">
        <v>191013000009</v>
      </c>
      <c r="J42" s="42"/>
      <c r="K42" s="41">
        <v>404</v>
      </c>
      <c r="L42" s="42">
        <v>191013000009</v>
      </c>
      <c r="M42" s="42"/>
      <c r="N42" s="41">
        <v>404</v>
      </c>
      <c r="O42" s="42">
        <v>191013000009</v>
      </c>
      <c r="P42" s="42"/>
      <c r="Q42" s="41">
        <v>404</v>
      </c>
      <c r="R42" s="42">
        <v>191013000009</v>
      </c>
      <c r="S42" s="42"/>
      <c r="T42" s="128">
        <v>404</v>
      </c>
    </row>
    <row r="43" ht="25" customHeight="1" spans="2:20">
      <c r="B43" s="50"/>
      <c r="C43" s="51"/>
      <c r="D43" s="52"/>
      <c r="E43" s="64">
        <f>SUM(E31:E42)</f>
        <v>892422</v>
      </c>
      <c r="F43" s="52"/>
      <c r="G43" s="52"/>
      <c r="H43" s="64">
        <f>SUM(H31:H42)</f>
        <v>892422</v>
      </c>
      <c r="I43" s="52"/>
      <c r="J43" s="52"/>
      <c r="K43" s="64">
        <f>SUM(K31:K42)</f>
        <v>892422</v>
      </c>
      <c r="L43" s="52"/>
      <c r="M43" s="52"/>
      <c r="N43" s="64">
        <f>SUM(N31:N42)</f>
        <v>892422</v>
      </c>
      <c r="O43" s="52"/>
      <c r="P43" s="52"/>
      <c r="Q43" s="64">
        <f>SUM(Q31:Q42)</f>
        <v>892422</v>
      </c>
      <c r="R43" s="52"/>
      <c r="S43" s="52"/>
      <c r="T43" s="134">
        <f>SUM(T31:T42)</f>
        <v>892422</v>
      </c>
    </row>
    <row r="44" ht="25" customHeight="1" spans="2:20">
      <c r="B44" s="54" t="s">
        <v>29</v>
      </c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131"/>
    </row>
    <row r="45" ht="5" customHeight="1" spans="2:20">
      <c r="B45" s="28"/>
      <c r="C45" s="29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125"/>
    </row>
    <row r="46" ht="25" customHeight="1" spans="2:20">
      <c r="B46" s="65" t="s">
        <v>30</v>
      </c>
      <c r="C46" s="66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135"/>
    </row>
    <row r="47" ht="25" customHeight="1" spans="2:20">
      <c r="B47" s="68" t="s">
        <v>31</v>
      </c>
      <c r="C47" s="69" t="s">
        <v>32</v>
      </c>
      <c r="D47" s="69"/>
      <c r="E47" s="69"/>
      <c r="F47" s="69"/>
      <c r="G47" s="70" t="s">
        <v>33</v>
      </c>
      <c r="H47" s="70"/>
      <c r="I47" s="92" t="s">
        <v>34</v>
      </c>
      <c r="J47" s="92"/>
      <c r="K47" s="93" t="s">
        <v>35</v>
      </c>
      <c r="L47" s="94" t="s">
        <v>36</v>
      </c>
      <c r="M47" s="95" t="s">
        <v>37</v>
      </c>
      <c r="N47" s="96" t="s">
        <v>38</v>
      </c>
      <c r="O47" s="97" t="s">
        <v>39</v>
      </c>
      <c r="P47" s="98"/>
      <c r="Q47" s="98" t="s">
        <v>40</v>
      </c>
      <c r="R47" s="98"/>
      <c r="S47" s="97" t="s">
        <v>41</v>
      </c>
      <c r="T47" s="136"/>
    </row>
    <row r="48" ht="25" customHeight="1" spans="2:20">
      <c r="B48" s="71">
        <v>1</v>
      </c>
      <c r="C48" s="25" t="s">
        <v>42</v>
      </c>
      <c r="D48" s="25"/>
      <c r="E48" s="25"/>
      <c r="F48" s="25"/>
      <c r="G48" s="40" t="s">
        <v>43</v>
      </c>
      <c r="H48" s="40"/>
      <c r="I48" s="99" t="s">
        <v>44</v>
      </c>
      <c r="J48" s="99"/>
      <c r="K48" s="100">
        <v>30</v>
      </c>
      <c r="L48" s="101">
        <v>2500</v>
      </c>
      <c r="M48" s="101">
        <v>75000</v>
      </c>
      <c r="N48" s="102" t="s">
        <v>45</v>
      </c>
      <c r="O48" s="103" t="s">
        <v>46</v>
      </c>
      <c r="P48" s="104"/>
      <c r="Q48" s="103" t="s">
        <v>46</v>
      </c>
      <c r="R48" s="104"/>
      <c r="S48" s="137" t="s">
        <v>47</v>
      </c>
      <c r="T48" s="138"/>
    </row>
    <row r="49" ht="25" customHeight="1" spans="2:20">
      <c r="B49" s="72">
        <v>2</v>
      </c>
      <c r="C49" s="73" t="s">
        <v>48</v>
      </c>
      <c r="D49" s="73"/>
      <c r="E49" s="73"/>
      <c r="F49" s="73"/>
      <c r="G49" s="74" t="s">
        <v>43</v>
      </c>
      <c r="H49" s="74"/>
      <c r="I49" s="105" t="s">
        <v>49</v>
      </c>
      <c r="J49" s="105"/>
      <c r="K49" s="106">
        <v>350</v>
      </c>
      <c r="L49" s="107">
        <v>1</v>
      </c>
      <c r="M49" s="107">
        <v>350</v>
      </c>
      <c r="N49" s="108" t="s">
        <v>50</v>
      </c>
      <c r="O49" s="109" t="s">
        <v>46</v>
      </c>
      <c r="P49" s="110"/>
      <c r="Q49" s="109" t="s">
        <v>46</v>
      </c>
      <c r="R49" s="110"/>
      <c r="S49" s="139" t="s">
        <v>47</v>
      </c>
      <c r="T49" s="140"/>
    </row>
    <row r="50" ht="25" customHeight="1" spans="2:20">
      <c r="B50" s="71">
        <v>3</v>
      </c>
      <c r="C50" s="25" t="s">
        <v>51</v>
      </c>
      <c r="D50" s="25"/>
      <c r="E50" s="25"/>
      <c r="F50" s="25"/>
      <c r="G50" s="40" t="s">
        <v>43</v>
      </c>
      <c r="H50" s="40"/>
      <c r="I50" s="99" t="s">
        <v>52</v>
      </c>
      <c r="J50" s="99"/>
      <c r="K50" s="100">
        <v>30</v>
      </c>
      <c r="L50" s="101">
        <v>1</v>
      </c>
      <c r="M50" s="101">
        <v>30</v>
      </c>
      <c r="N50" s="111" t="s">
        <v>50</v>
      </c>
      <c r="O50" s="103" t="s">
        <v>46</v>
      </c>
      <c r="P50" s="104"/>
      <c r="Q50" s="103" t="s">
        <v>46</v>
      </c>
      <c r="R50" s="104"/>
      <c r="S50" s="137" t="s">
        <v>47</v>
      </c>
      <c r="T50" s="138"/>
    </row>
    <row r="51" ht="25" customHeight="1" spans="2:20">
      <c r="B51" s="72">
        <v>4</v>
      </c>
      <c r="C51" s="73" t="s">
        <v>51</v>
      </c>
      <c r="D51" s="73"/>
      <c r="E51" s="73"/>
      <c r="F51" s="73"/>
      <c r="G51" s="74" t="s">
        <v>43</v>
      </c>
      <c r="H51" s="74"/>
      <c r="I51" s="105" t="s">
        <v>53</v>
      </c>
      <c r="J51" s="105"/>
      <c r="K51" s="106">
        <v>30</v>
      </c>
      <c r="L51" s="107">
        <v>1</v>
      </c>
      <c r="M51" s="107">
        <v>30</v>
      </c>
      <c r="N51" s="108" t="s">
        <v>50</v>
      </c>
      <c r="O51" s="109" t="s">
        <v>46</v>
      </c>
      <c r="P51" s="110"/>
      <c r="Q51" s="109" t="s">
        <v>46</v>
      </c>
      <c r="R51" s="110"/>
      <c r="S51" s="139" t="s">
        <v>47</v>
      </c>
      <c r="T51" s="140"/>
    </row>
    <row r="52" ht="25" customHeight="1" spans="2:20">
      <c r="B52" s="71">
        <v>5</v>
      </c>
      <c r="C52" s="25" t="s">
        <v>51</v>
      </c>
      <c r="D52" s="25"/>
      <c r="E52" s="25"/>
      <c r="F52" s="25"/>
      <c r="G52" s="40" t="s">
        <v>43</v>
      </c>
      <c r="H52" s="40"/>
      <c r="I52" s="99" t="s">
        <v>54</v>
      </c>
      <c r="J52" s="99"/>
      <c r="K52" s="100">
        <v>30</v>
      </c>
      <c r="L52" s="101">
        <v>2</v>
      </c>
      <c r="M52" s="101">
        <v>60</v>
      </c>
      <c r="N52" s="111" t="s">
        <v>50</v>
      </c>
      <c r="O52" s="103" t="s">
        <v>46</v>
      </c>
      <c r="P52" s="104"/>
      <c r="Q52" s="103" t="s">
        <v>46</v>
      </c>
      <c r="R52" s="104"/>
      <c r="S52" s="137" t="s">
        <v>47</v>
      </c>
      <c r="T52" s="138"/>
    </row>
    <row r="53" ht="25" customHeight="1" spans="2:20">
      <c r="B53" s="72">
        <v>6</v>
      </c>
      <c r="C53" s="73" t="s">
        <v>51</v>
      </c>
      <c r="D53" s="73"/>
      <c r="E53" s="73"/>
      <c r="F53" s="73"/>
      <c r="G53" s="74">
        <v>190922000006</v>
      </c>
      <c r="H53" s="74"/>
      <c r="I53" s="105" t="s">
        <v>55</v>
      </c>
      <c r="J53" s="105"/>
      <c r="K53" s="106">
        <v>30</v>
      </c>
      <c r="L53" s="107">
        <v>1</v>
      </c>
      <c r="M53" s="107">
        <v>30</v>
      </c>
      <c r="N53" s="108" t="s">
        <v>50</v>
      </c>
      <c r="O53" s="109" t="s">
        <v>46</v>
      </c>
      <c r="P53" s="110"/>
      <c r="Q53" s="109" t="s">
        <v>46</v>
      </c>
      <c r="R53" s="110"/>
      <c r="S53" s="139" t="s">
        <v>47</v>
      </c>
      <c r="T53" s="140"/>
    </row>
    <row r="54" ht="25" customHeight="1" spans="2:20">
      <c r="B54" s="71">
        <v>7</v>
      </c>
      <c r="C54" s="25" t="s">
        <v>51</v>
      </c>
      <c r="D54" s="25"/>
      <c r="E54" s="25"/>
      <c r="F54" s="25"/>
      <c r="G54" s="40">
        <v>190922000006</v>
      </c>
      <c r="H54" s="40"/>
      <c r="I54" s="99" t="s">
        <v>56</v>
      </c>
      <c r="J54" s="99"/>
      <c r="K54" s="100">
        <v>30</v>
      </c>
      <c r="L54" s="101">
        <v>2</v>
      </c>
      <c r="M54" s="101">
        <v>60</v>
      </c>
      <c r="N54" s="111" t="s">
        <v>50</v>
      </c>
      <c r="O54" s="103" t="s">
        <v>46</v>
      </c>
      <c r="P54" s="104"/>
      <c r="Q54" s="103" t="s">
        <v>46</v>
      </c>
      <c r="R54" s="104"/>
      <c r="S54" s="137" t="s">
        <v>47</v>
      </c>
      <c r="T54" s="138"/>
    </row>
    <row r="55" ht="25" customHeight="1" spans="2:20">
      <c r="B55" s="72">
        <v>8</v>
      </c>
      <c r="C55" s="73" t="s">
        <v>51</v>
      </c>
      <c r="D55" s="73"/>
      <c r="E55" s="73"/>
      <c r="F55" s="73"/>
      <c r="G55" s="74">
        <v>191013000009</v>
      </c>
      <c r="H55" s="74"/>
      <c r="I55" s="105" t="s">
        <v>57</v>
      </c>
      <c r="J55" s="105"/>
      <c r="K55" s="106">
        <v>30</v>
      </c>
      <c r="L55" s="107">
        <v>1</v>
      </c>
      <c r="M55" s="107">
        <v>30</v>
      </c>
      <c r="N55" s="108" t="s">
        <v>50</v>
      </c>
      <c r="O55" s="109" t="s">
        <v>46</v>
      </c>
      <c r="P55" s="110"/>
      <c r="Q55" s="109" t="s">
        <v>46</v>
      </c>
      <c r="R55" s="110"/>
      <c r="S55" s="139" t="s">
        <v>47</v>
      </c>
      <c r="T55" s="140"/>
    </row>
    <row r="56" ht="25" customHeight="1" spans="2:20">
      <c r="B56" s="71">
        <v>9</v>
      </c>
      <c r="C56" s="25" t="s">
        <v>51</v>
      </c>
      <c r="D56" s="25"/>
      <c r="E56" s="25"/>
      <c r="F56" s="25"/>
      <c r="G56" s="40" t="s">
        <v>43</v>
      </c>
      <c r="H56" s="40"/>
      <c r="I56" s="99" t="s">
        <v>56</v>
      </c>
      <c r="J56" s="99"/>
      <c r="K56" s="100">
        <v>30</v>
      </c>
      <c r="L56" s="101">
        <v>1</v>
      </c>
      <c r="M56" s="101">
        <v>30</v>
      </c>
      <c r="N56" s="111" t="s">
        <v>50</v>
      </c>
      <c r="O56" s="103" t="s">
        <v>46</v>
      </c>
      <c r="P56" s="104"/>
      <c r="Q56" s="103" t="s">
        <v>46</v>
      </c>
      <c r="R56" s="104"/>
      <c r="S56" s="137" t="s">
        <v>47</v>
      </c>
      <c r="T56" s="138"/>
    </row>
    <row r="57" ht="25" customHeight="1" spans="2:20">
      <c r="B57" s="72">
        <v>10</v>
      </c>
      <c r="C57" s="73" t="s">
        <v>51</v>
      </c>
      <c r="D57" s="73"/>
      <c r="E57" s="73"/>
      <c r="F57" s="73"/>
      <c r="G57" s="74" t="s">
        <v>43</v>
      </c>
      <c r="H57" s="74"/>
      <c r="I57" s="105" t="s">
        <v>56</v>
      </c>
      <c r="J57" s="105"/>
      <c r="K57" s="106">
        <v>30</v>
      </c>
      <c r="L57" s="107">
        <v>1</v>
      </c>
      <c r="M57" s="107">
        <v>30</v>
      </c>
      <c r="N57" s="108" t="s">
        <v>50</v>
      </c>
      <c r="O57" s="109" t="s">
        <v>46</v>
      </c>
      <c r="P57" s="110"/>
      <c r="Q57" s="109" t="s">
        <v>46</v>
      </c>
      <c r="R57" s="110"/>
      <c r="S57" s="139" t="s">
        <v>47</v>
      </c>
      <c r="T57" s="140"/>
    </row>
    <row r="58" ht="25" customHeight="1" spans="2:20">
      <c r="B58" s="71">
        <v>11</v>
      </c>
      <c r="C58" s="25" t="s">
        <v>51</v>
      </c>
      <c r="D58" s="25"/>
      <c r="E58" s="25"/>
      <c r="F58" s="25"/>
      <c r="G58" s="40" t="s">
        <v>43</v>
      </c>
      <c r="H58" s="40"/>
      <c r="I58" s="99" t="s">
        <v>56</v>
      </c>
      <c r="J58" s="99"/>
      <c r="K58" s="100">
        <v>30</v>
      </c>
      <c r="L58" s="101">
        <v>1</v>
      </c>
      <c r="M58" s="101">
        <v>30</v>
      </c>
      <c r="N58" s="111" t="s">
        <v>58</v>
      </c>
      <c r="O58" s="104" t="s">
        <v>59</v>
      </c>
      <c r="P58" s="104"/>
      <c r="Q58" s="104" t="s">
        <v>60</v>
      </c>
      <c r="R58" s="104"/>
      <c r="S58" s="137" t="s">
        <v>47</v>
      </c>
      <c r="T58" s="138"/>
    </row>
    <row r="59" ht="25" customHeight="1" spans="2:20">
      <c r="B59" s="72">
        <v>12</v>
      </c>
      <c r="C59" s="73" t="s">
        <v>51</v>
      </c>
      <c r="D59" s="73"/>
      <c r="E59" s="73"/>
      <c r="F59" s="73"/>
      <c r="G59" s="74" t="s">
        <v>43</v>
      </c>
      <c r="H59" s="74"/>
      <c r="I59" s="105" t="s">
        <v>56</v>
      </c>
      <c r="J59" s="105"/>
      <c r="K59" s="106">
        <v>30</v>
      </c>
      <c r="L59" s="107">
        <v>1</v>
      </c>
      <c r="M59" s="107">
        <v>30</v>
      </c>
      <c r="N59" s="108" t="s">
        <v>58</v>
      </c>
      <c r="O59" s="109" t="s">
        <v>61</v>
      </c>
      <c r="P59" s="110"/>
      <c r="Q59" s="110" t="s">
        <v>60</v>
      </c>
      <c r="R59" s="110"/>
      <c r="S59" s="139" t="s">
        <v>47</v>
      </c>
      <c r="T59" s="140"/>
    </row>
    <row r="60" s="2" customFormat="1" ht="25" customHeight="1" spans="2:21">
      <c r="B60" s="75"/>
      <c r="C60" s="76"/>
      <c r="D60" s="77"/>
      <c r="E60" s="77"/>
      <c r="F60" s="77"/>
      <c r="G60" s="77"/>
      <c r="H60" s="78"/>
      <c r="I60" s="78"/>
      <c r="J60" s="78"/>
      <c r="K60" s="112"/>
      <c r="L60" s="113" t="s">
        <v>62</v>
      </c>
      <c r="M60" s="114">
        <f>SUM(M48:M59)</f>
        <v>75710</v>
      </c>
      <c r="N60" s="112"/>
      <c r="O60" s="115"/>
      <c r="P60" s="115"/>
      <c r="Q60" s="115"/>
      <c r="R60" s="141"/>
      <c r="S60" s="115"/>
      <c r="T60" s="142"/>
      <c r="U60" s="3"/>
    </row>
    <row r="61" ht="25" customHeight="1" spans="2:20">
      <c r="B61" s="79" t="s">
        <v>63</v>
      </c>
      <c r="C61" s="80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143"/>
    </row>
  </sheetData>
  <mergeCells count="280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B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B44:T44"/>
    <mergeCell ref="B45:T45"/>
    <mergeCell ref="B46:T46"/>
    <mergeCell ref="C47:F47"/>
    <mergeCell ref="G47:H47"/>
    <mergeCell ref="I47:J47"/>
    <mergeCell ref="O47:P47"/>
    <mergeCell ref="Q47:R47"/>
    <mergeCell ref="S47:T47"/>
    <mergeCell ref="C48:F48"/>
    <mergeCell ref="G48:H48"/>
    <mergeCell ref="I48:J48"/>
    <mergeCell ref="O48:P48"/>
    <mergeCell ref="Q48:R48"/>
    <mergeCell ref="S48:T48"/>
    <mergeCell ref="C49:F49"/>
    <mergeCell ref="G49:H49"/>
    <mergeCell ref="I49:J49"/>
    <mergeCell ref="O49:P49"/>
    <mergeCell ref="Q49:R49"/>
    <mergeCell ref="S49:T49"/>
    <mergeCell ref="C50:F50"/>
    <mergeCell ref="G50:H50"/>
    <mergeCell ref="I50:J50"/>
    <mergeCell ref="O50:P50"/>
    <mergeCell ref="Q50:R50"/>
    <mergeCell ref="S50:T50"/>
    <mergeCell ref="C51:F51"/>
    <mergeCell ref="G51:H51"/>
    <mergeCell ref="I51:J51"/>
    <mergeCell ref="O51:P51"/>
    <mergeCell ref="Q51:R51"/>
    <mergeCell ref="S51:T51"/>
    <mergeCell ref="C52:F52"/>
    <mergeCell ref="G52:H52"/>
    <mergeCell ref="I52:J52"/>
    <mergeCell ref="O52:P52"/>
    <mergeCell ref="Q52:R52"/>
    <mergeCell ref="S52:T52"/>
    <mergeCell ref="C53:F53"/>
    <mergeCell ref="G53:H53"/>
    <mergeCell ref="I53:J53"/>
    <mergeCell ref="O53:P53"/>
    <mergeCell ref="Q53:R53"/>
    <mergeCell ref="S53:T53"/>
    <mergeCell ref="C54:F54"/>
    <mergeCell ref="G54:H54"/>
    <mergeCell ref="I54:J54"/>
    <mergeCell ref="O54:P54"/>
    <mergeCell ref="Q54:R54"/>
    <mergeCell ref="S54:T54"/>
    <mergeCell ref="C55:F55"/>
    <mergeCell ref="G55:H55"/>
    <mergeCell ref="I55:J55"/>
    <mergeCell ref="O55:P55"/>
    <mergeCell ref="Q55:R55"/>
    <mergeCell ref="S55:T55"/>
    <mergeCell ref="C56:F56"/>
    <mergeCell ref="G56:H56"/>
    <mergeCell ref="I56:J56"/>
    <mergeCell ref="O56:P56"/>
    <mergeCell ref="Q56:R56"/>
    <mergeCell ref="S56:T56"/>
    <mergeCell ref="C57:F57"/>
    <mergeCell ref="G57:H57"/>
    <mergeCell ref="I57:J57"/>
    <mergeCell ref="O57:P57"/>
    <mergeCell ref="Q57:R57"/>
    <mergeCell ref="S57:T57"/>
    <mergeCell ref="C58:F58"/>
    <mergeCell ref="G58:H58"/>
    <mergeCell ref="I58:J58"/>
    <mergeCell ref="O58:P58"/>
    <mergeCell ref="Q58:R58"/>
    <mergeCell ref="S58:T58"/>
    <mergeCell ref="C59:F59"/>
    <mergeCell ref="G59:H59"/>
    <mergeCell ref="I59:J59"/>
    <mergeCell ref="O59:P59"/>
    <mergeCell ref="Q59:R59"/>
    <mergeCell ref="S59:T59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2019-10-25T15:22:00Z</dcterms:created>
  <dcterms:modified xsi:type="dcterms:W3CDTF">2022-04-15T10:12:24Z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4D8C02BAAE6C4A71B722A83F5CB85EFC</vt:lpwstr>
  </property>
</Properties>
</file>