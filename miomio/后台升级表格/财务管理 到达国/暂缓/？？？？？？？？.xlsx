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2" sheetId="1" r:id="rId1"/>
  </sheets>
  <calcPr calcId="144525"/>
</workbook>
</file>

<file path=xl/sharedStrings.xml><?xml version="1.0" encoding="utf-8"?>
<sst xmlns="http://schemas.openxmlformats.org/spreadsheetml/2006/main" count="141" uniqueCount="64">
  <si>
    <t>详情</t>
  </si>
  <si>
    <t>JOB123456  JOB123456  JOB123456</t>
  </si>
  <si>
    <t>CAN.CHN→LOS.NGN</t>
  </si>
  <si>
    <t>特快</t>
  </si>
  <si>
    <t>信息详情</t>
  </si>
  <si>
    <t>空运</t>
  </si>
  <si>
    <t>承运人  ET</t>
  </si>
  <si>
    <t>提单号  071-12345678</t>
  </si>
  <si>
    <t>起运港  HKG</t>
  </si>
  <si>
    <t>目的港  LOS</t>
  </si>
  <si>
    <t>计费重量 kgs 5000</t>
  </si>
  <si>
    <t>件数  30</t>
  </si>
  <si>
    <t>操作账号 LOSOFFICE</t>
  </si>
  <si>
    <t>日期 2019/0102 10:30</t>
  </si>
  <si>
    <r>
      <t xml:space="preserve">海珠区站点  JOB123456应收明细  </t>
    </r>
    <r>
      <rPr>
        <b/>
        <sz val="10"/>
        <color theme="0"/>
        <rFont val="Microsoft JhengHei"/>
        <charset val="134"/>
      </rPr>
      <t>展开</t>
    </r>
  </si>
  <si>
    <r>
      <t xml:space="preserve">福田区站点  JOB123456应收明细  </t>
    </r>
    <r>
      <rPr>
        <b/>
        <sz val="10"/>
        <color theme="0"/>
        <rFont val="Microsoft JhengHei"/>
        <charset val="134"/>
      </rPr>
      <t>展开</t>
    </r>
  </si>
  <si>
    <r>
      <t xml:space="preserve">白云区站点  JOB123456应收明细   </t>
    </r>
    <r>
      <rPr>
        <b/>
        <sz val="10"/>
        <color theme="0"/>
        <rFont val="Microsoft JhengHei"/>
        <charset val="134"/>
      </rPr>
      <t>收起</t>
    </r>
  </si>
  <si>
    <t>预付</t>
  </si>
  <si>
    <t>到付</t>
  </si>
  <si>
    <t>序号</t>
  </si>
  <si>
    <t>订单号</t>
  </si>
  <si>
    <t>金额CNY</t>
  </si>
  <si>
    <t>状态</t>
  </si>
  <si>
    <t>支付途径</t>
  </si>
  <si>
    <t>日期</t>
  </si>
  <si>
    <t>金额USD</t>
  </si>
  <si>
    <t>已付</t>
  </si>
  <si>
    <t>微信公</t>
  </si>
  <si>
    <t>现金</t>
  </si>
  <si>
    <t>微信私</t>
  </si>
  <si>
    <t>公账</t>
  </si>
  <si>
    <t>私账</t>
  </si>
  <si>
    <r>
      <rPr>
        <sz val="9"/>
        <color theme="1"/>
        <rFont val="Microsoft JhengHei"/>
        <charset val="134"/>
      </rPr>
      <t xml:space="preserve">191013000009 </t>
    </r>
    <r>
      <rPr>
        <sz val="9"/>
        <color rgb="FFFF0000"/>
        <rFont val="Microsoft JhengHei"/>
        <charset val="134"/>
      </rPr>
      <t>@</t>
    </r>
  </si>
  <si>
    <t>支票</t>
  </si>
  <si>
    <t>支付宝/公</t>
  </si>
  <si>
    <t>支付宝/私</t>
  </si>
  <si>
    <t>合计CNY</t>
  </si>
  <si>
    <t>合计USD</t>
  </si>
  <si>
    <t>总应收合计 80774.00+13853.37=CNY94,628.37</t>
  </si>
  <si>
    <t>应付明细</t>
  </si>
  <si>
    <t>起运国</t>
  </si>
  <si>
    <t>供应商</t>
  </si>
  <si>
    <t>项目</t>
  </si>
  <si>
    <t>单价CNY</t>
  </si>
  <si>
    <t>数量</t>
  </si>
  <si>
    <t>小计CNY</t>
  </si>
  <si>
    <t>操作账号</t>
  </si>
  <si>
    <t>广州喵喵国际货运代理有限公司深圳分公司中华人民共和国</t>
  </si>
  <si>
    <t>无</t>
  </si>
  <si>
    <t>到门配送费</t>
  </si>
  <si>
    <t>CANSAMPAO</t>
  </si>
  <si>
    <t>广州喵喵国际货运代理有限公司深圳分公司</t>
  </si>
  <si>
    <t>190120000002@</t>
  </si>
  <si>
    <t>报关费</t>
  </si>
  <si>
    <t>未付</t>
  </si>
  <si>
    <t>配送费</t>
  </si>
  <si>
    <t>到达国</t>
  </si>
  <si>
    <t>单价USD</t>
  </si>
  <si>
    <t>小计USD</t>
  </si>
  <si>
    <t>折合CNY</t>
  </si>
  <si>
    <t>USD1.00=.CNY6.532</t>
  </si>
  <si>
    <t>总应付 64138.00+420125.17=CNY484,263.17</t>
  </si>
  <si>
    <t>利润 94628.37-484263.17=CNY-389,634.80</t>
  </si>
  <si>
    <t>返回</t>
  </si>
</sst>
</file>

<file path=xl/styles.xml><?xml version="1.0" encoding="utf-8"?>
<styleSheet xmlns="http://schemas.openxmlformats.org/spreadsheetml/2006/main">
  <numFmts count="7">
    <numFmt numFmtId="176" formatCode="#,##0.00_ "/>
    <numFmt numFmtId="44" formatCode="_ &quot;￥&quot;* #,##0.00_ ;_ &quot;￥&quot;* \-#,##0.00_ ;_ &quot;￥&quot;* &quot;-&quot;??_ ;_ @_ "/>
    <numFmt numFmtId="177" formatCode="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8" formatCode="0.00_ "/>
  </numFmts>
  <fonts count="31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sz val="12"/>
      <color theme="1"/>
      <name val="Microsoft JhengHei"/>
      <charset val="134"/>
    </font>
    <font>
      <b/>
      <sz val="9"/>
      <color theme="1"/>
      <name val="Microsoft JhengHei"/>
      <charset val="134"/>
    </font>
    <font>
      <b/>
      <sz val="10"/>
      <color rgb="FFFF0000"/>
      <name val="Microsoft JhengHei"/>
      <charset val="134"/>
    </font>
    <font>
      <sz val="9"/>
      <color rgb="FF393939"/>
      <name val="Microsoft JhengHei"/>
      <charset val="134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0"/>
      <color theme="0"/>
      <name val="Microsoft JhengHei"/>
      <charset val="134"/>
    </font>
    <font>
      <sz val="9"/>
      <color rgb="FFFF0000"/>
      <name val="Microsoft JhengHe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3" fillId="17" borderId="13" applyNumberFormat="0" applyAlignment="0" applyProtection="0">
      <alignment vertical="center"/>
    </xf>
    <xf numFmtId="0" fontId="17" fillId="17" borderId="12" applyNumberFormat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6" fillId="3" borderId="0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7" fontId="1" fillId="3" borderId="0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22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 wrapText="1"/>
    </xf>
    <xf numFmtId="177" fontId="1" fillId="3" borderId="0" xfId="0" applyNumberFormat="1" applyFont="1" applyFill="1" applyAlignment="1">
      <alignment horizontal="center" vertical="center"/>
    </xf>
    <xf numFmtId="178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8" fillId="0" borderId="3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3" borderId="7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22" fontId="1" fillId="3" borderId="7" xfId="0" applyNumberFormat="1" applyFont="1" applyFill="1" applyBorder="1" applyAlignment="1">
      <alignment horizontal="center" vertical="center"/>
    </xf>
    <xf numFmtId="0" fontId="9" fillId="3" borderId="7" xfId="0" applyFont="1" applyFill="1" applyBorder="1">
      <alignment vertical="center"/>
    </xf>
    <xf numFmtId="0" fontId="8" fillId="3" borderId="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178" fontId="1" fillId="3" borderId="0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46"/>
  <sheetViews>
    <sheetView tabSelected="1" workbookViewId="0">
      <selection activeCell="B13" sqref="B13:M13"/>
    </sheetView>
  </sheetViews>
  <sheetFormatPr defaultColWidth="9" defaultRowHeight="15"/>
  <cols>
    <col min="1" max="1" width="9" style="2"/>
    <col min="2" max="2" width="5.625" style="2" customWidth="1"/>
    <col min="3" max="3" width="15.625" style="2" customWidth="1"/>
    <col min="4" max="4" width="10.625" style="2" customWidth="1"/>
    <col min="5" max="5" width="11.625" style="2" customWidth="1"/>
    <col min="6" max="6" width="9.625" style="2" customWidth="1"/>
    <col min="7" max="7" width="15.625" style="2" customWidth="1"/>
    <col min="8" max="8" width="7.125" style="2" customWidth="1"/>
    <col min="9" max="9" width="15.625" style="2" customWidth="1"/>
    <col min="10" max="10" width="10.375" style="2"/>
    <col min="11" max="11" width="11.625" style="2" customWidth="1"/>
    <col min="12" max="12" width="9.625" style="2" customWidth="1"/>
    <col min="13" max="13" width="15.625" style="2" customWidth="1"/>
    <col min="14" max="16384" width="9" style="2"/>
  </cols>
  <sheetData>
    <row r="2" ht="25" customHeight="1" spans="2:13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9"/>
    </row>
    <row r="3" ht="25" customHeight="1" spans="2:13"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50"/>
    </row>
    <row r="4" ht="25" customHeight="1" spans="2:13">
      <c r="B4" s="7" t="s">
        <v>2</v>
      </c>
      <c r="C4" s="8"/>
      <c r="D4" s="9" t="s">
        <v>3</v>
      </c>
      <c r="E4" s="9"/>
      <c r="F4" s="9"/>
      <c r="G4" s="9"/>
      <c r="H4" s="10"/>
      <c r="I4" s="10"/>
      <c r="J4" s="10"/>
      <c r="K4" s="10"/>
      <c r="L4" s="10"/>
      <c r="M4" s="51"/>
    </row>
    <row r="5" ht="25" customHeight="1" spans="2:13">
      <c r="B5" s="11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52"/>
    </row>
    <row r="6" ht="25" customHeight="1" spans="2:13">
      <c r="B6" s="13" t="s">
        <v>5</v>
      </c>
      <c r="C6" s="14"/>
      <c r="D6" s="14"/>
      <c r="E6" s="14"/>
      <c r="F6" s="14"/>
      <c r="G6" s="14"/>
      <c r="H6" s="14"/>
      <c r="I6" s="14"/>
      <c r="J6" s="14"/>
      <c r="K6" s="14"/>
      <c r="L6" s="53"/>
      <c r="M6" s="54"/>
    </row>
    <row r="7" ht="25" customHeight="1" spans="2:13">
      <c r="B7" s="15" t="s">
        <v>6</v>
      </c>
      <c r="C7" s="16"/>
      <c r="D7" s="16"/>
      <c r="E7" s="17" t="s">
        <v>7</v>
      </c>
      <c r="F7" s="16"/>
      <c r="G7" s="18"/>
      <c r="H7" s="19"/>
      <c r="I7" s="30"/>
      <c r="J7" s="30"/>
      <c r="K7" s="30"/>
      <c r="L7" s="53"/>
      <c r="M7" s="54"/>
    </row>
    <row r="8" ht="25" customHeight="1" spans="2:13">
      <c r="B8" s="15" t="s">
        <v>8</v>
      </c>
      <c r="C8" s="16"/>
      <c r="D8" s="16"/>
      <c r="E8" s="17" t="s">
        <v>9</v>
      </c>
      <c r="F8" s="16"/>
      <c r="G8" s="18"/>
      <c r="H8" s="18"/>
      <c r="I8" s="18"/>
      <c r="J8" s="18"/>
      <c r="K8" s="18"/>
      <c r="L8" s="53"/>
      <c r="M8" s="54"/>
    </row>
    <row r="9" ht="25" customHeight="1" spans="2:13">
      <c r="B9" s="15" t="s">
        <v>10</v>
      </c>
      <c r="C9" s="16"/>
      <c r="D9" s="16"/>
      <c r="E9" s="17" t="s">
        <v>11</v>
      </c>
      <c r="F9" s="16"/>
      <c r="G9" s="18"/>
      <c r="H9" s="19"/>
      <c r="I9" s="30"/>
      <c r="J9" s="30"/>
      <c r="K9" s="30"/>
      <c r="L9" s="53"/>
      <c r="M9" s="54"/>
    </row>
    <row r="10" ht="25" customHeight="1" spans="2:13">
      <c r="B10" s="20" t="s">
        <v>12</v>
      </c>
      <c r="C10" s="16"/>
      <c r="D10" s="16"/>
      <c r="E10" s="17" t="s">
        <v>13</v>
      </c>
      <c r="F10" s="16"/>
      <c r="G10" s="18"/>
      <c r="H10" s="19"/>
      <c r="I10" s="30"/>
      <c r="J10" s="30"/>
      <c r="K10" s="30"/>
      <c r="L10" s="53"/>
      <c r="M10" s="54"/>
    </row>
    <row r="11" ht="25" customHeight="1" spans="2:13">
      <c r="B11" s="20"/>
      <c r="C11" s="16"/>
      <c r="D11" s="16"/>
      <c r="E11" s="17"/>
      <c r="F11" s="16"/>
      <c r="G11" s="18"/>
      <c r="H11" s="19"/>
      <c r="I11" s="30"/>
      <c r="J11" s="30"/>
      <c r="K11" s="30"/>
      <c r="L11" s="53"/>
      <c r="M11" s="54"/>
    </row>
    <row r="12" ht="25" customHeight="1" spans="2:13">
      <c r="B12" s="21" t="s">
        <v>14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55"/>
    </row>
    <row r="13" ht="25" customHeight="1" spans="2:13">
      <c r="B13" s="21" t="s">
        <v>15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55"/>
    </row>
    <row r="14" ht="25" customHeight="1" spans="2:13">
      <c r="B14" s="11" t="s">
        <v>16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52"/>
    </row>
    <row r="15" ht="25" customHeight="1" spans="2:13">
      <c r="B15" s="23" t="s">
        <v>17</v>
      </c>
      <c r="C15" s="24"/>
      <c r="D15" s="24"/>
      <c r="E15" s="24"/>
      <c r="F15" s="24"/>
      <c r="G15" s="24"/>
      <c r="H15" s="24" t="s">
        <v>18</v>
      </c>
      <c r="I15" s="24"/>
      <c r="J15" s="24"/>
      <c r="K15" s="24"/>
      <c r="L15" s="24"/>
      <c r="M15" s="56"/>
    </row>
    <row r="16" ht="25" customHeight="1" spans="2:13">
      <c r="B16" s="25" t="s">
        <v>19</v>
      </c>
      <c r="C16" s="26" t="s">
        <v>20</v>
      </c>
      <c r="D16" s="26" t="s">
        <v>21</v>
      </c>
      <c r="E16" s="26" t="s">
        <v>22</v>
      </c>
      <c r="F16" s="26" t="s">
        <v>23</v>
      </c>
      <c r="G16" s="26" t="s">
        <v>24</v>
      </c>
      <c r="H16" s="26" t="s">
        <v>19</v>
      </c>
      <c r="I16" s="26" t="s">
        <v>20</v>
      </c>
      <c r="J16" s="26" t="s">
        <v>25</v>
      </c>
      <c r="K16" s="26" t="s">
        <v>22</v>
      </c>
      <c r="L16" s="26" t="s">
        <v>23</v>
      </c>
      <c r="M16" s="57" t="s">
        <v>24</v>
      </c>
    </row>
    <row r="17" ht="25" customHeight="1" spans="2:13">
      <c r="B17" s="27">
        <v>1</v>
      </c>
      <c r="C17" s="28">
        <v>191025000039</v>
      </c>
      <c r="D17" s="29">
        <v>212</v>
      </c>
      <c r="E17" s="30" t="s">
        <v>26</v>
      </c>
      <c r="F17" s="30" t="s">
        <v>27</v>
      </c>
      <c r="G17" s="31">
        <v>43705.6259490741</v>
      </c>
      <c r="H17" s="30">
        <v>1</v>
      </c>
      <c r="I17" s="28">
        <v>191025000041</v>
      </c>
      <c r="J17" s="29">
        <v>45</v>
      </c>
      <c r="K17" s="30" t="s">
        <v>26</v>
      </c>
      <c r="L17" s="30" t="s">
        <v>28</v>
      </c>
      <c r="M17" s="58">
        <v>43705.6259490741</v>
      </c>
    </row>
    <row r="18" ht="25" customHeight="1" spans="2:13">
      <c r="B18" s="27">
        <v>2</v>
      </c>
      <c r="C18" s="28">
        <v>191025000038</v>
      </c>
      <c r="D18" s="29">
        <v>121</v>
      </c>
      <c r="E18" s="30" t="s">
        <v>26</v>
      </c>
      <c r="F18" s="30" t="s">
        <v>29</v>
      </c>
      <c r="G18" s="31">
        <v>43763.9937037037</v>
      </c>
      <c r="H18" s="30">
        <v>2</v>
      </c>
      <c r="I18" s="28">
        <v>191025000040</v>
      </c>
      <c r="J18" s="29">
        <v>78</v>
      </c>
      <c r="K18" s="30" t="s">
        <v>26</v>
      </c>
      <c r="L18" s="30" t="s">
        <v>30</v>
      </c>
      <c r="M18" s="58">
        <v>43763.9937037037</v>
      </c>
    </row>
    <row r="19" ht="25" customHeight="1" spans="2:13">
      <c r="B19" s="27">
        <v>3</v>
      </c>
      <c r="C19" s="28">
        <v>190922000006</v>
      </c>
      <c r="D19" s="29">
        <v>16</v>
      </c>
      <c r="E19" s="30" t="s">
        <v>26</v>
      </c>
      <c r="F19" s="30" t="s">
        <v>30</v>
      </c>
      <c r="G19" s="31">
        <v>43763.9787152778</v>
      </c>
      <c r="H19" s="30">
        <v>3</v>
      </c>
      <c r="I19" s="28">
        <v>191012000003</v>
      </c>
      <c r="J19" s="29">
        <v>556</v>
      </c>
      <c r="K19" s="30" t="s">
        <v>26</v>
      </c>
      <c r="L19" s="30" t="s">
        <v>31</v>
      </c>
      <c r="M19" s="58">
        <v>43763.9787152778</v>
      </c>
    </row>
    <row r="20" ht="25" customHeight="1" spans="2:13">
      <c r="B20" s="27">
        <v>4</v>
      </c>
      <c r="C20" s="28">
        <v>190828000021</v>
      </c>
      <c r="D20" s="29">
        <v>434</v>
      </c>
      <c r="E20" s="30" t="s">
        <v>26</v>
      </c>
      <c r="F20" s="30" t="s">
        <v>31</v>
      </c>
      <c r="G20" s="31">
        <v>43750.4313541667</v>
      </c>
      <c r="H20" s="30">
        <v>4</v>
      </c>
      <c r="I20" s="28" t="s">
        <v>32</v>
      </c>
      <c r="J20" s="29">
        <v>988</v>
      </c>
      <c r="K20" s="30" t="s">
        <v>26</v>
      </c>
      <c r="L20" s="30" t="s">
        <v>33</v>
      </c>
      <c r="M20" s="58">
        <v>43750.4313541667</v>
      </c>
    </row>
    <row r="21" ht="25" customHeight="1" spans="2:13">
      <c r="B21" s="27">
        <v>5</v>
      </c>
      <c r="C21" s="28">
        <v>191012000003</v>
      </c>
      <c r="D21" s="29">
        <v>76656</v>
      </c>
      <c r="E21" s="30" t="s">
        <v>26</v>
      </c>
      <c r="F21" s="30" t="s">
        <v>34</v>
      </c>
      <c r="G21" s="31">
        <v>43751.5783912037</v>
      </c>
      <c r="H21" s="30">
        <v>5</v>
      </c>
      <c r="I21" s="28">
        <v>191021000039</v>
      </c>
      <c r="J21" s="29">
        <v>454</v>
      </c>
      <c r="K21" s="30" t="s">
        <v>26</v>
      </c>
      <c r="L21" s="30" t="s">
        <v>33</v>
      </c>
      <c r="M21" s="58">
        <v>43751.5783912037</v>
      </c>
    </row>
    <row r="22" ht="25" customHeight="1" spans="2:13">
      <c r="B22" s="27">
        <v>6</v>
      </c>
      <c r="C22" s="28">
        <v>191025000040</v>
      </c>
      <c r="D22" s="29">
        <v>56</v>
      </c>
      <c r="E22" s="30" t="s">
        <v>26</v>
      </c>
      <c r="F22" s="30" t="s">
        <v>35</v>
      </c>
      <c r="G22" s="31">
        <v>43759.9125</v>
      </c>
      <c r="H22" s="30"/>
      <c r="I22" s="30"/>
      <c r="J22" s="29"/>
      <c r="K22" s="30"/>
      <c r="L22" s="30"/>
      <c r="M22" s="58"/>
    </row>
    <row r="23" ht="25" customHeight="1" spans="2:13">
      <c r="B23" s="27">
        <v>7</v>
      </c>
      <c r="C23" s="28">
        <v>191012000003</v>
      </c>
      <c r="D23" s="29">
        <v>56</v>
      </c>
      <c r="E23" s="30" t="s">
        <v>26</v>
      </c>
      <c r="F23" s="30" t="s">
        <v>28</v>
      </c>
      <c r="G23" s="31">
        <v>43761.0447916667</v>
      </c>
      <c r="H23" s="30"/>
      <c r="I23" s="30"/>
      <c r="J23" s="29"/>
      <c r="K23" s="30"/>
      <c r="L23" s="30"/>
      <c r="M23" s="58"/>
    </row>
    <row r="24" ht="25" customHeight="1" spans="2:13">
      <c r="B24" s="27">
        <v>8</v>
      </c>
      <c r="C24" s="28">
        <v>191012000003</v>
      </c>
      <c r="D24" s="29">
        <v>3223</v>
      </c>
      <c r="E24" s="30" t="s">
        <v>26</v>
      </c>
      <c r="F24" s="30" t="s">
        <v>28</v>
      </c>
      <c r="G24" s="31">
        <v>43763.8812847222</v>
      </c>
      <c r="H24" s="30"/>
      <c r="I24" s="30"/>
      <c r="J24" s="29"/>
      <c r="K24" s="30"/>
      <c r="L24" s="30"/>
      <c r="M24" s="58"/>
    </row>
    <row r="25" ht="25" customHeight="1" spans="2:13">
      <c r="B25" s="27"/>
      <c r="C25" s="32" t="s">
        <v>36</v>
      </c>
      <c r="D25" s="29">
        <f>SUM(D17:D24)</f>
        <v>80774</v>
      </c>
      <c r="E25" s="30"/>
      <c r="F25" s="30"/>
      <c r="G25" s="31"/>
      <c r="H25" s="30"/>
      <c r="I25" s="32" t="s">
        <v>37</v>
      </c>
      <c r="J25" s="29">
        <f>SUM(J17:J24)</f>
        <v>2121</v>
      </c>
      <c r="K25" s="30"/>
      <c r="L25" s="29"/>
      <c r="M25" s="59"/>
    </row>
    <row r="26" ht="25" customHeight="1" spans="2:13">
      <c r="B26" s="33" t="s">
        <v>38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60"/>
    </row>
    <row r="27" ht="25" customHeight="1" spans="2:13">
      <c r="B27" s="21" t="s">
        <v>39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55"/>
    </row>
    <row r="28" ht="25" customHeight="1" spans="2:13">
      <c r="B28" s="35" t="s">
        <v>40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61"/>
    </row>
    <row r="29" ht="25" customHeight="1" spans="2:13">
      <c r="B29" s="25" t="s">
        <v>19</v>
      </c>
      <c r="C29" s="37" t="s">
        <v>41</v>
      </c>
      <c r="D29" s="38"/>
      <c r="E29" s="37" t="s">
        <v>20</v>
      </c>
      <c r="F29" s="37"/>
      <c r="G29" s="26" t="s">
        <v>42</v>
      </c>
      <c r="H29" s="26" t="s">
        <v>43</v>
      </c>
      <c r="I29" s="26" t="s">
        <v>44</v>
      </c>
      <c r="J29" s="26" t="s">
        <v>45</v>
      </c>
      <c r="K29" s="26" t="s">
        <v>46</v>
      </c>
      <c r="L29" s="26" t="s">
        <v>22</v>
      </c>
      <c r="M29" s="57" t="s">
        <v>24</v>
      </c>
    </row>
    <row r="30" ht="25" customHeight="1" spans="2:13">
      <c r="B30" s="27">
        <v>1</v>
      </c>
      <c r="C30" s="39" t="s">
        <v>47</v>
      </c>
      <c r="D30" s="39"/>
      <c r="E30" s="40" t="s">
        <v>48</v>
      </c>
      <c r="F30" s="40"/>
      <c r="G30" s="30" t="s">
        <v>49</v>
      </c>
      <c r="H30" s="41">
        <v>32</v>
      </c>
      <c r="I30" s="28">
        <v>2000</v>
      </c>
      <c r="J30" s="29">
        <v>64000</v>
      </c>
      <c r="K30" s="41" t="s">
        <v>50</v>
      </c>
      <c r="L30" s="41" t="s">
        <v>26</v>
      </c>
      <c r="M30" s="58">
        <v>43705.6259490741</v>
      </c>
    </row>
    <row r="31" ht="25" customHeight="1" spans="2:13">
      <c r="B31" s="27">
        <v>2</v>
      </c>
      <c r="C31" s="39" t="s">
        <v>51</v>
      </c>
      <c r="D31" s="39"/>
      <c r="E31" s="40" t="s">
        <v>52</v>
      </c>
      <c r="F31" s="40"/>
      <c r="G31" s="30" t="s">
        <v>53</v>
      </c>
      <c r="H31" s="41">
        <v>33</v>
      </c>
      <c r="I31" s="28">
        <v>1</v>
      </c>
      <c r="J31" s="41">
        <v>33</v>
      </c>
      <c r="K31" s="41" t="s">
        <v>50</v>
      </c>
      <c r="L31" s="41" t="s">
        <v>54</v>
      </c>
      <c r="M31" s="58">
        <v>43706.6259490741</v>
      </c>
    </row>
    <row r="32" ht="25" customHeight="1" spans="2:13">
      <c r="B32" s="27">
        <v>3</v>
      </c>
      <c r="C32" s="39" t="s">
        <v>51</v>
      </c>
      <c r="D32" s="39"/>
      <c r="E32" s="40" t="s">
        <v>48</v>
      </c>
      <c r="F32" s="40"/>
      <c r="G32" s="30" t="s">
        <v>55</v>
      </c>
      <c r="H32" s="41">
        <v>34</v>
      </c>
      <c r="I32" s="28">
        <v>1</v>
      </c>
      <c r="J32" s="41">
        <v>34</v>
      </c>
      <c r="K32" s="41" t="s">
        <v>50</v>
      </c>
      <c r="L32" s="41" t="s">
        <v>26</v>
      </c>
      <c r="M32" s="58">
        <v>43707.6259490741</v>
      </c>
    </row>
    <row r="33" ht="25" customHeight="1" spans="2:13">
      <c r="B33" s="27">
        <v>4</v>
      </c>
      <c r="C33" s="39" t="s">
        <v>51</v>
      </c>
      <c r="D33" s="39"/>
      <c r="E33" s="40" t="s">
        <v>48</v>
      </c>
      <c r="F33" s="40"/>
      <c r="G33" s="30" t="s">
        <v>53</v>
      </c>
      <c r="H33" s="41">
        <v>35</v>
      </c>
      <c r="I33" s="28">
        <v>1</v>
      </c>
      <c r="J33" s="41">
        <v>35</v>
      </c>
      <c r="K33" s="41" t="s">
        <v>50</v>
      </c>
      <c r="L33" s="41" t="s">
        <v>26</v>
      </c>
      <c r="M33" s="58">
        <v>43708.6259490741</v>
      </c>
    </row>
    <row r="34" ht="25" customHeight="1" spans="2:13">
      <c r="B34" s="27">
        <v>5</v>
      </c>
      <c r="C34" s="39" t="s">
        <v>51</v>
      </c>
      <c r="D34" s="39"/>
      <c r="E34" s="40" t="s">
        <v>48</v>
      </c>
      <c r="F34" s="40"/>
      <c r="G34" s="30" t="s">
        <v>55</v>
      </c>
      <c r="H34" s="41">
        <v>36</v>
      </c>
      <c r="I34" s="28">
        <v>1</v>
      </c>
      <c r="J34" s="41">
        <v>36</v>
      </c>
      <c r="K34" s="41" t="s">
        <v>50</v>
      </c>
      <c r="L34" s="41" t="s">
        <v>26</v>
      </c>
      <c r="M34" s="58">
        <v>43709.6259490741</v>
      </c>
    </row>
    <row r="35" ht="25" customHeight="1" spans="2:13">
      <c r="B35" s="27"/>
      <c r="C35" s="28"/>
      <c r="D35" s="19"/>
      <c r="E35" s="19"/>
      <c r="F35" s="19"/>
      <c r="G35" s="30"/>
      <c r="H35" s="41"/>
      <c r="I35" s="62" t="s">
        <v>36</v>
      </c>
      <c r="J35" s="29">
        <f>SUM(J30:J34)</f>
        <v>64138</v>
      </c>
      <c r="K35" s="41"/>
      <c r="L35" s="41"/>
      <c r="M35" s="58"/>
    </row>
    <row r="36" ht="25" customHeight="1" spans="2:13">
      <c r="B36" s="35" t="s">
        <v>56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61"/>
    </row>
    <row r="37" ht="25" customHeight="1" spans="2:13">
      <c r="B37" s="25" t="s">
        <v>19</v>
      </c>
      <c r="C37" s="37" t="s">
        <v>41</v>
      </c>
      <c r="D37" s="38"/>
      <c r="E37" s="37" t="s">
        <v>20</v>
      </c>
      <c r="F37" s="37"/>
      <c r="G37" s="26" t="s">
        <v>42</v>
      </c>
      <c r="H37" s="26" t="s">
        <v>57</v>
      </c>
      <c r="I37" s="26" t="s">
        <v>44</v>
      </c>
      <c r="J37" s="26" t="s">
        <v>58</v>
      </c>
      <c r="K37" s="26" t="s">
        <v>46</v>
      </c>
      <c r="L37" s="26" t="s">
        <v>22</v>
      </c>
      <c r="M37" s="57" t="s">
        <v>24</v>
      </c>
    </row>
    <row r="38" ht="25" customHeight="1" spans="2:13">
      <c r="B38" s="27">
        <v>1</v>
      </c>
      <c r="C38" s="42" t="s">
        <v>47</v>
      </c>
      <c r="D38" s="42"/>
      <c r="E38" s="40" t="s">
        <v>48</v>
      </c>
      <c r="F38" s="40"/>
      <c r="G38" s="30" t="s">
        <v>49</v>
      </c>
      <c r="H38" s="41">
        <v>32</v>
      </c>
      <c r="I38" s="28">
        <v>2000</v>
      </c>
      <c r="J38" s="29">
        <v>64000</v>
      </c>
      <c r="K38" s="41" t="s">
        <v>50</v>
      </c>
      <c r="L38" s="41" t="s">
        <v>26</v>
      </c>
      <c r="M38" s="58">
        <v>43705.6259490741</v>
      </c>
    </row>
    <row r="39" ht="25" customHeight="1" spans="2:13">
      <c r="B39" s="27">
        <v>2</v>
      </c>
      <c r="C39" s="42" t="s">
        <v>51</v>
      </c>
      <c r="D39" s="42"/>
      <c r="E39" s="40" t="s">
        <v>52</v>
      </c>
      <c r="F39" s="40"/>
      <c r="G39" s="30" t="s">
        <v>53</v>
      </c>
      <c r="H39" s="41">
        <v>33</v>
      </c>
      <c r="I39" s="28">
        <v>1</v>
      </c>
      <c r="J39" s="41">
        <v>33</v>
      </c>
      <c r="K39" s="41" t="s">
        <v>50</v>
      </c>
      <c r="L39" s="41" t="s">
        <v>54</v>
      </c>
      <c r="M39" s="58">
        <v>43706.6259490741</v>
      </c>
    </row>
    <row r="40" ht="25" customHeight="1" spans="2:13">
      <c r="B40" s="27">
        <v>3</v>
      </c>
      <c r="C40" s="42" t="s">
        <v>51</v>
      </c>
      <c r="D40" s="42"/>
      <c r="E40" s="40" t="s">
        <v>48</v>
      </c>
      <c r="F40" s="40"/>
      <c r="G40" s="30" t="s">
        <v>55</v>
      </c>
      <c r="H40" s="41">
        <v>34</v>
      </c>
      <c r="I40" s="28">
        <v>1</v>
      </c>
      <c r="J40" s="41">
        <v>34</v>
      </c>
      <c r="K40" s="41" t="s">
        <v>50</v>
      </c>
      <c r="L40" s="41" t="s">
        <v>26</v>
      </c>
      <c r="M40" s="58">
        <v>43707.6259490741</v>
      </c>
    </row>
    <row r="41" ht="25" customHeight="1" spans="2:13">
      <c r="B41" s="27">
        <v>4</v>
      </c>
      <c r="C41" s="42" t="s">
        <v>51</v>
      </c>
      <c r="D41" s="42"/>
      <c r="E41" s="40" t="s">
        <v>48</v>
      </c>
      <c r="F41" s="40"/>
      <c r="G41" s="30" t="s">
        <v>53</v>
      </c>
      <c r="H41" s="41">
        <v>35</v>
      </c>
      <c r="I41" s="28">
        <v>1</v>
      </c>
      <c r="J41" s="41">
        <v>35</v>
      </c>
      <c r="K41" s="41" t="s">
        <v>50</v>
      </c>
      <c r="L41" s="41" t="s">
        <v>26</v>
      </c>
      <c r="M41" s="58">
        <v>43708.6259490741</v>
      </c>
    </row>
    <row r="42" ht="25" customHeight="1" spans="2:13">
      <c r="B42" s="27">
        <v>5</v>
      </c>
      <c r="C42" s="42" t="s">
        <v>51</v>
      </c>
      <c r="D42" s="42"/>
      <c r="E42" s="40" t="s">
        <v>48</v>
      </c>
      <c r="F42" s="40"/>
      <c r="G42" s="30" t="s">
        <v>55</v>
      </c>
      <c r="H42" s="41">
        <v>36</v>
      </c>
      <c r="I42" s="28">
        <v>1</v>
      </c>
      <c r="J42" s="41">
        <v>36</v>
      </c>
      <c r="K42" s="41" t="s">
        <v>50</v>
      </c>
      <c r="L42" s="41" t="s">
        <v>26</v>
      </c>
      <c r="M42" s="58">
        <v>43709.6259490741</v>
      </c>
    </row>
    <row r="43" s="1" customFormat="1" ht="25" customHeight="1" spans="2:13">
      <c r="B43" s="27"/>
      <c r="C43" s="30"/>
      <c r="D43" s="30"/>
      <c r="E43" s="30"/>
      <c r="F43" s="30"/>
      <c r="G43" s="30"/>
      <c r="H43" s="30"/>
      <c r="I43" s="32" t="s">
        <v>37</v>
      </c>
      <c r="J43" s="29">
        <f>SUM(J38:J42)</f>
        <v>64138</v>
      </c>
      <c r="K43" s="30" t="s">
        <v>59</v>
      </c>
      <c r="L43" s="29">
        <v>420125.17</v>
      </c>
      <c r="M43" s="59" t="s">
        <v>60</v>
      </c>
    </row>
    <row r="44" ht="25" customHeight="1" spans="2:13">
      <c r="B44" s="43" t="s">
        <v>61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63"/>
    </row>
    <row r="45" ht="25" customHeight="1" spans="2:13">
      <c r="B45" s="45" t="s">
        <v>62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64"/>
    </row>
    <row r="46" ht="25" customHeight="1" spans="2:13">
      <c r="B46" s="47" t="s">
        <v>63</v>
      </c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65"/>
    </row>
  </sheetData>
  <mergeCells count="46">
    <mergeCell ref="B2:M2"/>
    <mergeCell ref="B3:M3"/>
    <mergeCell ref="B4:C4"/>
    <mergeCell ref="B5:M5"/>
    <mergeCell ref="B6:K6"/>
    <mergeCell ref="H7:I7"/>
    <mergeCell ref="J7:K7"/>
    <mergeCell ref="H9:I9"/>
    <mergeCell ref="J9:K9"/>
    <mergeCell ref="B10:C10"/>
    <mergeCell ref="B12:M12"/>
    <mergeCell ref="B13:M13"/>
    <mergeCell ref="B14:M14"/>
    <mergeCell ref="B15:G15"/>
    <mergeCell ref="H15:M15"/>
    <mergeCell ref="B26:M26"/>
    <mergeCell ref="B27:M27"/>
    <mergeCell ref="B28:M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B36:M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B44:M44"/>
    <mergeCell ref="B45:M45"/>
    <mergeCell ref="B46:M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2021-02-26T08:52:00Z</dcterms:created>
  <dcterms:modified xsi:type="dcterms:W3CDTF">2021-03-01T07:39:45Z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