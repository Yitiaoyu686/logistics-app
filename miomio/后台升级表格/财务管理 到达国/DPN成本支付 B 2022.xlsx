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3" r:id="rId1"/>
    <sheet name="支付 展开" sheetId="6" r:id="rId2"/>
    <sheet name="支付 收起" sheetId="10" r:id="rId3"/>
    <sheet name="点击订单号或更多" sheetId="7" r:id="rId4"/>
    <sheet name="查看 (2)" sheetId="9" r:id="rId5"/>
  </sheets>
  <calcPr calcId="144525"/>
</workbook>
</file>

<file path=xl/sharedStrings.xml><?xml version="1.0" encoding="utf-8"?>
<sst xmlns="http://schemas.openxmlformats.org/spreadsheetml/2006/main" count="841" uniqueCount="214">
  <si>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</si>
  <si>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</si>
  <si>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</si>
  <si>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</si>
  <si>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</si>
  <si>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</si>
  <si>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</si>
  <si>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</si>
  <si>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</si>
  <si>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</si>
  <si>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</si>
  <si>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</si>
  <si>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</si>
  <si>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</si>
  <si>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</si>
  <si>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</si>
  <si>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</si>
  <si>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</si>
  <si>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</si>
  <si>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</si>
  <si>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</si>
  <si>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</si>
  <si>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</si>
  <si>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</si>
  <si>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</si>
  <si>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</si>
  <si>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</si>
  <si>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</si>
  <si>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</si>
  <si>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</si>
  <si>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</si>
  <si>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</si>
  <si>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</si>
  <si>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</si>
  <si>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创建DPN任务</t>
  </si>
  <si>
    <t>选择线路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</si>
  <si>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</si>
  <si>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</si>
  <si>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</si>
  <si>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</si>
  <si>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</si>
  <si>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</si>
  <si>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</si>
  <si>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</si>
  <si>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</si>
  <si>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</si>
  <si>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执行状态</t>
  </si>
  <si>
    <t>操作</t>
  </si>
  <si>
    <t>更新日期</t>
  </si>
  <si>
    <t>DPN123456    2019/10/25 11:55:35</t>
  </si>
  <si>
    <t>IKEJ STA-ABUJ STA</t>
  </si>
  <si>
    <r>
      <rPr>
        <sz val="9"/>
        <color theme="1"/>
        <rFont val="Arial"/>
        <charset val="134"/>
      </rPr>
      <t xml:space="preserve">JOB123458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</si>
  <si>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Microsoft JhengHei"/>
        <charset val="134"/>
      </rP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</si>
  <si>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rPr>
        <sz val="8"/>
        <color theme="1"/>
        <rFont val="Microsoft JhengHei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</si>
  <si>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</si>
  <si>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支付</t>
  </si>
  <si>
    <r>
      <rPr>
        <sz val="9"/>
        <color theme="1"/>
        <rFont val="Arial"/>
        <charset val="134"/>
      </rPr>
      <t xml:space="preserve">JOB123459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</si>
  <si>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JOB123460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</si>
  <si>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</si>
  <si>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JOB123459               </t>
    </r>
    <r>
      <rPr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</si>
  <si>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</si>
  <si>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DPN123456        2019/10/25 11:55:35</t>
  </si>
  <si>
    <t>190828000021  190828000021  190828000021   190828000021  190828000021  190828000021  190828000021  190828000021  190828000021</t>
  </si>
  <si>
    <t>DPN123456    2019/10/25 11:55:36</t>
  </si>
  <si>
    <r>
      <rPr>
        <sz val="9"/>
        <color theme="1"/>
        <rFont val="Arial"/>
        <charset val="134"/>
      </rPr>
      <t xml:space="preserve">JOB123457               </t>
    </r>
    <r>
      <rPr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</si>
  <si>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</si>
  <si>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</si>
  <si>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rPr>
        <sz val="9"/>
        <color theme="1"/>
        <rFont val="Arial"/>
        <charset val="134"/>
      </rPr>
      <t xml:space="preserve">JOB123456              </t>
    </r>
    <r>
      <rPr>
        <sz val="8"/>
        <color theme="1"/>
        <rFont val="Arial"/>
        <charset val="134"/>
      </rPr>
      <t xml:space="preserve"> IKEJ STA</t>
    </r>
  </si>
  <si>
    <t>DPN123456    2019/10/25 11:55:37</t>
  </si>
  <si>
    <r>
      <rPr>
        <sz val="9"/>
        <color theme="1"/>
        <rFont val="Arial"/>
        <charset val="134"/>
      </rPr>
      <t xml:space="preserve">JOB123455               </t>
    </r>
    <r>
      <rPr>
        <sz val="8"/>
        <color theme="1"/>
        <rFont val="Arial"/>
        <charset val="134"/>
      </rPr>
      <t>IKEJ STA</t>
    </r>
  </si>
  <si>
    <t>DPN123456        2019/10/25 11:55:37</t>
  </si>
  <si>
    <r>
      <rPr>
        <sz val="9"/>
        <color theme="1"/>
        <rFont val="Arial"/>
        <charset val="134"/>
      </rPr>
      <t xml:space="preserve">JOB123454              </t>
    </r>
    <r>
      <rPr>
        <sz val="8"/>
        <color theme="1"/>
        <rFont val="Arial"/>
        <charset val="134"/>
      </rPr>
      <t xml:space="preserve"> IKEJ STA</t>
    </r>
  </si>
  <si>
    <t>DPN123456    2019/10/25 11:55:38</t>
  </si>
  <si>
    <r>
      <rPr>
        <sz val="9"/>
        <color theme="1"/>
        <rFont val="Arial"/>
        <charset val="134"/>
      </rPr>
      <t xml:space="preserve">JOB123453               </t>
    </r>
    <r>
      <rPr>
        <sz val="8"/>
        <color theme="1"/>
        <rFont val="Arial"/>
        <charset val="134"/>
      </rPr>
      <t>IKEJ STA</t>
    </r>
  </si>
  <si>
    <t>DPN123456        2019/10/25 11:55:38</t>
  </si>
  <si>
    <r>
      <rPr>
        <sz val="9"/>
        <color theme="1"/>
        <rFont val="Arial"/>
        <charset val="134"/>
      </rPr>
      <t xml:space="preserve">JOB123452              </t>
    </r>
    <r>
      <rPr>
        <sz val="8"/>
        <color theme="1"/>
        <rFont val="Arial"/>
        <charset val="134"/>
      </rPr>
      <t xml:space="preserve"> IKEJ STA</t>
    </r>
  </si>
  <si>
    <t>DPN123456    2019/10/25 11:55:39</t>
  </si>
  <si>
    <r>
      <rPr>
        <sz val="9"/>
        <color theme="1"/>
        <rFont val="Arial"/>
        <charset val="134"/>
      </rPr>
      <t xml:space="preserve">JOB123451               </t>
    </r>
    <r>
      <rPr>
        <sz val="8"/>
        <color theme="1"/>
        <rFont val="Arial"/>
        <charset val="134"/>
      </rPr>
      <t>IKEJ STA</t>
    </r>
  </si>
  <si>
    <t>DPN123456        2019/10/25 11:55:39</t>
  </si>
  <si>
    <r>
      <rPr>
        <sz val="9"/>
        <color theme="1"/>
        <rFont val="Arial"/>
        <charset val="134"/>
      </rPr>
      <t xml:space="preserve">JOB123450              </t>
    </r>
    <r>
      <rPr>
        <sz val="8"/>
        <color theme="1"/>
        <rFont val="Arial"/>
        <charset val="134"/>
      </rPr>
      <t xml:space="preserve"> IKEJ STA</t>
    </r>
  </si>
  <si>
    <t>DPN123456    2019/10/25 11:55:40</t>
  </si>
  <si>
    <r>
      <rPr>
        <sz val="9"/>
        <color theme="1"/>
        <rFont val="Arial"/>
        <charset val="134"/>
      </rPr>
      <t xml:space="preserve">JOB123449               </t>
    </r>
    <r>
      <rPr>
        <sz val="8"/>
        <color theme="1"/>
        <rFont val="Arial"/>
        <charset val="134"/>
      </rPr>
      <t>IKEJ STA</t>
    </r>
  </si>
  <si>
    <t>DPN123456        2019/10/25 11:55:40</t>
  </si>
  <si>
    <r>
      <rPr>
        <sz val="9"/>
        <color theme="1"/>
        <rFont val="Arial"/>
        <charset val="134"/>
      </rPr>
      <t xml:space="preserve">JOB123448              </t>
    </r>
    <r>
      <rPr>
        <sz val="8"/>
        <color theme="1"/>
        <rFont val="Arial"/>
        <charset val="134"/>
      </rPr>
      <t xml:space="preserve"> IKEJ STA</t>
    </r>
  </si>
  <si>
    <t>DPN123456    2019/10/25 11:55:41</t>
  </si>
  <si>
    <r>
      <rPr>
        <sz val="9"/>
        <color theme="1"/>
        <rFont val="Arial"/>
        <charset val="134"/>
      </rPr>
      <t xml:space="preserve">JOB123447               </t>
    </r>
    <r>
      <rPr>
        <sz val="8"/>
        <color theme="1"/>
        <rFont val="Arial"/>
        <charset val="134"/>
      </rPr>
      <t>IKEJ STA</t>
    </r>
  </si>
  <si>
    <t>DPN123456        2019/10/25 11:55:41</t>
  </si>
  <si>
    <r>
      <rPr>
        <sz val="9"/>
        <color theme="1"/>
        <rFont val="Arial"/>
        <charset val="134"/>
      </rPr>
      <t xml:space="preserve">JOB123446              </t>
    </r>
    <r>
      <rPr>
        <sz val="8"/>
        <color theme="1"/>
        <rFont val="Arial"/>
        <charset val="134"/>
      </rPr>
      <t xml:space="preserve"> IKEJ STA</t>
    </r>
  </si>
  <si>
    <t>DPN123456    2019/10/25 11:55:42</t>
  </si>
  <si>
    <r>
      <rPr>
        <sz val="9"/>
        <color theme="1"/>
        <rFont val="Arial"/>
        <charset val="134"/>
      </rPr>
      <t xml:space="preserve">JOB123445               </t>
    </r>
    <r>
      <rPr>
        <sz val="8"/>
        <color theme="1"/>
        <rFont val="Arial"/>
        <charset val="134"/>
      </rPr>
      <t>IKEJ STA</t>
    </r>
  </si>
  <si>
    <t>DPN123456        2019/10/25 11:55:42</t>
  </si>
  <si>
    <r>
      <rPr>
        <sz val="9"/>
        <color theme="1"/>
        <rFont val="Arial"/>
        <charset val="134"/>
      </rPr>
      <t xml:space="preserve">JOB123444              </t>
    </r>
    <r>
      <rPr>
        <sz val="8"/>
        <color theme="1"/>
        <rFont val="Arial"/>
        <charset val="134"/>
      </rPr>
      <t xml:space="preserve"> IKEJ STA</t>
    </r>
  </si>
  <si>
    <t>DPN123456    2019/10/25 11:55:43</t>
  </si>
  <si>
    <r>
      <rPr>
        <sz val="9"/>
        <color theme="1"/>
        <rFont val="Arial"/>
        <charset val="134"/>
      </rPr>
      <t xml:space="preserve">JOB123443               </t>
    </r>
    <r>
      <rPr>
        <sz val="8"/>
        <color theme="1"/>
        <rFont val="Arial"/>
        <charset val="134"/>
      </rPr>
      <t>IKEJ STA</t>
    </r>
  </si>
  <si>
    <t>DPN123456        2019/10/25 11:55:43</t>
  </si>
  <si>
    <r>
      <rPr>
        <sz val="9"/>
        <color theme="1"/>
        <rFont val="Arial"/>
        <charset val="134"/>
      </rPr>
      <t xml:space="preserve">JOB123442              </t>
    </r>
    <r>
      <rPr>
        <sz val="8"/>
        <color theme="1"/>
        <rFont val="Arial"/>
        <charset val="134"/>
      </rPr>
      <t xml:space="preserve"> IKEJ STA</t>
    </r>
  </si>
  <si>
    <t>DPN123456    2019/10/25 11:55:44</t>
  </si>
  <si>
    <r>
      <rPr>
        <sz val="9"/>
        <color theme="1"/>
        <rFont val="Arial"/>
        <charset val="134"/>
      </rPr>
      <t xml:space="preserve">JOB123441               </t>
    </r>
    <r>
      <rPr>
        <sz val="8"/>
        <color theme="1"/>
        <rFont val="Arial"/>
        <charset val="134"/>
      </rPr>
      <t>IKEJ STA</t>
    </r>
  </si>
  <si>
    <t>工单详情</t>
  </si>
  <si>
    <t>DPN123456</t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</si>
  <si>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</si>
  <si>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2,500.00</t>
    </r>
  </si>
  <si>
    <r>
      <rPr>
        <b/>
        <sz val="11"/>
        <color theme="1"/>
        <rFont val="宋体"/>
        <charset val="134"/>
      </rPr>
      <t>起运站：</t>
    </r>
    <r>
      <rPr>
        <b/>
        <sz val="11"/>
        <color theme="1"/>
        <rFont val="Arial"/>
        <charset val="134"/>
      </rPr>
      <t>IKEJA STA</t>
    </r>
  </si>
  <si>
    <r>
      <rPr>
        <b/>
        <sz val="11"/>
        <color theme="1"/>
        <rFont val="宋体"/>
        <charset val="134"/>
      </rPr>
      <t>到达站：</t>
    </r>
    <r>
      <rPr>
        <b/>
        <sz val="11"/>
        <color theme="1"/>
        <rFont val="Arial"/>
        <charset val="134"/>
      </rPr>
      <t>ABUJ STA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</si>
  <si>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</si>
  <si>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</si>
  <si>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</si>
  <si>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</si>
  <si>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</si>
  <si>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</si>
  <si>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</si>
  <si>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</si>
  <si>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</si>
  <si>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</si>
  <si>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</si>
  <si>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</si>
  <si>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</si>
  <si>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</si>
  <si>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</si>
  <si>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</si>
  <si>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</si>
  <si>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</si>
  <si>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</si>
  <si>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业务员</t>
    </r>
  </si>
  <si>
    <r>
      <rPr>
        <b/>
        <sz val="9"/>
        <color theme="1"/>
        <rFont val="宋体"/>
        <charset val="134"/>
      </rPr>
      <t>收件人</t>
    </r>
  </si>
  <si>
    <r>
      <rPr>
        <b/>
        <sz val="9"/>
        <color theme="1"/>
        <rFont val="宋体"/>
        <charset val="134"/>
      </rPr>
      <t>件数</t>
    </r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</si>
  <si>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</si>
  <si>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宋体"/>
        <charset val="134"/>
      </rPr>
      <t>应付占比</t>
    </r>
  </si>
  <si>
    <r>
      <rPr>
        <b/>
        <sz val="9"/>
        <color theme="1"/>
        <rFont val="宋体"/>
        <charset val="134"/>
      </rPr>
      <t>应付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</si>
  <si>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</si>
  <si>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t>191018000005 01</t>
  </si>
  <si>
    <t>SAMPAO</t>
  </si>
  <si>
    <t>OLATUNDE</t>
  </si>
  <si>
    <t>CAN.CHN→ABV.NGN</t>
  </si>
  <si>
    <t>191018000005 02</t>
  </si>
  <si>
    <t>191018000005 03</t>
  </si>
  <si>
    <t>191018000005 04</t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</si>
  <si>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</si>
  <si>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t>191018000005 05</t>
  </si>
  <si>
    <t>191018000005 06</t>
  </si>
  <si>
    <t>191018000005 07</t>
  </si>
  <si>
    <t>191018000005 08</t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</si>
  <si>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</si>
  <si>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r>
      <t xml:space="preserve">应付明细 IKEJA STATION  </t>
    </r>
    <r>
      <rPr>
        <b/>
        <sz val="11"/>
        <color rgb="FF0070C0"/>
        <rFont val="Microsoft JhengHei"/>
        <charset val="134"/>
      </rPr>
      <t>收起</t>
    </r>
  </si>
  <si>
    <t>供应商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</si>
  <si>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</si>
  <si>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</si>
  <si>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</si>
  <si>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</si>
  <si>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支付状态</t>
  </si>
  <si>
    <t>支付途径/日期</t>
  </si>
  <si>
    <t>审核状态/日期</t>
  </si>
  <si>
    <t>Guangzho meow meow International Freight Forwarding</t>
  </si>
  <si>
    <t>无</t>
  </si>
  <si>
    <r>
      <rPr>
        <sz val="9"/>
        <color theme="1"/>
        <rFont val="Microsoft JhengHei"/>
        <charset val="134"/>
      </rPr>
      <t>空运费</t>
    </r>
  </si>
  <si>
    <t>未付</t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</si>
  <si>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15:01:22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</si>
  <si>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</si>
  <si>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</si>
  <si>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</si>
  <si>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15:01:22</t>
    </r>
  </si>
  <si>
    <t>广州喵喵国际货运代理有限公司深圳分公司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</si>
  <si>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</si>
  <si>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提货费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</si>
  <si>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15:01:23</t>
    </r>
  </si>
  <si>
    <r>
      <rPr>
        <sz val="9"/>
        <color theme="1"/>
        <rFont val="Microsoft JhengHei"/>
        <charset val="134"/>
      </rPr>
      <t>送货费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</si>
  <si>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15:01:23</t>
    </r>
  </si>
  <si>
    <r>
      <rPr>
        <sz val="9"/>
        <color theme="1"/>
        <rFont val="Microsoft JhengHei"/>
        <charset val="134"/>
      </rPr>
      <t>包装费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</si>
  <si>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15:01:24</t>
    </r>
  </si>
  <si>
    <r>
      <rPr>
        <sz val="9"/>
        <color theme="1"/>
        <rFont val="Microsoft JhengHei"/>
        <charset val="134"/>
      </rPr>
      <t>代垫运费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</si>
  <si>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15:01:24</t>
    </r>
  </si>
  <si>
    <r>
      <rPr>
        <sz val="9"/>
        <color theme="1"/>
        <rFont val="Microsoft JhengHei"/>
        <charset val="134"/>
      </rPr>
      <t>商检费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</si>
  <si>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15:01:25</t>
    </r>
  </si>
  <si>
    <r>
      <rPr>
        <sz val="9"/>
        <color theme="1"/>
        <rFont val="Microsoft JhengHei"/>
        <charset val="134"/>
      </rPr>
      <t>检测费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</si>
  <si>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15:01:25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</si>
  <si>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15:01:26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</si>
  <si>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15:01:26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</si>
  <si>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</si>
  <si>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</si>
  <si>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15:01:27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</si>
  <si>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</si>
  <si>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15:01:27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</si>
  <si>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</si>
  <si>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r>
      <t xml:space="preserve">应付明细 ABUJA STATION </t>
    </r>
    <r>
      <rPr>
        <b/>
        <sz val="11"/>
        <color rgb="FF0070C0"/>
        <rFont val="Microsoft JhengHei"/>
        <charset val="134"/>
      </rPr>
      <t>收起</t>
    </r>
  </si>
  <si>
    <r>
      <rPr>
        <sz val="9"/>
        <color rgb="FF393939"/>
        <rFont val="宋体"/>
        <charset val="134"/>
      </rPr>
      <t xml:space="preserve">未付  </t>
    </r>
    <r>
      <rPr>
        <b/>
        <sz val="8"/>
        <color rgb="FF0070C0"/>
        <rFont val="宋体"/>
        <charset val="134"/>
      </rPr>
      <t>支付</t>
    </r>
  </si>
  <si>
    <r>
      <t>广州喵喵国际货运代理有限公司深圳分公司</t>
    </r>
    <r>
      <rPr>
        <sz val="9"/>
        <color theme="1"/>
        <rFont val="Arial"/>
        <charset val="134"/>
      </rPr>
      <t xml:space="preserve"> </t>
    </r>
  </si>
  <si>
    <t>返回</t>
  </si>
  <si>
    <r>
      <t xml:space="preserve">应付明细 IKEJA STATION  </t>
    </r>
    <r>
      <rPr>
        <b/>
        <sz val="11"/>
        <color rgb="FF0070C0"/>
        <rFont val="Microsoft JhengHei"/>
        <charset val="134"/>
      </rPr>
      <t>展开</t>
    </r>
  </si>
  <si>
    <r>
      <t xml:space="preserve">应付明细 ABUJA STATION </t>
    </r>
    <r>
      <rPr>
        <b/>
        <sz val="11"/>
        <color rgb="FF0070C0"/>
        <rFont val="Microsoft JhengHei"/>
        <charset val="134"/>
      </rPr>
      <t>展开</t>
    </r>
  </si>
  <si>
    <t>DPN详情</t>
  </si>
  <si>
    <t>JOB/站点</t>
  </si>
  <si>
    <t>单号</t>
  </si>
  <si>
    <t>业务员</t>
  </si>
  <si>
    <t>用户</t>
  </si>
  <si>
    <t>尺寸CM</t>
  </si>
  <si>
    <t>体积CBM</t>
  </si>
  <si>
    <t>体积重KG</t>
  </si>
  <si>
    <t>DPN123456                 IKEJ STA-ABUJ STA 2019/10/25 11:55:36</t>
  </si>
  <si>
    <t>JOB123458                             IKEJ STA</t>
  </si>
  <si>
    <t>AkinGbolahan</t>
  </si>
  <si>
    <t>50*50*50</t>
  </si>
  <si>
    <t>191018000005 14</t>
  </si>
  <si>
    <t>191018000005 15</t>
  </si>
  <si>
    <t>191018000005 16</t>
  </si>
  <si>
    <t>191019000025 06</t>
  </si>
  <si>
    <t>Andi MailMail</t>
  </si>
  <si>
    <r>
      <rPr>
        <sz val="9"/>
        <color theme="1"/>
        <rFont val="Arial"/>
        <charset val="134"/>
      </rPr>
      <t xml:space="preserve">JOB123458              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</si>
  <si>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                      IKEJ STA</t>
    </r>
  </si>
  <si>
    <t>191021000001 01</t>
  </si>
  <si>
    <t>191021000003 02</t>
  </si>
  <si>
    <t>Smile</t>
  </si>
  <si>
    <r>
      <rPr>
        <b/>
        <sz val="11"/>
        <color theme="1"/>
        <rFont val="宋体"/>
        <charset val="134"/>
      </rPr>
      <t xml:space="preserve">订单应付 </t>
    </r>
    <r>
      <rPr>
        <b/>
        <sz val="11"/>
        <color rgb="FF0070C0"/>
        <rFont val="宋体"/>
        <charset val="134"/>
      </rPr>
      <t>收起</t>
    </r>
  </si>
  <si>
    <t>应付明细 IKEJA STATION</t>
  </si>
  <si>
    <t>应付明细 ABUJA STATION</t>
  </si>
</sst>
</file>

<file path=xl/styles.xml><?xml version="1.0" encoding="utf-8"?>
<styleSheet xmlns="http://schemas.openxmlformats.org/spreadsheetml/2006/main">
  <numFmts count="10">
    <numFmt numFmtId="176" formatCode="#,##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#,##0.00_ "/>
    <numFmt numFmtId="178" formatCode="0_ "/>
    <numFmt numFmtId="7" formatCode="&quot;￥&quot;#,##0.00;&quot;￥&quot;\-#,##0.00"/>
    <numFmt numFmtId="179" formatCode="0.0%"/>
    <numFmt numFmtId="180" formatCode="yyyy/m/d\ h:mm;@"/>
  </numFmts>
  <fonts count="61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Arial"/>
      <charset val="134"/>
    </font>
    <font>
      <sz val="9"/>
      <color rgb="FF0070C0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rgb="FF393939"/>
      <name val="Arial"/>
      <charset val="134"/>
    </font>
    <font>
      <b/>
      <sz val="12"/>
      <color theme="0"/>
      <name val="Microsoft JhengHei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b/>
      <sz val="11"/>
      <color rgb="FFFF0000"/>
      <name val="宋体"/>
      <charset val="134"/>
    </font>
    <font>
      <b/>
      <sz val="11"/>
      <color rgb="FF0070C0"/>
      <name val="Microsoft JhengHei"/>
      <charset val="134"/>
    </font>
    <font>
      <b/>
      <sz val="8"/>
      <color rgb="FF0070C0"/>
      <name val="宋体"/>
      <charset val="134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1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31" borderId="15" applyNumberFormat="0" applyFont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50" fillId="22" borderId="16" applyNumberFormat="0" applyAlignment="0" applyProtection="0">
      <alignment vertical="center"/>
    </xf>
    <xf numFmtId="0" fontId="43" fillId="22" borderId="9" applyNumberFormat="0" applyAlignment="0" applyProtection="0">
      <alignment vertical="center"/>
    </xf>
    <xf numFmtId="0" fontId="42" fillId="21" borderId="13" applyNumberFormat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7" fontId="10" fillId="2" borderId="0" xfId="0" applyNumberFormat="1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8" fontId="10" fillId="5" borderId="3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Alignment="1">
      <alignment horizontal="center" vertical="center"/>
    </xf>
    <xf numFmtId="178" fontId="11" fillId="5" borderId="3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8" fontId="10" fillId="5" borderId="3" xfId="0" applyNumberFormat="1" applyFont="1" applyFill="1" applyBorder="1" applyAlignment="1">
      <alignment horizontal="center" vertical="center" wrapText="1"/>
    </xf>
    <xf numFmtId="178" fontId="10" fillId="6" borderId="3" xfId="0" applyNumberFormat="1" applyFont="1" applyFill="1" applyBorder="1" applyAlignment="1">
      <alignment horizontal="center" vertical="center" wrapText="1"/>
    </xf>
    <xf numFmtId="178" fontId="1" fillId="6" borderId="0" xfId="0" applyNumberFormat="1" applyFont="1" applyFill="1" applyBorder="1" applyAlignment="1">
      <alignment vertical="center"/>
    </xf>
    <xf numFmtId="178" fontId="1" fillId="6" borderId="0" xfId="0" applyNumberFormat="1" applyFont="1" applyFill="1" applyAlignment="1">
      <alignment vertical="center"/>
    </xf>
    <xf numFmtId="177" fontId="1" fillId="6" borderId="0" xfId="0" applyNumberFormat="1" applyFont="1" applyFill="1" applyBorder="1" applyAlignment="1">
      <alignment vertical="center"/>
    </xf>
    <xf numFmtId="177" fontId="6" fillId="6" borderId="0" xfId="0" applyNumberFormat="1" applyFont="1" applyFill="1" applyBorder="1" applyAlignment="1">
      <alignment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8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8" fontId="7" fillId="5" borderId="0" xfId="0" applyNumberFormat="1" applyFont="1" applyFill="1" applyAlignment="1">
      <alignment horizontal="center" vertical="center"/>
    </xf>
    <xf numFmtId="178" fontId="1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8" fontId="11" fillId="5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10" fontId="10" fillId="5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Alignment="1">
      <alignment horizontal="center" vertical="center"/>
    </xf>
    <xf numFmtId="177" fontId="10" fillId="6" borderId="0" xfId="0" applyNumberFormat="1" applyFont="1" applyFill="1" applyBorder="1" applyAlignment="1">
      <alignment horizontal="center" vertical="center"/>
    </xf>
    <xf numFmtId="177" fontId="17" fillId="6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Border="1" applyAlignment="1">
      <alignment horizontal="center" vertical="center"/>
    </xf>
    <xf numFmtId="177" fontId="18" fillId="2" borderId="0" xfId="0" applyNumberFormat="1" applyFont="1" applyFill="1" applyBorder="1" applyAlignment="1">
      <alignment horizontal="center" vertical="center" wrapText="1"/>
    </xf>
    <xf numFmtId="177" fontId="19" fillId="2" borderId="0" xfId="0" applyNumberFormat="1" applyFont="1" applyFill="1" applyAlignment="1">
      <alignment horizontal="center" vertical="center" wrapText="1"/>
    </xf>
    <xf numFmtId="177" fontId="1" fillId="5" borderId="0" xfId="0" applyNumberFormat="1" applyFont="1" applyFill="1" applyAlignment="1">
      <alignment horizontal="center" vertical="center"/>
    </xf>
    <xf numFmtId="177" fontId="1" fillId="5" borderId="0" xfId="0" applyNumberFormat="1" applyFont="1" applyFill="1" applyBorder="1" applyAlignment="1">
      <alignment horizontal="center" vertical="center"/>
    </xf>
    <xf numFmtId="177" fontId="18" fillId="5" borderId="0" xfId="0" applyNumberFormat="1" applyFont="1" applyFill="1" applyBorder="1" applyAlignment="1">
      <alignment horizontal="center" vertical="center" wrapText="1"/>
    </xf>
    <xf numFmtId="177" fontId="18" fillId="5" borderId="0" xfId="0" applyNumberFormat="1" applyFont="1" applyFill="1" applyAlignment="1">
      <alignment horizontal="center" vertical="center" wrapText="1"/>
    </xf>
    <xf numFmtId="177" fontId="18" fillId="2" borderId="0" xfId="0" applyNumberFormat="1" applyFont="1" applyFill="1" applyAlignment="1">
      <alignment horizontal="center" vertical="center" wrapText="1"/>
    </xf>
    <xf numFmtId="177" fontId="20" fillId="6" borderId="0" xfId="0" applyNumberFormat="1" applyFont="1" applyFill="1" applyAlignment="1">
      <alignment vertical="center" wrapText="1"/>
    </xf>
    <xf numFmtId="177" fontId="20" fillId="6" borderId="0" xfId="0" applyNumberFormat="1" applyFont="1" applyFill="1" applyAlignment="1">
      <alignment horizontal="right" vertical="center" wrapText="1"/>
    </xf>
    <xf numFmtId="177" fontId="20" fillId="6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/>
    </xf>
    <xf numFmtId="177" fontId="20" fillId="2" borderId="0" xfId="0" applyNumberFormat="1" applyFont="1" applyFill="1" applyAlignment="1">
      <alignment vertical="center" wrapText="1"/>
    </xf>
    <xf numFmtId="177" fontId="20" fillId="2" borderId="0" xfId="0" applyNumberFormat="1" applyFont="1" applyFill="1" applyAlignment="1">
      <alignment horizontal="right" vertical="center" wrapText="1"/>
    </xf>
    <xf numFmtId="177" fontId="20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8" fontId="10" fillId="5" borderId="7" xfId="0" applyNumberFormat="1" applyFont="1" applyFill="1" applyBorder="1" applyAlignment="1">
      <alignment horizontal="center" vertical="center"/>
    </xf>
    <xf numFmtId="178" fontId="10" fillId="2" borderId="0" xfId="0" applyNumberFormat="1" applyFont="1" applyFill="1" applyAlignment="1">
      <alignment horizontal="center" vertical="center"/>
    </xf>
    <xf numFmtId="178" fontId="10" fillId="2" borderId="7" xfId="0" applyNumberFormat="1" applyFont="1" applyFill="1" applyBorder="1" applyAlignment="1">
      <alignment horizontal="center" vertical="center"/>
    </xf>
    <xf numFmtId="177" fontId="6" fillId="6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7" fontId="6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7" fontId="10" fillId="5" borderId="0" xfId="0" applyNumberFormat="1" applyFont="1" applyFill="1" applyAlignment="1">
      <alignment horizontal="center" vertical="center" wrapText="1"/>
    </xf>
    <xf numFmtId="7" fontId="10" fillId="5" borderId="7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177" fontId="11" fillId="6" borderId="0" xfId="0" applyNumberFormat="1" applyFont="1" applyFill="1" applyAlignment="1">
      <alignment horizontal="center" vertical="center" wrapText="1"/>
    </xf>
    <xf numFmtId="177" fontId="11" fillId="6" borderId="7" xfId="0" applyNumberFormat="1" applyFont="1" applyFill="1" applyBorder="1" applyAlignment="1">
      <alignment horizontal="center" vertical="center" wrapText="1"/>
    </xf>
    <xf numFmtId="180" fontId="19" fillId="2" borderId="0" xfId="0" applyNumberFormat="1" applyFont="1" applyFill="1" applyAlignment="1">
      <alignment horizontal="center" vertical="center" wrapText="1"/>
    </xf>
    <xf numFmtId="180" fontId="18" fillId="2" borderId="0" xfId="0" applyNumberFormat="1" applyFont="1" applyFill="1" applyAlignment="1">
      <alignment horizontal="center" vertical="center" wrapText="1"/>
    </xf>
    <xf numFmtId="177" fontId="22" fillId="2" borderId="0" xfId="0" applyNumberFormat="1" applyFont="1" applyFill="1" applyAlignment="1">
      <alignment horizontal="center" vertical="center" wrapText="1"/>
    </xf>
    <xf numFmtId="177" fontId="23" fillId="2" borderId="7" xfId="0" applyNumberFormat="1" applyFont="1" applyFill="1" applyBorder="1" applyAlignment="1">
      <alignment horizontal="center" vertical="center" wrapText="1"/>
    </xf>
    <xf numFmtId="180" fontId="19" fillId="5" borderId="0" xfId="0" applyNumberFormat="1" applyFont="1" applyFill="1" applyAlignment="1">
      <alignment horizontal="center" vertical="center" wrapText="1"/>
    </xf>
    <xf numFmtId="180" fontId="18" fillId="5" borderId="0" xfId="0" applyNumberFormat="1" applyFont="1" applyFill="1" applyAlignment="1">
      <alignment horizontal="center" vertical="center" wrapText="1"/>
    </xf>
    <xf numFmtId="177" fontId="22" fillId="5" borderId="0" xfId="0" applyNumberFormat="1" applyFont="1" applyFill="1" applyAlignment="1">
      <alignment horizontal="center" vertical="center" wrapText="1"/>
    </xf>
    <xf numFmtId="177" fontId="23" fillId="5" borderId="7" xfId="0" applyNumberFormat="1" applyFont="1" applyFill="1" applyBorder="1" applyAlignment="1">
      <alignment horizontal="center" vertical="center" wrapText="1"/>
    </xf>
    <xf numFmtId="180" fontId="24" fillId="2" borderId="0" xfId="0" applyNumberFormat="1" applyFont="1" applyFill="1" applyAlignment="1">
      <alignment horizontal="center" vertical="center" wrapText="1"/>
    </xf>
    <xf numFmtId="180" fontId="24" fillId="5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78" fontId="27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78" fontId="23" fillId="2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78" fontId="1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177" fontId="4" fillId="2" borderId="0" xfId="0" applyNumberFormat="1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vertical="center"/>
    </xf>
    <xf numFmtId="177" fontId="19" fillId="5" borderId="0" xfId="0" applyNumberFormat="1" applyFont="1" applyFill="1" applyAlignment="1">
      <alignment horizontal="center" vertical="center" wrapText="1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31" fillId="7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 wrapText="1"/>
    </xf>
    <xf numFmtId="0" fontId="31" fillId="8" borderId="0" xfId="0" applyFont="1" applyFill="1" applyBorder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29" fillId="2" borderId="0" xfId="0" applyFont="1" applyFill="1">
      <alignment vertical="center"/>
    </xf>
    <xf numFmtId="0" fontId="29" fillId="2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29" fillId="10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178" fontId="6" fillId="5" borderId="0" xfId="0" applyNumberFormat="1" applyFont="1" applyFill="1" applyAlignment="1">
      <alignment horizontal="left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0" fillId="3" borderId="4" xfId="0" applyFont="1" applyFill="1" applyBorder="1">
      <alignment vertical="center"/>
    </xf>
    <xf numFmtId="0" fontId="30" fillId="3" borderId="5" xfId="0" applyFont="1" applyFill="1" applyBorder="1" applyAlignment="1">
      <alignment vertical="center" wrapText="1"/>
    </xf>
    <xf numFmtId="0" fontId="30" fillId="3" borderId="5" xfId="0" applyFont="1" applyFill="1" applyBorder="1">
      <alignment vertical="center"/>
    </xf>
    <xf numFmtId="0" fontId="29" fillId="2" borderId="0" xfId="0" applyFont="1" applyFill="1" applyAlignment="1">
      <alignment vertical="center" wrapText="1"/>
    </xf>
    <xf numFmtId="0" fontId="29" fillId="10" borderId="0" xfId="0" applyFont="1" applyFill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/>
    </xf>
    <xf numFmtId="177" fontId="6" fillId="2" borderId="0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22" fontId="27" fillId="2" borderId="0" xfId="0" applyNumberFormat="1" applyFont="1" applyFill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22" fontId="23" fillId="2" borderId="0" xfId="0" applyNumberFormat="1" applyFont="1" applyFill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22" fontId="23" fillId="5" borderId="0" xfId="0" applyNumberFormat="1" applyFont="1" applyFill="1" applyBorder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22" fontId="23" fillId="2" borderId="0" xfId="0" applyNumberFormat="1" applyFont="1" applyFill="1" applyBorder="1" applyAlignment="1">
      <alignment horizontal="center" vertical="center" wrapText="1"/>
    </xf>
    <xf numFmtId="0" fontId="30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topLeftCell="B1" workbookViewId="0">
      <selection activeCell="N8" sqref="N8:N11"/>
    </sheetView>
  </sheetViews>
  <sheetFormatPr defaultColWidth="9" defaultRowHeight="15"/>
  <cols>
    <col min="1" max="1" width="5.625" style="175" customWidth="1"/>
    <col min="2" max="2" width="15.625" style="176" customWidth="1"/>
    <col min="3" max="3" width="20.625" style="175" customWidth="1"/>
    <col min="4" max="12" width="15.625" style="175" customWidth="1"/>
    <col min="13" max="13" width="15.625" style="176" customWidth="1"/>
    <col min="14" max="14" width="15.625" style="175" customWidth="1"/>
    <col min="15" max="15" width="18.25" style="175" customWidth="1"/>
    <col min="17" max="18" width="15.625" style="175" customWidth="1"/>
    <col min="19" max="19" width="13.625" style="175" customWidth="1"/>
    <col min="20" max="16384" width="9" style="175"/>
  </cols>
  <sheetData>
    <row r="1" s="173" customFormat="1" ht="30" customHeight="1" spans="1:15">
      <c r="A1" s="177" t="s">
        <v>0</v>
      </c>
      <c r="B1" s="178" t="s">
        <v>1</v>
      </c>
      <c r="C1" s="179" t="s">
        <v>2</v>
      </c>
      <c r="D1" s="179" t="s">
        <v>3</v>
      </c>
      <c r="E1" s="180" t="s">
        <v>4</v>
      </c>
      <c r="F1" s="181"/>
      <c r="G1" s="182"/>
      <c r="H1" s="182"/>
      <c r="I1" s="181"/>
      <c r="J1" s="181"/>
      <c r="K1" s="181"/>
      <c r="L1" s="207"/>
      <c r="M1" s="181"/>
      <c r="O1" s="181"/>
    </row>
    <row r="2" s="173" customFormat="1" ht="30" customHeight="1" spans="1:15">
      <c r="A2" s="183" t="s">
        <v>0</v>
      </c>
      <c r="B2" s="184" t="s">
        <v>5</v>
      </c>
      <c r="C2" s="180" t="s">
        <v>6</v>
      </c>
      <c r="D2" s="180" t="s">
        <v>7</v>
      </c>
      <c r="E2" s="180" t="s">
        <v>8</v>
      </c>
      <c r="F2" s="181"/>
      <c r="G2" s="182"/>
      <c r="H2" s="182"/>
      <c r="I2" s="181"/>
      <c r="J2" s="181"/>
      <c r="K2" s="181"/>
      <c r="L2" s="207"/>
      <c r="M2" s="181"/>
      <c r="O2" s="181"/>
    </row>
    <row r="3" s="173" customFormat="1" ht="30" customHeight="1" spans="1:15">
      <c r="A3" s="185"/>
      <c r="B3" s="186"/>
      <c r="C3" s="185"/>
      <c r="D3" s="185"/>
      <c r="E3" s="185"/>
      <c r="F3" s="185"/>
      <c r="G3" s="181"/>
      <c r="H3" s="181"/>
      <c r="I3" s="181"/>
      <c r="J3" s="181"/>
      <c r="K3" s="181"/>
      <c r="L3" s="207"/>
      <c r="M3" s="181"/>
      <c r="O3" s="181"/>
    </row>
    <row r="4" s="173" customFormat="1" ht="30" customHeight="1" spans="1:13">
      <c r="A4" s="187" t="s">
        <v>0</v>
      </c>
      <c r="B4" s="188" t="s">
        <v>9</v>
      </c>
      <c r="C4" s="187" t="s">
        <v>10</v>
      </c>
      <c r="D4" s="187" t="s">
        <v>11</v>
      </c>
      <c r="E4" s="187" t="s">
        <v>12</v>
      </c>
      <c r="F4" s="187" t="s">
        <v>13</v>
      </c>
      <c r="G4" s="187" t="s">
        <v>14</v>
      </c>
      <c r="H4" s="187" t="s">
        <v>15</v>
      </c>
      <c r="I4" s="187" t="s">
        <v>16</v>
      </c>
      <c r="J4" s="187" t="s">
        <v>17</v>
      </c>
      <c r="K4" s="208" t="s">
        <v>18</v>
      </c>
      <c r="L4" s="187" t="s">
        <v>19</v>
      </c>
      <c r="M4" s="187" t="s">
        <v>20</v>
      </c>
    </row>
    <row r="5" s="173" customFormat="1" ht="30" customHeight="1" spans="1:13">
      <c r="A5" s="187" t="s">
        <v>0</v>
      </c>
      <c r="B5" s="188" t="s">
        <v>21</v>
      </c>
      <c r="C5" s="187" t="s">
        <v>22</v>
      </c>
      <c r="D5" s="187" t="s">
        <v>23</v>
      </c>
      <c r="E5" s="187" t="s">
        <v>24</v>
      </c>
      <c r="F5" s="187" t="s">
        <v>25</v>
      </c>
      <c r="G5" s="187" t="s">
        <v>26</v>
      </c>
      <c r="H5" s="187" t="s">
        <v>27</v>
      </c>
      <c r="I5" s="187" t="s">
        <v>28</v>
      </c>
      <c r="J5" s="187" t="s">
        <v>29</v>
      </c>
      <c r="K5" s="208" t="s">
        <v>30</v>
      </c>
      <c r="L5" s="187" t="s">
        <v>31</v>
      </c>
      <c r="M5" s="187" t="s">
        <v>32</v>
      </c>
    </row>
    <row r="6" s="174" customFormat="1" ht="30" customHeight="1" spans="1:15">
      <c r="A6" s="189" t="s">
        <v>33</v>
      </c>
      <c r="B6" s="190"/>
      <c r="C6" s="182" t="s">
        <v>34</v>
      </c>
      <c r="D6" s="182" t="s">
        <v>35</v>
      </c>
      <c r="E6" s="182" t="s">
        <v>36</v>
      </c>
      <c r="F6" s="182" t="s">
        <v>37</v>
      </c>
      <c r="G6" s="182"/>
      <c r="H6" s="182"/>
      <c r="I6" s="182"/>
      <c r="J6" s="182"/>
      <c r="K6" s="182"/>
      <c r="L6" s="190"/>
      <c r="M6" s="182"/>
      <c r="O6" s="182"/>
    </row>
    <row r="7" s="173" customFormat="1" ht="30" customHeight="1" spans="1:15">
      <c r="A7" s="191" t="s">
        <v>38</v>
      </c>
      <c r="B7" s="192" t="s">
        <v>39</v>
      </c>
      <c r="C7" s="193" t="s">
        <v>40</v>
      </c>
      <c r="D7" s="193" t="s">
        <v>41</v>
      </c>
      <c r="E7" s="193" t="s">
        <v>42</v>
      </c>
      <c r="F7" s="193"/>
      <c r="G7" s="193"/>
      <c r="H7" s="193"/>
      <c r="I7" s="193"/>
      <c r="J7" s="193" t="s">
        <v>43</v>
      </c>
      <c r="K7" s="193" t="s">
        <v>44</v>
      </c>
      <c r="L7" s="193" t="s">
        <v>45</v>
      </c>
      <c r="M7" s="192" t="s">
        <v>46</v>
      </c>
      <c r="N7" s="193" t="s">
        <v>47</v>
      </c>
      <c r="O7" s="209" t="s">
        <v>48</v>
      </c>
    </row>
    <row r="8" ht="35" customHeight="1" spans="1:15">
      <c r="A8" s="194">
        <v>1</v>
      </c>
      <c r="B8" s="195" t="s">
        <v>49</v>
      </c>
      <c r="C8" s="196" t="s">
        <v>50</v>
      </c>
      <c r="D8" s="21" t="s">
        <v>51</v>
      </c>
      <c r="E8" s="197" t="s">
        <v>52</v>
      </c>
      <c r="F8" s="197"/>
      <c r="G8" s="197"/>
      <c r="H8" s="197"/>
      <c r="I8" s="197"/>
      <c r="J8" s="210">
        <v>10</v>
      </c>
      <c r="K8" s="203">
        <v>12</v>
      </c>
      <c r="L8" s="211" t="s">
        <v>53</v>
      </c>
      <c r="M8" s="212" t="s">
        <v>54</v>
      </c>
      <c r="N8" s="196" t="s">
        <v>55</v>
      </c>
      <c r="O8" s="213">
        <v>43763.4969328704</v>
      </c>
    </row>
    <row r="9" ht="35" customHeight="1" spans="1:15">
      <c r="A9" s="194"/>
      <c r="B9" s="195"/>
      <c r="C9" s="196"/>
      <c r="D9" s="21" t="s">
        <v>56</v>
      </c>
      <c r="E9" s="197" t="s">
        <v>52</v>
      </c>
      <c r="F9" s="197"/>
      <c r="G9" s="197"/>
      <c r="H9" s="197"/>
      <c r="I9" s="197"/>
      <c r="J9" s="210">
        <v>20</v>
      </c>
      <c r="K9" s="203">
        <v>13</v>
      </c>
      <c r="L9" s="214"/>
      <c r="M9" s="215"/>
      <c r="N9" s="196"/>
      <c r="O9" s="213"/>
    </row>
    <row r="10" ht="35" customHeight="1" spans="1:15">
      <c r="A10" s="194"/>
      <c r="B10" s="195"/>
      <c r="C10" s="196"/>
      <c r="D10" s="21" t="s">
        <v>57</v>
      </c>
      <c r="E10" s="197" t="s">
        <v>52</v>
      </c>
      <c r="F10" s="197"/>
      <c r="G10" s="197"/>
      <c r="H10" s="197"/>
      <c r="I10" s="197"/>
      <c r="J10" s="210">
        <v>20</v>
      </c>
      <c r="K10" s="203">
        <v>14</v>
      </c>
      <c r="L10" s="214"/>
      <c r="M10" s="215"/>
      <c r="N10" s="196"/>
      <c r="O10" s="213"/>
    </row>
    <row r="11" ht="35" customHeight="1" spans="1:15">
      <c r="A11" s="194"/>
      <c r="B11" s="195"/>
      <c r="C11" s="196"/>
      <c r="D11" s="21" t="s">
        <v>58</v>
      </c>
      <c r="E11" s="197" t="s">
        <v>52</v>
      </c>
      <c r="F11" s="197"/>
      <c r="G11" s="197"/>
      <c r="H11" s="197"/>
      <c r="I11" s="197"/>
      <c r="J11" s="210">
        <v>35</v>
      </c>
      <c r="K11" s="203">
        <v>15</v>
      </c>
      <c r="L11" s="214"/>
      <c r="M11" s="215"/>
      <c r="N11" s="196"/>
      <c r="O11" s="213"/>
    </row>
    <row r="12" ht="35" customHeight="1" spans="1:15">
      <c r="A12" s="198">
        <v>2</v>
      </c>
      <c r="B12" s="199" t="s">
        <v>49</v>
      </c>
      <c r="C12" s="200" t="s">
        <v>50</v>
      </c>
      <c r="D12" s="154" t="s">
        <v>59</v>
      </c>
      <c r="E12" s="201"/>
      <c r="F12" s="201"/>
      <c r="G12" s="201"/>
      <c r="H12" s="201"/>
      <c r="I12" s="201"/>
      <c r="J12" s="200">
        <v>1</v>
      </c>
      <c r="K12" s="200">
        <v>1</v>
      </c>
      <c r="L12" s="216" t="s">
        <v>60</v>
      </c>
      <c r="M12" s="217" t="s">
        <v>54</v>
      </c>
      <c r="N12" s="200" t="s">
        <v>55</v>
      </c>
      <c r="O12" s="218">
        <v>43763.4969328704</v>
      </c>
    </row>
    <row r="13" ht="35" customHeight="1" spans="1:15">
      <c r="A13" s="194">
        <v>3</v>
      </c>
      <c r="B13" s="202" t="s">
        <v>61</v>
      </c>
      <c r="C13" s="203" t="s">
        <v>50</v>
      </c>
      <c r="D13" s="21" t="s">
        <v>51</v>
      </c>
      <c r="E13" s="197" t="s">
        <v>62</v>
      </c>
      <c r="F13" s="197"/>
      <c r="G13" s="197"/>
      <c r="H13" s="197"/>
      <c r="I13" s="197"/>
      <c r="J13" s="203">
        <v>1</v>
      </c>
      <c r="K13" s="203">
        <v>1</v>
      </c>
      <c r="L13" s="219" t="s">
        <v>60</v>
      </c>
      <c r="M13" s="220" t="s">
        <v>54</v>
      </c>
      <c r="N13" s="203" t="s">
        <v>55</v>
      </c>
      <c r="O13" s="213">
        <v>43763.4969328704</v>
      </c>
    </row>
    <row r="14" ht="35" customHeight="1" spans="1:15">
      <c r="A14" s="198">
        <v>4</v>
      </c>
      <c r="B14" s="199" t="s">
        <v>63</v>
      </c>
      <c r="C14" s="200" t="s">
        <v>50</v>
      </c>
      <c r="D14" s="154" t="s">
        <v>64</v>
      </c>
      <c r="E14" s="201" t="s">
        <v>65</v>
      </c>
      <c r="F14" s="201"/>
      <c r="G14" s="201"/>
      <c r="H14" s="201"/>
      <c r="I14" s="201"/>
      <c r="J14" s="200">
        <v>1</v>
      </c>
      <c r="K14" s="200">
        <v>1</v>
      </c>
      <c r="L14" s="216" t="s">
        <v>60</v>
      </c>
      <c r="M14" s="217" t="s">
        <v>54</v>
      </c>
      <c r="N14" s="200" t="s">
        <v>55</v>
      </c>
      <c r="O14" s="218">
        <v>43764.4969328704</v>
      </c>
    </row>
    <row r="15" ht="35" customHeight="1" spans="1:15">
      <c r="A15" s="194">
        <v>5</v>
      </c>
      <c r="B15" s="202" t="s">
        <v>66</v>
      </c>
      <c r="C15" s="203" t="s">
        <v>50</v>
      </c>
      <c r="D15" s="21" t="s">
        <v>67</v>
      </c>
      <c r="E15" s="197" t="s">
        <v>52</v>
      </c>
      <c r="F15" s="197"/>
      <c r="G15" s="197"/>
      <c r="H15" s="197"/>
      <c r="I15" s="197"/>
      <c r="J15" s="203">
        <v>1</v>
      </c>
      <c r="K15" s="203">
        <v>1</v>
      </c>
      <c r="L15" s="219" t="s">
        <v>60</v>
      </c>
      <c r="M15" s="220" t="s">
        <v>54</v>
      </c>
      <c r="N15" s="203" t="s">
        <v>55</v>
      </c>
      <c r="O15" s="213">
        <v>43765.4969328704</v>
      </c>
    </row>
    <row r="16" ht="35" customHeight="1" spans="1:15">
      <c r="A16" s="198">
        <v>6</v>
      </c>
      <c r="B16" s="199" t="s">
        <v>68</v>
      </c>
      <c r="C16" s="200" t="s">
        <v>50</v>
      </c>
      <c r="D16" s="154" t="s">
        <v>69</v>
      </c>
      <c r="E16" s="201" t="s">
        <v>52</v>
      </c>
      <c r="F16" s="201"/>
      <c r="G16" s="201"/>
      <c r="H16" s="201"/>
      <c r="I16" s="201"/>
      <c r="J16" s="200">
        <v>1</v>
      </c>
      <c r="K16" s="200">
        <v>1</v>
      </c>
      <c r="L16" s="216" t="s">
        <v>60</v>
      </c>
      <c r="M16" s="217" t="s">
        <v>54</v>
      </c>
      <c r="N16" s="200" t="s">
        <v>55</v>
      </c>
      <c r="O16" s="218">
        <v>43766.4969328704</v>
      </c>
    </row>
    <row r="17" ht="35" customHeight="1" spans="1:15">
      <c r="A17" s="194">
        <v>7</v>
      </c>
      <c r="B17" s="202" t="s">
        <v>70</v>
      </c>
      <c r="C17" s="203" t="s">
        <v>50</v>
      </c>
      <c r="D17" s="21" t="s">
        <v>71</v>
      </c>
      <c r="E17" s="197" t="s">
        <v>52</v>
      </c>
      <c r="F17" s="197"/>
      <c r="G17" s="197"/>
      <c r="H17" s="197"/>
      <c r="I17" s="197"/>
      <c r="J17" s="203">
        <v>1</v>
      </c>
      <c r="K17" s="203">
        <v>1</v>
      </c>
      <c r="L17" s="219" t="s">
        <v>60</v>
      </c>
      <c r="M17" s="220" t="s">
        <v>54</v>
      </c>
      <c r="N17" s="203" t="s">
        <v>55</v>
      </c>
      <c r="O17" s="213">
        <v>43767.4969328704</v>
      </c>
    </row>
    <row r="18" ht="35" customHeight="1" spans="1:15">
      <c r="A18" s="198">
        <v>8</v>
      </c>
      <c r="B18" s="199" t="s">
        <v>72</v>
      </c>
      <c r="C18" s="200" t="s">
        <v>50</v>
      </c>
      <c r="D18" s="154" t="s">
        <v>73</v>
      </c>
      <c r="E18" s="201" t="s">
        <v>52</v>
      </c>
      <c r="F18" s="201"/>
      <c r="G18" s="201"/>
      <c r="H18" s="201"/>
      <c r="I18" s="201"/>
      <c r="J18" s="200">
        <v>1</v>
      </c>
      <c r="K18" s="200">
        <v>1</v>
      </c>
      <c r="L18" s="216" t="s">
        <v>60</v>
      </c>
      <c r="M18" s="217" t="s">
        <v>54</v>
      </c>
      <c r="N18" s="200" t="s">
        <v>55</v>
      </c>
      <c r="O18" s="218">
        <v>43768.4969328704</v>
      </c>
    </row>
    <row r="19" ht="35" customHeight="1" spans="1:15">
      <c r="A19" s="194">
        <v>9</v>
      </c>
      <c r="B19" s="202" t="s">
        <v>74</v>
      </c>
      <c r="C19" s="203" t="s">
        <v>50</v>
      </c>
      <c r="D19" s="21" t="s">
        <v>75</v>
      </c>
      <c r="E19" s="197" t="s">
        <v>52</v>
      </c>
      <c r="F19" s="197"/>
      <c r="G19" s="197"/>
      <c r="H19" s="197"/>
      <c r="I19" s="197"/>
      <c r="J19" s="203">
        <v>1</v>
      </c>
      <c r="K19" s="203">
        <v>1</v>
      </c>
      <c r="L19" s="219" t="s">
        <v>60</v>
      </c>
      <c r="M19" s="220" t="s">
        <v>54</v>
      </c>
      <c r="N19" s="203" t="s">
        <v>55</v>
      </c>
      <c r="O19" s="213">
        <v>43769.4969328704</v>
      </c>
    </row>
    <row r="20" ht="35" customHeight="1" spans="1:15">
      <c r="A20" s="198">
        <v>10</v>
      </c>
      <c r="B20" s="199" t="s">
        <v>76</v>
      </c>
      <c r="C20" s="200" t="s">
        <v>50</v>
      </c>
      <c r="D20" s="154" t="s">
        <v>77</v>
      </c>
      <c r="E20" s="201" t="s">
        <v>52</v>
      </c>
      <c r="F20" s="201"/>
      <c r="G20" s="201"/>
      <c r="H20" s="201"/>
      <c r="I20" s="201"/>
      <c r="J20" s="200">
        <v>1</v>
      </c>
      <c r="K20" s="200">
        <v>1</v>
      </c>
      <c r="L20" s="216" t="s">
        <v>60</v>
      </c>
      <c r="M20" s="217" t="s">
        <v>54</v>
      </c>
      <c r="N20" s="200" t="s">
        <v>55</v>
      </c>
      <c r="O20" s="218">
        <v>43770.4969328704</v>
      </c>
    </row>
    <row r="21" ht="35" customHeight="1" spans="1:15">
      <c r="A21" s="194">
        <v>11</v>
      </c>
      <c r="B21" s="202" t="s">
        <v>78</v>
      </c>
      <c r="C21" s="203" t="s">
        <v>50</v>
      </c>
      <c r="D21" s="21" t="s">
        <v>79</v>
      </c>
      <c r="E21" s="197" t="s">
        <v>52</v>
      </c>
      <c r="F21" s="197"/>
      <c r="G21" s="197"/>
      <c r="H21" s="197"/>
      <c r="I21" s="197"/>
      <c r="J21" s="203">
        <v>1</v>
      </c>
      <c r="K21" s="203">
        <v>1</v>
      </c>
      <c r="L21" s="219" t="s">
        <v>60</v>
      </c>
      <c r="M21" s="220" t="s">
        <v>54</v>
      </c>
      <c r="N21" s="203" t="s">
        <v>55</v>
      </c>
      <c r="O21" s="213">
        <v>43771.4969328704</v>
      </c>
    </row>
    <row r="22" ht="35" customHeight="1" spans="1:15">
      <c r="A22" s="198">
        <v>12</v>
      </c>
      <c r="B22" s="199" t="s">
        <v>80</v>
      </c>
      <c r="C22" s="200" t="s">
        <v>50</v>
      </c>
      <c r="D22" s="154" t="s">
        <v>81</v>
      </c>
      <c r="E22" s="201" t="s">
        <v>52</v>
      </c>
      <c r="F22" s="201"/>
      <c r="G22" s="201"/>
      <c r="H22" s="201"/>
      <c r="I22" s="201"/>
      <c r="J22" s="200">
        <v>1</v>
      </c>
      <c r="K22" s="200">
        <v>1</v>
      </c>
      <c r="L22" s="216" t="s">
        <v>60</v>
      </c>
      <c r="M22" s="217" t="s">
        <v>54</v>
      </c>
      <c r="N22" s="200" t="s">
        <v>55</v>
      </c>
      <c r="O22" s="218">
        <v>43772.4969328704</v>
      </c>
    </row>
    <row r="23" ht="35" customHeight="1" spans="1:15">
      <c r="A23" s="194">
        <v>13</v>
      </c>
      <c r="B23" s="202" t="s">
        <v>82</v>
      </c>
      <c r="C23" s="203" t="s">
        <v>50</v>
      </c>
      <c r="D23" s="21" t="s">
        <v>83</v>
      </c>
      <c r="E23" s="197" t="s">
        <v>52</v>
      </c>
      <c r="F23" s="197"/>
      <c r="G23" s="197"/>
      <c r="H23" s="197"/>
      <c r="I23" s="197"/>
      <c r="J23" s="203">
        <v>1</v>
      </c>
      <c r="K23" s="203">
        <v>1</v>
      </c>
      <c r="L23" s="219" t="s">
        <v>60</v>
      </c>
      <c r="M23" s="220" t="s">
        <v>54</v>
      </c>
      <c r="N23" s="203" t="s">
        <v>55</v>
      </c>
      <c r="O23" s="213">
        <v>43773.4969328704</v>
      </c>
    </row>
    <row r="24" ht="35" customHeight="1" spans="1:15">
      <c r="A24" s="198">
        <v>14</v>
      </c>
      <c r="B24" s="199" t="s">
        <v>84</v>
      </c>
      <c r="C24" s="200" t="s">
        <v>50</v>
      </c>
      <c r="D24" s="154" t="s">
        <v>85</v>
      </c>
      <c r="E24" s="201" t="s">
        <v>52</v>
      </c>
      <c r="F24" s="201"/>
      <c r="G24" s="201"/>
      <c r="H24" s="201"/>
      <c r="I24" s="201"/>
      <c r="J24" s="200">
        <v>1</v>
      </c>
      <c r="K24" s="200">
        <v>1</v>
      </c>
      <c r="L24" s="216" t="s">
        <v>60</v>
      </c>
      <c r="M24" s="217" t="s">
        <v>54</v>
      </c>
      <c r="N24" s="200" t="s">
        <v>55</v>
      </c>
      <c r="O24" s="218">
        <v>43774.4969328704</v>
      </c>
    </row>
    <row r="25" ht="35" customHeight="1" spans="1:15">
      <c r="A25" s="194">
        <v>15</v>
      </c>
      <c r="B25" s="202" t="s">
        <v>86</v>
      </c>
      <c r="C25" s="203" t="s">
        <v>50</v>
      </c>
      <c r="D25" s="21" t="s">
        <v>87</v>
      </c>
      <c r="E25" s="197" t="s">
        <v>52</v>
      </c>
      <c r="F25" s="197"/>
      <c r="G25" s="197"/>
      <c r="H25" s="197"/>
      <c r="I25" s="197"/>
      <c r="J25" s="203">
        <v>1</v>
      </c>
      <c r="K25" s="203">
        <v>1</v>
      </c>
      <c r="L25" s="219" t="s">
        <v>60</v>
      </c>
      <c r="M25" s="220" t="s">
        <v>54</v>
      </c>
      <c r="N25" s="203" t="s">
        <v>55</v>
      </c>
      <c r="O25" s="213">
        <v>43775.4969328704</v>
      </c>
    </row>
    <row r="26" ht="35" customHeight="1" spans="1:15">
      <c r="A26" s="198">
        <v>16</v>
      </c>
      <c r="B26" s="199" t="s">
        <v>88</v>
      </c>
      <c r="C26" s="200" t="s">
        <v>50</v>
      </c>
      <c r="D26" s="154" t="s">
        <v>89</v>
      </c>
      <c r="E26" s="201" t="s">
        <v>52</v>
      </c>
      <c r="F26" s="201"/>
      <c r="G26" s="201"/>
      <c r="H26" s="201"/>
      <c r="I26" s="201"/>
      <c r="J26" s="200">
        <v>1</v>
      </c>
      <c r="K26" s="200">
        <v>1</v>
      </c>
      <c r="L26" s="216" t="s">
        <v>60</v>
      </c>
      <c r="M26" s="217" t="s">
        <v>54</v>
      </c>
      <c r="N26" s="200" t="s">
        <v>55</v>
      </c>
      <c r="O26" s="218">
        <v>43776.4969328704</v>
      </c>
    </row>
    <row r="27" ht="35" customHeight="1" spans="1:15">
      <c r="A27" s="194">
        <v>17</v>
      </c>
      <c r="B27" s="202" t="s">
        <v>90</v>
      </c>
      <c r="C27" s="203" t="s">
        <v>50</v>
      </c>
      <c r="D27" s="21" t="s">
        <v>91</v>
      </c>
      <c r="E27" s="197" t="s">
        <v>52</v>
      </c>
      <c r="F27" s="197"/>
      <c r="G27" s="197"/>
      <c r="H27" s="197"/>
      <c r="I27" s="197"/>
      <c r="J27" s="203">
        <v>1</v>
      </c>
      <c r="K27" s="203">
        <v>1</v>
      </c>
      <c r="L27" s="219" t="s">
        <v>60</v>
      </c>
      <c r="M27" s="220" t="s">
        <v>54</v>
      </c>
      <c r="N27" s="203" t="s">
        <v>55</v>
      </c>
      <c r="O27" s="213">
        <v>43777.4969328704</v>
      </c>
    </row>
    <row r="28" ht="35" customHeight="1" spans="1:15">
      <c r="A28" s="198">
        <v>18</v>
      </c>
      <c r="B28" s="199" t="s">
        <v>92</v>
      </c>
      <c r="C28" s="200" t="s">
        <v>50</v>
      </c>
      <c r="D28" s="154" t="s">
        <v>93</v>
      </c>
      <c r="E28" s="201" t="s">
        <v>52</v>
      </c>
      <c r="F28" s="201"/>
      <c r="G28" s="201"/>
      <c r="H28" s="201"/>
      <c r="I28" s="201"/>
      <c r="J28" s="200">
        <v>1</v>
      </c>
      <c r="K28" s="200">
        <v>1</v>
      </c>
      <c r="L28" s="216" t="s">
        <v>60</v>
      </c>
      <c r="M28" s="217" t="s">
        <v>54</v>
      </c>
      <c r="N28" s="200" t="s">
        <v>55</v>
      </c>
      <c r="O28" s="218">
        <v>43778.4969328704</v>
      </c>
    </row>
    <row r="29" ht="35" customHeight="1" spans="1:15">
      <c r="A29" s="194">
        <v>19</v>
      </c>
      <c r="B29" s="202" t="s">
        <v>94</v>
      </c>
      <c r="C29" s="203" t="s">
        <v>50</v>
      </c>
      <c r="D29" s="21" t="s">
        <v>95</v>
      </c>
      <c r="E29" s="197" t="s">
        <v>52</v>
      </c>
      <c r="F29" s="197"/>
      <c r="G29" s="197"/>
      <c r="H29" s="197"/>
      <c r="I29" s="197"/>
      <c r="J29" s="203">
        <v>1</v>
      </c>
      <c r="K29" s="203">
        <v>1</v>
      </c>
      <c r="L29" s="219" t="s">
        <v>60</v>
      </c>
      <c r="M29" s="220" t="s">
        <v>54</v>
      </c>
      <c r="N29" s="203" t="s">
        <v>55</v>
      </c>
      <c r="O29" s="213">
        <v>43779.4969328704</v>
      </c>
    </row>
    <row r="30" ht="35" customHeight="1" spans="1:15">
      <c r="A30" s="198">
        <v>20</v>
      </c>
      <c r="B30" s="199" t="s">
        <v>96</v>
      </c>
      <c r="C30" s="200" t="s">
        <v>50</v>
      </c>
      <c r="D30" s="154" t="s">
        <v>97</v>
      </c>
      <c r="E30" s="201" t="s">
        <v>52</v>
      </c>
      <c r="F30" s="201"/>
      <c r="G30" s="201"/>
      <c r="H30" s="201"/>
      <c r="I30" s="201"/>
      <c r="J30" s="200">
        <v>1</v>
      </c>
      <c r="K30" s="200">
        <v>1</v>
      </c>
      <c r="L30" s="216" t="s">
        <v>60</v>
      </c>
      <c r="M30" s="217" t="s">
        <v>54</v>
      </c>
      <c r="N30" s="200" t="s">
        <v>55</v>
      </c>
      <c r="O30" s="218">
        <v>43780.4969328704</v>
      </c>
    </row>
    <row r="31" ht="30" customHeight="1" spans="1:15">
      <c r="A31" s="204"/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5"/>
      <c r="N31" s="206"/>
      <c r="O31" s="221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topLeftCell="A10" workbookViewId="0">
      <selection activeCell="B28" sqref="B28:T28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3">
        <v>50</v>
      </c>
      <c r="F7" s="23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3">
        <v>20</v>
      </c>
      <c r="F8" s="23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3">
        <v>5</v>
      </c>
      <c r="F9" s="23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7">
        <f t="shared" ref="E10:I10" si="0">SUM(E7:E9)</f>
        <v>75</v>
      </c>
      <c r="F10" s="27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81">
        <v>10000</v>
      </c>
      <c r="R14" s="81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81">
        <v>233</v>
      </c>
      <c r="R15" s="81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81">
        <v>323</v>
      </c>
      <c r="R16" s="81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81">
        <v>122</v>
      </c>
      <c r="R17" s="81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3"/>
      <c r="R18" s="43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81">
        <v>1333</v>
      </c>
      <c r="R19" s="81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81">
        <v>333</v>
      </c>
      <c r="R20" s="81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81">
        <v>456</v>
      </c>
      <c r="R21" s="81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81">
        <v>7788</v>
      </c>
      <c r="R22" s="81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81">
        <v>34500</v>
      </c>
      <c r="R23" s="81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3"/>
      <c r="R24" s="43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81">
        <v>2000</v>
      </c>
      <c r="R25" s="171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144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157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161</v>
      </c>
      <c r="D36" s="25"/>
      <c r="E36" s="25"/>
      <c r="F36" s="25"/>
      <c r="G36" s="38">
        <v>190922000006</v>
      </c>
      <c r="H36" s="38"/>
      <c r="I36" s="81" t="s">
        <v>171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172</v>
      </c>
      <c r="T36" s="129"/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173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174</v>
      </c>
      <c r="T37" s="133"/>
    </row>
    <row r="38" ht="25" customHeight="1" spans="2:20">
      <c r="B38" s="55">
        <v>9</v>
      </c>
      <c r="C38" s="62" t="s">
        <v>161</v>
      </c>
      <c r="D38" s="25"/>
      <c r="E38" s="25"/>
      <c r="F38" s="25"/>
      <c r="G38" s="38" t="s">
        <v>162</v>
      </c>
      <c r="H38" s="38"/>
      <c r="I38" s="81" t="s">
        <v>171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175</v>
      </c>
      <c r="T38" s="129"/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171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176</v>
      </c>
      <c r="T39" s="133"/>
    </row>
    <row r="40" ht="25" customHeight="1" spans="2:20">
      <c r="B40" s="55">
        <v>11</v>
      </c>
      <c r="C40" s="62" t="s">
        <v>161</v>
      </c>
      <c r="D40" s="25"/>
      <c r="E40" s="25"/>
      <c r="F40" s="25"/>
      <c r="G40" s="38" t="s">
        <v>162</v>
      </c>
      <c r="H40" s="38"/>
      <c r="I40" s="81" t="s">
        <v>171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177</v>
      </c>
      <c r="Q40" s="134" t="s">
        <v>178</v>
      </c>
      <c r="R40" s="134"/>
      <c r="S40" s="128" t="s">
        <v>179</v>
      </c>
      <c r="T40" s="129"/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171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177</v>
      </c>
      <c r="Q41" s="135" t="s">
        <v>180</v>
      </c>
      <c r="R41" s="135"/>
      <c r="S41" s="132" t="s">
        <v>181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182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183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144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25" t="s">
        <v>152</v>
      </c>
      <c r="D46" s="25"/>
      <c r="E46" s="25"/>
      <c r="F46" s="25"/>
      <c r="G46" s="56" t="s">
        <v>153</v>
      </c>
      <c r="H46" s="38"/>
      <c r="I46" s="81" t="s">
        <v>154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184</v>
      </c>
      <c r="Q46" s="126" t="s">
        <v>153</v>
      </c>
      <c r="R46" s="127"/>
      <c r="S46" s="128" t="s">
        <v>156</v>
      </c>
      <c r="T46" s="129"/>
      <c r="U46" s="3"/>
    </row>
    <row r="47" s="2" customFormat="1" ht="25" customHeight="1" spans="2:21">
      <c r="B47" s="57">
        <v>2</v>
      </c>
      <c r="C47" s="58" t="s">
        <v>157</v>
      </c>
      <c r="D47" s="59"/>
      <c r="E47" s="59"/>
      <c r="F47" s="59"/>
      <c r="G47" s="60" t="s">
        <v>153</v>
      </c>
      <c r="H47" s="61"/>
      <c r="I47" s="91" t="s">
        <v>158</v>
      </c>
      <c r="J47" s="91"/>
      <c r="K47" s="92">
        <v>350</v>
      </c>
      <c r="L47" s="92"/>
      <c r="M47" s="93">
        <v>1</v>
      </c>
      <c r="N47" s="93">
        <v>350</v>
      </c>
      <c r="O47" s="93"/>
      <c r="P47" s="172" t="s">
        <v>184</v>
      </c>
      <c r="Q47" s="130" t="s">
        <v>153</v>
      </c>
      <c r="R47" s="131"/>
      <c r="S47" s="132" t="s">
        <v>160</v>
      </c>
      <c r="T47" s="133"/>
      <c r="U47" s="3"/>
    </row>
    <row r="48" s="2" customFormat="1" ht="25" customHeight="1" spans="2:21">
      <c r="B48" s="55">
        <v>3</v>
      </c>
      <c r="C48" s="62" t="s">
        <v>161</v>
      </c>
      <c r="D48" s="25"/>
      <c r="E48" s="25"/>
      <c r="F48" s="25"/>
      <c r="G48" s="38" t="s">
        <v>162</v>
      </c>
      <c r="H48" s="38"/>
      <c r="I48" s="81" t="s">
        <v>163</v>
      </c>
      <c r="J48" s="81"/>
      <c r="K48" s="88">
        <v>30</v>
      </c>
      <c r="L48" s="88"/>
      <c r="M48" s="89">
        <v>1</v>
      </c>
      <c r="N48" s="89">
        <v>30</v>
      </c>
      <c r="O48" s="89"/>
      <c r="P48" s="90" t="s">
        <v>184</v>
      </c>
      <c r="Q48" s="126" t="s">
        <v>153</v>
      </c>
      <c r="R48" s="127"/>
      <c r="S48" s="128" t="s">
        <v>164</v>
      </c>
      <c r="T48" s="129"/>
      <c r="U48" s="3"/>
    </row>
    <row r="49" s="2" customFormat="1" ht="25" customHeight="1" spans="2:21">
      <c r="B49" s="57">
        <v>4</v>
      </c>
      <c r="C49" s="58" t="s">
        <v>161</v>
      </c>
      <c r="D49" s="59"/>
      <c r="E49" s="59"/>
      <c r="F49" s="59"/>
      <c r="G49" s="61" t="s">
        <v>162</v>
      </c>
      <c r="H49" s="61"/>
      <c r="I49" s="91" t="s">
        <v>165</v>
      </c>
      <c r="J49" s="91"/>
      <c r="K49" s="92">
        <v>30</v>
      </c>
      <c r="L49" s="92"/>
      <c r="M49" s="93">
        <v>1</v>
      </c>
      <c r="N49" s="93">
        <v>30</v>
      </c>
      <c r="O49" s="93"/>
      <c r="P49" s="172" t="s">
        <v>184</v>
      </c>
      <c r="Q49" s="130" t="s">
        <v>153</v>
      </c>
      <c r="R49" s="131"/>
      <c r="S49" s="132" t="s">
        <v>166</v>
      </c>
      <c r="T49" s="133"/>
      <c r="U49" s="3"/>
    </row>
    <row r="50" s="2" customFormat="1" ht="25" customHeight="1" spans="2:21">
      <c r="B50" s="55">
        <v>5</v>
      </c>
      <c r="C50" s="62" t="s">
        <v>161</v>
      </c>
      <c r="D50" s="25"/>
      <c r="E50" s="25"/>
      <c r="F50" s="25"/>
      <c r="G50" s="38" t="s">
        <v>162</v>
      </c>
      <c r="H50" s="38"/>
      <c r="I50" s="81" t="s">
        <v>167</v>
      </c>
      <c r="J50" s="81"/>
      <c r="K50" s="88">
        <v>30</v>
      </c>
      <c r="L50" s="88"/>
      <c r="M50" s="89">
        <v>2</v>
      </c>
      <c r="N50" s="89">
        <v>60</v>
      </c>
      <c r="O50" s="89"/>
      <c r="P50" s="90" t="s">
        <v>184</v>
      </c>
      <c r="Q50" s="126" t="s">
        <v>153</v>
      </c>
      <c r="R50" s="127"/>
      <c r="S50" s="128" t="s">
        <v>168</v>
      </c>
      <c r="T50" s="129"/>
      <c r="U50" s="3"/>
    </row>
    <row r="51" s="2" customFormat="1" ht="25" customHeight="1" spans="2:21">
      <c r="B51" s="57">
        <v>6</v>
      </c>
      <c r="C51" s="58" t="s">
        <v>161</v>
      </c>
      <c r="D51" s="59"/>
      <c r="E51" s="59"/>
      <c r="F51" s="59"/>
      <c r="G51" s="61">
        <v>190922000006</v>
      </c>
      <c r="H51" s="61"/>
      <c r="I51" s="91" t="s">
        <v>169</v>
      </c>
      <c r="J51" s="91"/>
      <c r="K51" s="92">
        <v>30</v>
      </c>
      <c r="L51" s="92"/>
      <c r="M51" s="93">
        <v>1</v>
      </c>
      <c r="N51" s="93">
        <v>30</v>
      </c>
      <c r="O51" s="93"/>
      <c r="P51" s="172" t="s">
        <v>184</v>
      </c>
      <c r="Q51" s="130" t="s">
        <v>153</v>
      </c>
      <c r="R51" s="131"/>
      <c r="S51" s="132" t="s">
        <v>170</v>
      </c>
      <c r="T51" s="133"/>
      <c r="U51" s="3"/>
    </row>
    <row r="52" s="2" customFormat="1" ht="25" customHeight="1" spans="2:21">
      <c r="B52" s="55">
        <v>7</v>
      </c>
      <c r="C52" s="62" t="s">
        <v>185</v>
      </c>
      <c r="D52" s="25"/>
      <c r="E52" s="25"/>
      <c r="F52" s="25"/>
      <c r="G52" s="38">
        <v>190922000006</v>
      </c>
      <c r="H52" s="38"/>
      <c r="I52" s="81" t="s">
        <v>171</v>
      </c>
      <c r="J52" s="81"/>
      <c r="K52" s="88">
        <v>30</v>
      </c>
      <c r="L52" s="88"/>
      <c r="M52" s="89">
        <v>2</v>
      </c>
      <c r="N52" s="89">
        <v>60</v>
      </c>
      <c r="O52" s="89"/>
      <c r="P52" s="90" t="s">
        <v>184</v>
      </c>
      <c r="Q52" s="126" t="s">
        <v>153</v>
      </c>
      <c r="R52" s="127"/>
      <c r="S52" s="128" t="s">
        <v>172</v>
      </c>
      <c r="T52" s="129"/>
      <c r="U52" s="3"/>
    </row>
    <row r="53" s="2" customFormat="1" ht="25" customHeight="1" spans="2:21">
      <c r="B53" s="57">
        <v>8</v>
      </c>
      <c r="C53" s="58" t="s">
        <v>161</v>
      </c>
      <c r="D53" s="59"/>
      <c r="E53" s="59"/>
      <c r="F53" s="59"/>
      <c r="G53" s="61">
        <v>191013000009</v>
      </c>
      <c r="H53" s="61"/>
      <c r="I53" s="91" t="s">
        <v>173</v>
      </c>
      <c r="J53" s="91"/>
      <c r="K53" s="92">
        <v>30</v>
      </c>
      <c r="L53" s="92"/>
      <c r="M53" s="93">
        <v>1</v>
      </c>
      <c r="N53" s="93">
        <v>30</v>
      </c>
      <c r="O53" s="93"/>
      <c r="P53" s="172" t="s">
        <v>184</v>
      </c>
      <c r="Q53" s="130" t="s">
        <v>153</v>
      </c>
      <c r="R53" s="131"/>
      <c r="S53" s="132" t="s">
        <v>174</v>
      </c>
      <c r="T53" s="133"/>
      <c r="U53" s="3"/>
    </row>
    <row r="54" s="2" customFormat="1" ht="25" customHeight="1" spans="2:21">
      <c r="B54" s="55">
        <v>9</v>
      </c>
      <c r="C54" s="62" t="s">
        <v>161</v>
      </c>
      <c r="D54" s="25"/>
      <c r="E54" s="25"/>
      <c r="F54" s="25"/>
      <c r="G54" s="38" t="s">
        <v>162</v>
      </c>
      <c r="H54" s="38"/>
      <c r="I54" s="81" t="s">
        <v>171</v>
      </c>
      <c r="J54" s="81"/>
      <c r="K54" s="88">
        <v>30</v>
      </c>
      <c r="L54" s="88"/>
      <c r="M54" s="89">
        <v>1</v>
      </c>
      <c r="N54" s="89">
        <v>30</v>
      </c>
      <c r="O54" s="89"/>
      <c r="P54" s="90" t="s">
        <v>184</v>
      </c>
      <c r="Q54" s="126" t="s">
        <v>153</v>
      </c>
      <c r="R54" s="127"/>
      <c r="S54" s="128" t="s">
        <v>175</v>
      </c>
      <c r="T54" s="129"/>
      <c r="U54" s="3"/>
    </row>
    <row r="55" s="2" customFormat="1" ht="25" customHeight="1" spans="2:21">
      <c r="B55" s="57">
        <v>10</v>
      </c>
      <c r="C55" s="58" t="s">
        <v>161</v>
      </c>
      <c r="D55" s="59"/>
      <c r="E55" s="59"/>
      <c r="F55" s="59"/>
      <c r="G55" s="61" t="s">
        <v>162</v>
      </c>
      <c r="H55" s="61"/>
      <c r="I55" s="91" t="s">
        <v>171</v>
      </c>
      <c r="J55" s="91"/>
      <c r="K55" s="92">
        <v>30</v>
      </c>
      <c r="L55" s="92"/>
      <c r="M55" s="93">
        <v>1</v>
      </c>
      <c r="N55" s="93">
        <v>30</v>
      </c>
      <c r="O55" s="93"/>
      <c r="P55" s="172" t="s">
        <v>184</v>
      </c>
      <c r="Q55" s="130" t="s">
        <v>153</v>
      </c>
      <c r="R55" s="131"/>
      <c r="S55" s="132" t="s">
        <v>176</v>
      </c>
      <c r="T55" s="133"/>
      <c r="U55" s="3"/>
    </row>
    <row r="56" s="2" customFormat="1" ht="25" customHeight="1" spans="2:21">
      <c r="B56" s="55">
        <v>11</v>
      </c>
      <c r="C56" s="62" t="s">
        <v>161</v>
      </c>
      <c r="D56" s="25"/>
      <c r="E56" s="25"/>
      <c r="F56" s="25"/>
      <c r="G56" s="38" t="s">
        <v>162</v>
      </c>
      <c r="H56" s="38"/>
      <c r="I56" s="81" t="s">
        <v>171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177</v>
      </c>
      <c r="Q56" s="134" t="s">
        <v>178</v>
      </c>
      <c r="R56" s="134"/>
      <c r="S56" s="128" t="s">
        <v>179</v>
      </c>
      <c r="T56" s="129"/>
      <c r="U56" s="3"/>
    </row>
    <row r="57" s="2" customFormat="1" ht="25" customHeight="1" spans="2:21">
      <c r="B57" s="57">
        <v>12</v>
      </c>
      <c r="C57" s="58" t="s">
        <v>161</v>
      </c>
      <c r="D57" s="59"/>
      <c r="E57" s="59"/>
      <c r="F57" s="59"/>
      <c r="G57" s="61" t="s">
        <v>162</v>
      </c>
      <c r="H57" s="61"/>
      <c r="I57" s="91" t="s">
        <v>171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177</v>
      </c>
      <c r="Q57" s="135" t="s">
        <v>180</v>
      </c>
      <c r="R57" s="135"/>
      <c r="S57" s="132" t="s">
        <v>181</v>
      </c>
      <c r="T57" s="133"/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182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186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4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3"/>
  <sheetViews>
    <sheetView topLeftCell="A7" workbookViewId="0">
      <selection activeCell="G15" sqref="G15:H15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3">
        <v>50</v>
      </c>
      <c r="F7" s="23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3">
        <v>20</v>
      </c>
      <c r="F8" s="23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3">
        <v>5</v>
      </c>
      <c r="F9" s="23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7">
        <f t="shared" ref="E10:I10" si="0">SUM(E7:E9)</f>
        <v>75</v>
      </c>
      <c r="F10" s="27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81">
        <v>10000</v>
      </c>
      <c r="R14" s="81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81">
        <v>233</v>
      </c>
      <c r="R15" s="81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81">
        <v>323</v>
      </c>
      <c r="R16" s="81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81">
        <v>122</v>
      </c>
      <c r="R17" s="81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3"/>
      <c r="R18" s="43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81">
        <v>1333</v>
      </c>
      <c r="R19" s="81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81">
        <v>333</v>
      </c>
      <c r="R20" s="81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81">
        <v>456</v>
      </c>
      <c r="R21" s="81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81">
        <v>7788</v>
      </c>
      <c r="R22" s="81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81">
        <v>34500</v>
      </c>
      <c r="R23" s="81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3"/>
      <c r="R24" s="43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81">
        <v>2000</v>
      </c>
      <c r="R25" s="171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187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s="2" customFormat="1" ht="25" customHeight="1" spans="2:21">
      <c r="B29" s="63"/>
      <c r="C29" s="64"/>
      <c r="D29" s="64"/>
      <c r="E29" s="64"/>
      <c r="F29" s="64"/>
      <c r="G29" s="64"/>
      <c r="H29" s="65"/>
      <c r="I29" s="65"/>
      <c r="J29" s="65"/>
      <c r="K29" s="96"/>
      <c r="L29" s="97" t="s">
        <v>182</v>
      </c>
      <c r="M29" s="97"/>
      <c r="N29" s="98">
        <v>75710</v>
      </c>
      <c r="O29" s="98"/>
      <c r="P29" s="99"/>
      <c r="Q29" s="99"/>
      <c r="R29" s="136"/>
      <c r="S29" s="99"/>
      <c r="T29" s="137"/>
      <c r="U29" s="3"/>
    </row>
    <row r="30" s="2" customFormat="1" ht="1" customHeight="1" spans="2:21">
      <c r="B30" s="66"/>
      <c r="C30" s="67"/>
      <c r="D30" s="67"/>
      <c r="E30" s="67"/>
      <c r="F30" s="67"/>
      <c r="G30" s="67"/>
      <c r="H30" s="68"/>
      <c r="I30" s="68"/>
      <c r="J30" s="68"/>
      <c r="K30" s="100"/>
      <c r="L30" s="101"/>
      <c r="M30" s="101"/>
      <c r="N30" s="102"/>
      <c r="O30" s="102"/>
      <c r="P30" s="103"/>
      <c r="Q30" s="103"/>
      <c r="R30" s="138"/>
      <c r="S30" s="103"/>
      <c r="T30" s="139"/>
      <c r="U30" s="3"/>
    </row>
    <row r="31" s="2" customFormat="1" ht="25" customHeight="1" spans="2:21">
      <c r="B31" s="49" t="s">
        <v>188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23"/>
      <c r="U31" s="3"/>
    </row>
    <row r="32" s="2" customFormat="1" ht="25" customHeight="1" spans="2:21">
      <c r="B32" s="63"/>
      <c r="C32" s="64"/>
      <c r="D32" s="64"/>
      <c r="E32" s="64"/>
      <c r="F32" s="64"/>
      <c r="G32" s="64"/>
      <c r="H32" s="65"/>
      <c r="I32" s="65"/>
      <c r="J32" s="65"/>
      <c r="K32" s="96"/>
      <c r="L32" s="97" t="s">
        <v>182</v>
      </c>
      <c r="M32" s="97"/>
      <c r="N32" s="98">
        <v>75710</v>
      </c>
      <c r="O32" s="98"/>
      <c r="P32" s="99"/>
      <c r="Q32" s="99"/>
      <c r="R32" s="136"/>
      <c r="S32" s="99"/>
      <c r="T32" s="137"/>
      <c r="U32" s="3"/>
    </row>
    <row r="33" ht="25" customHeight="1" spans="2:20">
      <c r="B33" s="69" t="s">
        <v>186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140"/>
    </row>
  </sheetData>
  <mergeCells count="167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L29:M29"/>
    <mergeCell ref="N29:O29"/>
    <mergeCell ref="B31:T31"/>
    <mergeCell ref="L32:M32"/>
    <mergeCell ref="N32:O32"/>
    <mergeCell ref="B33:T33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B18" sqref="B18:L18"/>
    </sheetView>
  </sheetViews>
  <sheetFormatPr defaultColWidth="9" defaultRowHeight="13.5"/>
  <cols>
    <col min="1" max="1" width="9" style="143"/>
    <col min="2" max="3" width="15.625" style="144" customWidth="1"/>
    <col min="4" max="4" width="20.625" style="144" customWidth="1"/>
    <col min="5" max="6" width="15.625" style="143" customWidth="1"/>
    <col min="7" max="7" width="20.625" style="143" customWidth="1"/>
    <col min="8" max="12" width="15.625" style="143" customWidth="1"/>
    <col min="13" max="16384" width="9" style="143"/>
  </cols>
  <sheetData>
    <row r="3" ht="30" customHeight="1" spans="2:12">
      <c r="B3" s="145" t="s">
        <v>189</v>
      </c>
      <c r="C3" s="146"/>
      <c r="D3" s="147"/>
      <c r="E3" s="147"/>
      <c r="F3" s="147"/>
      <c r="G3" s="147"/>
      <c r="H3" s="147"/>
      <c r="I3" s="147"/>
      <c r="J3" s="147"/>
      <c r="K3" s="147"/>
      <c r="L3" s="164"/>
    </row>
    <row r="4" s="141" customFormat="1" ht="30" customHeight="1" spans="2:12">
      <c r="B4" s="148" t="s">
        <v>39</v>
      </c>
      <c r="C4" s="149" t="s">
        <v>190</v>
      </c>
      <c r="D4" s="149" t="s">
        <v>191</v>
      </c>
      <c r="E4" s="149" t="s">
        <v>192</v>
      </c>
      <c r="F4" s="149" t="s">
        <v>193</v>
      </c>
      <c r="G4" s="149" t="s">
        <v>40</v>
      </c>
      <c r="H4" s="149" t="s">
        <v>44</v>
      </c>
      <c r="I4" s="149" t="s">
        <v>194</v>
      </c>
      <c r="J4" s="149" t="s">
        <v>195</v>
      </c>
      <c r="K4" s="149" t="s">
        <v>196</v>
      </c>
      <c r="L4" s="165" t="s">
        <v>43</v>
      </c>
    </row>
    <row r="5" ht="30" customHeight="1" spans="2:12">
      <c r="B5" s="150" t="s">
        <v>197</v>
      </c>
      <c r="C5" s="151" t="s">
        <v>198</v>
      </c>
      <c r="D5" s="37" t="s">
        <v>130</v>
      </c>
      <c r="E5" s="21" t="s">
        <v>199</v>
      </c>
      <c r="F5" s="21" t="s">
        <v>199</v>
      </c>
      <c r="G5" s="152" t="s">
        <v>133</v>
      </c>
      <c r="H5" s="21">
        <v>1</v>
      </c>
      <c r="I5" s="166" t="s">
        <v>200</v>
      </c>
      <c r="J5" s="21">
        <v>0.52</v>
      </c>
      <c r="K5" s="21">
        <v>0.52</v>
      </c>
      <c r="L5" s="111">
        <v>0.52</v>
      </c>
    </row>
    <row r="6" ht="30" customHeight="1" spans="2:12">
      <c r="B6" s="150"/>
      <c r="C6" s="153"/>
      <c r="D6" s="37" t="s">
        <v>201</v>
      </c>
      <c r="E6" s="21" t="s">
        <v>199</v>
      </c>
      <c r="F6" s="21" t="s">
        <v>199</v>
      </c>
      <c r="G6" s="152" t="s">
        <v>133</v>
      </c>
      <c r="H6" s="21">
        <v>1</v>
      </c>
      <c r="I6" s="166" t="s">
        <v>200</v>
      </c>
      <c r="J6" s="21">
        <v>0.92</v>
      </c>
      <c r="K6" s="21">
        <v>0.92</v>
      </c>
      <c r="L6" s="111">
        <v>0.92</v>
      </c>
    </row>
    <row r="7" ht="30" customHeight="1" spans="2:12">
      <c r="B7" s="150"/>
      <c r="C7" s="153"/>
      <c r="D7" s="37" t="s">
        <v>202</v>
      </c>
      <c r="E7" s="21" t="s">
        <v>199</v>
      </c>
      <c r="F7" s="21" t="s">
        <v>199</v>
      </c>
      <c r="G7" s="152" t="s">
        <v>133</v>
      </c>
      <c r="H7" s="21">
        <v>1</v>
      </c>
      <c r="I7" s="166" t="s">
        <v>200</v>
      </c>
      <c r="J7" s="21">
        <v>0.12</v>
      </c>
      <c r="K7" s="21">
        <v>0.12</v>
      </c>
      <c r="L7" s="111">
        <v>0.12</v>
      </c>
    </row>
    <row r="8" ht="30" customHeight="1" spans="2:12">
      <c r="B8" s="150"/>
      <c r="C8" s="153"/>
      <c r="D8" s="37" t="s">
        <v>203</v>
      </c>
      <c r="E8" s="21" t="s">
        <v>199</v>
      </c>
      <c r="F8" s="21" t="s">
        <v>199</v>
      </c>
      <c r="G8" s="152" t="s">
        <v>133</v>
      </c>
      <c r="H8" s="21">
        <v>1</v>
      </c>
      <c r="I8" s="166" t="s">
        <v>200</v>
      </c>
      <c r="J8" s="21">
        <v>2.2</v>
      </c>
      <c r="K8" s="21">
        <v>2.2</v>
      </c>
      <c r="L8" s="111">
        <v>2.2</v>
      </c>
    </row>
    <row r="9" ht="30" customHeight="1" spans="2:12">
      <c r="B9" s="150"/>
      <c r="C9" s="153"/>
      <c r="D9" s="37" t="s">
        <v>204</v>
      </c>
      <c r="E9" s="21" t="s">
        <v>205</v>
      </c>
      <c r="F9" s="21" t="s">
        <v>205</v>
      </c>
      <c r="G9" s="152" t="s">
        <v>133</v>
      </c>
      <c r="H9" s="21">
        <v>1</v>
      </c>
      <c r="I9" s="166" t="s">
        <v>200</v>
      </c>
      <c r="J9" s="21">
        <v>7.1</v>
      </c>
      <c r="K9" s="21">
        <v>7.1</v>
      </c>
      <c r="L9" s="111">
        <v>7.1</v>
      </c>
    </row>
    <row r="10" ht="30" customHeight="1" spans="2:12">
      <c r="B10" s="150"/>
      <c r="C10" s="154" t="s">
        <v>206</v>
      </c>
      <c r="D10" s="155" t="s">
        <v>134</v>
      </c>
      <c r="E10" s="154" t="s">
        <v>199</v>
      </c>
      <c r="F10" s="154" t="s">
        <v>199</v>
      </c>
      <c r="G10" s="156" t="s">
        <v>133</v>
      </c>
      <c r="H10" s="154">
        <v>1</v>
      </c>
      <c r="I10" s="167" t="s">
        <v>200</v>
      </c>
      <c r="J10" s="154">
        <v>1.14</v>
      </c>
      <c r="K10" s="154">
        <v>1.14</v>
      </c>
      <c r="L10" s="168">
        <v>1.14</v>
      </c>
    </row>
    <row r="11" ht="30" customHeight="1" spans="2:12">
      <c r="B11" s="150"/>
      <c r="C11" s="21" t="s">
        <v>206</v>
      </c>
      <c r="D11" s="37" t="s">
        <v>201</v>
      </c>
      <c r="E11" s="21" t="s">
        <v>199</v>
      </c>
      <c r="F11" s="21" t="s">
        <v>199</v>
      </c>
      <c r="G11" s="152" t="s">
        <v>133</v>
      </c>
      <c r="H11" s="21">
        <v>1</v>
      </c>
      <c r="I11" s="166" t="s">
        <v>200</v>
      </c>
      <c r="J11" s="21">
        <v>0.92</v>
      </c>
      <c r="K11" s="21">
        <v>0.92</v>
      </c>
      <c r="L11" s="111">
        <v>0.92</v>
      </c>
    </row>
    <row r="12" ht="30" customHeight="1" spans="2:12">
      <c r="B12" s="150"/>
      <c r="C12" s="154" t="s">
        <v>206</v>
      </c>
      <c r="D12" s="155" t="s">
        <v>202</v>
      </c>
      <c r="E12" s="154" t="s">
        <v>199</v>
      </c>
      <c r="F12" s="154" t="s">
        <v>199</v>
      </c>
      <c r="G12" s="156" t="s">
        <v>133</v>
      </c>
      <c r="H12" s="154">
        <v>1</v>
      </c>
      <c r="I12" s="167" t="s">
        <v>200</v>
      </c>
      <c r="J12" s="154">
        <v>0.12</v>
      </c>
      <c r="K12" s="154">
        <v>0.12</v>
      </c>
      <c r="L12" s="168">
        <v>0.12</v>
      </c>
    </row>
    <row r="13" ht="30" customHeight="1" spans="2:12">
      <c r="B13" s="150"/>
      <c r="C13" s="21" t="s">
        <v>207</v>
      </c>
      <c r="D13" s="37" t="s">
        <v>203</v>
      </c>
      <c r="E13" s="21" t="s">
        <v>199</v>
      </c>
      <c r="F13" s="21" t="s">
        <v>199</v>
      </c>
      <c r="G13" s="152" t="s">
        <v>133</v>
      </c>
      <c r="H13" s="21">
        <v>1</v>
      </c>
      <c r="I13" s="166" t="s">
        <v>200</v>
      </c>
      <c r="J13" s="21">
        <v>2.2</v>
      </c>
      <c r="K13" s="21">
        <v>2.2</v>
      </c>
      <c r="L13" s="111">
        <v>2.2</v>
      </c>
    </row>
    <row r="14" ht="30" customHeight="1" spans="2:12">
      <c r="B14" s="150"/>
      <c r="C14" s="154" t="s">
        <v>207</v>
      </c>
      <c r="D14" s="155" t="s">
        <v>204</v>
      </c>
      <c r="E14" s="154" t="s">
        <v>205</v>
      </c>
      <c r="F14" s="154" t="s">
        <v>205</v>
      </c>
      <c r="G14" s="156" t="s">
        <v>133</v>
      </c>
      <c r="H14" s="154">
        <v>1</v>
      </c>
      <c r="I14" s="167" t="s">
        <v>200</v>
      </c>
      <c r="J14" s="154">
        <v>7.1</v>
      </c>
      <c r="K14" s="154">
        <v>7.1</v>
      </c>
      <c r="L14" s="168">
        <v>7.1</v>
      </c>
    </row>
    <row r="15" ht="30" customHeight="1" spans="2:12">
      <c r="B15" s="150"/>
      <c r="C15" s="21" t="s">
        <v>207</v>
      </c>
      <c r="D15" s="37" t="s">
        <v>208</v>
      </c>
      <c r="E15" s="21" t="s">
        <v>199</v>
      </c>
      <c r="F15" s="21" t="s">
        <v>199</v>
      </c>
      <c r="G15" s="152" t="s">
        <v>133</v>
      </c>
      <c r="H15" s="21">
        <v>1</v>
      </c>
      <c r="I15" s="166" t="s">
        <v>200</v>
      </c>
      <c r="J15" s="21">
        <v>1.1</v>
      </c>
      <c r="K15" s="21">
        <v>1.1</v>
      </c>
      <c r="L15" s="111">
        <v>1.1</v>
      </c>
    </row>
    <row r="16" ht="30" customHeight="1" spans="2:12">
      <c r="B16" s="150"/>
      <c r="C16" s="154" t="s">
        <v>207</v>
      </c>
      <c r="D16" s="155" t="s">
        <v>209</v>
      </c>
      <c r="E16" s="154" t="s">
        <v>210</v>
      </c>
      <c r="F16" s="154" t="s">
        <v>210</v>
      </c>
      <c r="G16" s="156" t="s">
        <v>133</v>
      </c>
      <c r="H16" s="154">
        <v>1</v>
      </c>
      <c r="I16" s="167" t="s">
        <v>200</v>
      </c>
      <c r="J16" s="154">
        <v>0.94</v>
      </c>
      <c r="K16" s="154">
        <v>0.94</v>
      </c>
      <c r="L16" s="168">
        <v>0.94</v>
      </c>
    </row>
    <row r="17" ht="30" customHeight="1" spans="2:12">
      <c r="B17" s="157"/>
      <c r="C17" s="158"/>
      <c r="D17" s="158"/>
      <c r="E17" s="158"/>
      <c r="F17" s="158"/>
      <c r="G17" s="158"/>
      <c r="H17" s="159">
        <f t="shared" ref="H17:L17" si="0">SUM(H5:H16)</f>
        <v>12</v>
      </c>
      <c r="I17" s="159"/>
      <c r="J17" s="159">
        <f t="shared" si="0"/>
        <v>24.38</v>
      </c>
      <c r="K17" s="159">
        <f t="shared" si="0"/>
        <v>24.38</v>
      </c>
      <c r="L17" s="169">
        <f t="shared" si="0"/>
        <v>24.38</v>
      </c>
    </row>
    <row r="18" s="142" customFormat="1" ht="30" customHeight="1" spans="2:12">
      <c r="B18" s="160" t="s">
        <v>186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70"/>
    </row>
    <row r="19" spans="2:12">
      <c r="B19" s="162"/>
      <c r="C19" s="162"/>
      <c r="D19" s="162"/>
      <c r="E19" s="163"/>
      <c r="F19" s="163"/>
      <c r="G19" s="163"/>
      <c r="H19" s="163"/>
      <c r="I19" s="163"/>
      <c r="J19" s="163"/>
      <c r="K19" s="163"/>
      <c r="L19" s="163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workbookViewId="0">
      <selection activeCell="K19" sqref="K19:L19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211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38">
        <v>10000</v>
      </c>
      <c r="R14" s="38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38">
        <v>233</v>
      </c>
      <c r="R15" s="38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38">
        <v>323</v>
      </c>
      <c r="R16" s="38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38">
        <v>122</v>
      </c>
      <c r="R17" s="38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1"/>
      <c r="R18" s="41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38">
        <v>1333</v>
      </c>
      <c r="R19" s="38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38">
        <v>333</v>
      </c>
      <c r="R20" s="38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38">
        <v>456</v>
      </c>
      <c r="R21" s="38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38">
        <v>7788</v>
      </c>
      <c r="R22" s="38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38">
        <v>34500</v>
      </c>
      <c r="R23" s="38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1"/>
      <c r="R24" s="41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38">
        <v>2000</v>
      </c>
      <c r="R25" s="120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212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144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157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161</v>
      </c>
      <c r="D36" s="25"/>
      <c r="E36" s="25"/>
      <c r="F36" s="25"/>
      <c r="G36" s="38">
        <v>190922000006</v>
      </c>
      <c r="H36" s="38"/>
      <c r="I36" s="81" t="s">
        <v>171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172</v>
      </c>
      <c r="T36" s="129"/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173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174</v>
      </c>
      <c r="T37" s="133"/>
    </row>
    <row r="38" ht="25" customHeight="1" spans="2:20">
      <c r="B38" s="55">
        <v>9</v>
      </c>
      <c r="C38" s="62" t="s">
        <v>161</v>
      </c>
      <c r="D38" s="25"/>
      <c r="E38" s="25"/>
      <c r="F38" s="25"/>
      <c r="G38" s="38" t="s">
        <v>162</v>
      </c>
      <c r="H38" s="38"/>
      <c r="I38" s="81" t="s">
        <v>171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175</v>
      </c>
      <c r="T38" s="129"/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171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176</v>
      </c>
      <c r="T39" s="133"/>
    </row>
    <row r="40" ht="25" customHeight="1" spans="2:20">
      <c r="B40" s="55">
        <v>11</v>
      </c>
      <c r="C40" s="62" t="s">
        <v>161</v>
      </c>
      <c r="D40" s="25"/>
      <c r="E40" s="25"/>
      <c r="F40" s="25"/>
      <c r="G40" s="38" t="s">
        <v>162</v>
      </c>
      <c r="H40" s="38"/>
      <c r="I40" s="81" t="s">
        <v>171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177</v>
      </c>
      <c r="Q40" s="134" t="s">
        <v>178</v>
      </c>
      <c r="R40" s="134"/>
      <c r="S40" s="128" t="s">
        <v>179</v>
      </c>
      <c r="T40" s="129"/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171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177</v>
      </c>
      <c r="Q41" s="135" t="s">
        <v>180</v>
      </c>
      <c r="R41" s="135"/>
      <c r="S41" s="132" t="s">
        <v>181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182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213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144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25" t="s">
        <v>152</v>
      </c>
      <c r="D46" s="25"/>
      <c r="E46" s="25"/>
      <c r="F46" s="25"/>
      <c r="G46" s="56" t="s">
        <v>153</v>
      </c>
      <c r="H46" s="38"/>
      <c r="I46" s="81" t="s">
        <v>154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155</v>
      </c>
      <c r="Q46" s="126" t="s">
        <v>153</v>
      </c>
      <c r="R46" s="127"/>
      <c r="S46" s="128" t="s">
        <v>156</v>
      </c>
      <c r="T46" s="129"/>
      <c r="U46" s="3"/>
    </row>
    <row r="47" s="2" customFormat="1" ht="25" customHeight="1" spans="2:21">
      <c r="B47" s="57">
        <v>2</v>
      </c>
      <c r="C47" s="58" t="s">
        <v>157</v>
      </c>
      <c r="D47" s="59"/>
      <c r="E47" s="59"/>
      <c r="F47" s="59"/>
      <c r="G47" s="60" t="s">
        <v>153</v>
      </c>
      <c r="H47" s="61"/>
      <c r="I47" s="91" t="s">
        <v>158</v>
      </c>
      <c r="J47" s="91"/>
      <c r="K47" s="92">
        <v>350</v>
      </c>
      <c r="L47" s="92"/>
      <c r="M47" s="93">
        <v>1</v>
      </c>
      <c r="N47" s="93">
        <v>350</v>
      </c>
      <c r="O47" s="93"/>
      <c r="P47" s="94" t="s">
        <v>159</v>
      </c>
      <c r="Q47" s="130" t="s">
        <v>153</v>
      </c>
      <c r="R47" s="131"/>
      <c r="S47" s="132" t="s">
        <v>160</v>
      </c>
      <c r="T47" s="133"/>
      <c r="U47" s="3"/>
    </row>
    <row r="48" s="2" customFormat="1" ht="25" customHeight="1" spans="2:21">
      <c r="B48" s="55">
        <v>3</v>
      </c>
      <c r="C48" s="62" t="s">
        <v>161</v>
      </c>
      <c r="D48" s="25"/>
      <c r="E48" s="25"/>
      <c r="F48" s="25"/>
      <c r="G48" s="38" t="s">
        <v>162</v>
      </c>
      <c r="H48" s="38"/>
      <c r="I48" s="81" t="s">
        <v>163</v>
      </c>
      <c r="J48" s="81"/>
      <c r="K48" s="88">
        <v>30</v>
      </c>
      <c r="L48" s="88"/>
      <c r="M48" s="89">
        <v>1</v>
      </c>
      <c r="N48" s="89">
        <v>30</v>
      </c>
      <c r="O48" s="89"/>
      <c r="P48" s="95" t="s">
        <v>159</v>
      </c>
      <c r="Q48" s="126" t="s">
        <v>153</v>
      </c>
      <c r="R48" s="127"/>
      <c r="S48" s="128" t="s">
        <v>164</v>
      </c>
      <c r="T48" s="129"/>
      <c r="U48" s="3"/>
    </row>
    <row r="49" s="2" customFormat="1" ht="25" customHeight="1" spans="2:21">
      <c r="B49" s="57">
        <v>4</v>
      </c>
      <c r="C49" s="58" t="s">
        <v>161</v>
      </c>
      <c r="D49" s="59"/>
      <c r="E49" s="59"/>
      <c r="F49" s="59"/>
      <c r="G49" s="61" t="s">
        <v>162</v>
      </c>
      <c r="H49" s="61"/>
      <c r="I49" s="91" t="s">
        <v>165</v>
      </c>
      <c r="J49" s="91"/>
      <c r="K49" s="92">
        <v>30</v>
      </c>
      <c r="L49" s="92"/>
      <c r="M49" s="93">
        <v>1</v>
      </c>
      <c r="N49" s="93">
        <v>30</v>
      </c>
      <c r="O49" s="93"/>
      <c r="P49" s="94" t="s">
        <v>159</v>
      </c>
      <c r="Q49" s="130" t="s">
        <v>153</v>
      </c>
      <c r="R49" s="131"/>
      <c r="S49" s="132" t="s">
        <v>166</v>
      </c>
      <c r="T49" s="133"/>
      <c r="U49" s="3"/>
    </row>
    <row r="50" s="2" customFormat="1" ht="25" customHeight="1" spans="2:21">
      <c r="B50" s="55">
        <v>5</v>
      </c>
      <c r="C50" s="62" t="s">
        <v>161</v>
      </c>
      <c r="D50" s="25"/>
      <c r="E50" s="25"/>
      <c r="F50" s="25"/>
      <c r="G50" s="38" t="s">
        <v>162</v>
      </c>
      <c r="H50" s="38"/>
      <c r="I50" s="81" t="s">
        <v>167</v>
      </c>
      <c r="J50" s="81"/>
      <c r="K50" s="88">
        <v>30</v>
      </c>
      <c r="L50" s="88"/>
      <c r="M50" s="89">
        <v>2</v>
      </c>
      <c r="N50" s="89">
        <v>60</v>
      </c>
      <c r="O50" s="89"/>
      <c r="P50" s="95" t="s">
        <v>159</v>
      </c>
      <c r="Q50" s="126" t="s">
        <v>153</v>
      </c>
      <c r="R50" s="127"/>
      <c r="S50" s="128" t="s">
        <v>168</v>
      </c>
      <c r="T50" s="129"/>
      <c r="U50" s="3"/>
    </row>
    <row r="51" s="2" customFormat="1" ht="25" customHeight="1" spans="2:21">
      <c r="B51" s="57">
        <v>6</v>
      </c>
      <c r="C51" s="58" t="s">
        <v>161</v>
      </c>
      <c r="D51" s="59"/>
      <c r="E51" s="59"/>
      <c r="F51" s="59"/>
      <c r="G51" s="61">
        <v>190922000006</v>
      </c>
      <c r="H51" s="61"/>
      <c r="I51" s="91" t="s">
        <v>169</v>
      </c>
      <c r="J51" s="91"/>
      <c r="K51" s="92">
        <v>30</v>
      </c>
      <c r="L51" s="92"/>
      <c r="M51" s="93">
        <v>1</v>
      </c>
      <c r="N51" s="93">
        <v>30</v>
      </c>
      <c r="O51" s="93"/>
      <c r="P51" s="94" t="s">
        <v>159</v>
      </c>
      <c r="Q51" s="130" t="s">
        <v>153</v>
      </c>
      <c r="R51" s="131"/>
      <c r="S51" s="132" t="s">
        <v>170</v>
      </c>
      <c r="T51" s="133"/>
      <c r="U51" s="3"/>
    </row>
    <row r="52" s="2" customFormat="1" ht="25" customHeight="1" spans="2:21">
      <c r="B52" s="55">
        <v>7</v>
      </c>
      <c r="C52" s="62" t="s">
        <v>161</v>
      </c>
      <c r="D52" s="25"/>
      <c r="E52" s="25"/>
      <c r="F52" s="25"/>
      <c r="G52" s="38">
        <v>190922000006</v>
      </c>
      <c r="H52" s="38"/>
      <c r="I52" s="81" t="s">
        <v>171</v>
      </c>
      <c r="J52" s="81"/>
      <c r="K52" s="88">
        <v>30</v>
      </c>
      <c r="L52" s="88"/>
      <c r="M52" s="89">
        <v>2</v>
      </c>
      <c r="N52" s="89">
        <v>60</v>
      </c>
      <c r="O52" s="89"/>
      <c r="P52" s="95" t="s">
        <v>159</v>
      </c>
      <c r="Q52" s="126" t="s">
        <v>153</v>
      </c>
      <c r="R52" s="127"/>
      <c r="S52" s="128" t="s">
        <v>172</v>
      </c>
      <c r="T52" s="129"/>
      <c r="U52" s="3"/>
    </row>
    <row r="53" s="2" customFormat="1" ht="25" customHeight="1" spans="2:21">
      <c r="B53" s="57">
        <v>8</v>
      </c>
      <c r="C53" s="58" t="s">
        <v>161</v>
      </c>
      <c r="D53" s="59"/>
      <c r="E53" s="59"/>
      <c r="F53" s="59"/>
      <c r="G53" s="61">
        <v>191013000009</v>
      </c>
      <c r="H53" s="61"/>
      <c r="I53" s="91" t="s">
        <v>173</v>
      </c>
      <c r="J53" s="91"/>
      <c r="K53" s="92">
        <v>30</v>
      </c>
      <c r="L53" s="92"/>
      <c r="M53" s="93">
        <v>1</v>
      </c>
      <c r="N53" s="93">
        <v>30</v>
      </c>
      <c r="O53" s="93"/>
      <c r="P53" s="94" t="s">
        <v>159</v>
      </c>
      <c r="Q53" s="130" t="s">
        <v>153</v>
      </c>
      <c r="R53" s="131"/>
      <c r="S53" s="132" t="s">
        <v>174</v>
      </c>
      <c r="T53" s="133"/>
      <c r="U53" s="3"/>
    </row>
    <row r="54" s="2" customFormat="1" ht="25" customHeight="1" spans="2:21">
      <c r="B54" s="55">
        <v>9</v>
      </c>
      <c r="C54" s="62" t="s">
        <v>161</v>
      </c>
      <c r="D54" s="25"/>
      <c r="E54" s="25"/>
      <c r="F54" s="25"/>
      <c r="G54" s="38" t="s">
        <v>162</v>
      </c>
      <c r="H54" s="38"/>
      <c r="I54" s="81" t="s">
        <v>171</v>
      </c>
      <c r="J54" s="81"/>
      <c r="K54" s="88">
        <v>30</v>
      </c>
      <c r="L54" s="88"/>
      <c r="M54" s="89">
        <v>1</v>
      </c>
      <c r="N54" s="89">
        <v>30</v>
      </c>
      <c r="O54" s="89"/>
      <c r="P54" s="95" t="s">
        <v>159</v>
      </c>
      <c r="Q54" s="126" t="s">
        <v>153</v>
      </c>
      <c r="R54" s="127"/>
      <c r="S54" s="128" t="s">
        <v>175</v>
      </c>
      <c r="T54" s="129"/>
      <c r="U54" s="3"/>
    </row>
    <row r="55" s="2" customFormat="1" ht="25" customHeight="1" spans="2:21">
      <c r="B55" s="57">
        <v>10</v>
      </c>
      <c r="C55" s="58" t="s">
        <v>161</v>
      </c>
      <c r="D55" s="59"/>
      <c r="E55" s="59"/>
      <c r="F55" s="59"/>
      <c r="G55" s="61" t="s">
        <v>162</v>
      </c>
      <c r="H55" s="61"/>
      <c r="I55" s="91" t="s">
        <v>171</v>
      </c>
      <c r="J55" s="91"/>
      <c r="K55" s="92">
        <v>30</v>
      </c>
      <c r="L55" s="92"/>
      <c r="M55" s="93">
        <v>1</v>
      </c>
      <c r="N55" s="93">
        <v>30</v>
      </c>
      <c r="O55" s="93"/>
      <c r="P55" s="94" t="s">
        <v>159</v>
      </c>
      <c r="Q55" s="130" t="s">
        <v>153</v>
      </c>
      <c r="R55" s="131"/>
      <c r="S55" s="132" t="s">
        <v>176</v>
      </c>
      <c r="T55" s="133"/>
      <c r="U55" s="3"/>
    </row>
    <row r="56" s="2" customFormat="1" ht="25" customHeight="1" spans="2:21">
      <c r="B56" s="55">
        <v>11</v>
      </c>
      <c r="C56" s="62" t="s">
        <v>161</v>
      </c>
      <c r="D56" s="25"/>
      <c r="E56" s="25"/>
      <c r="F56" s="25"/>
      <c r="G56" s="38" t="s">
        <v>162</v>
      </c>
      <c r="H56" s="38"/>
      <c r="I56" s="81" t="s">
        <v>171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177</v>
      </c>
      <c r="Q56" s="134" t="s">
        <v>178</v>
      </c>
      <c r="R56" s="134"/>
      <c r="S56" s="128" t="s">
        <v>179</v>
      </c>
      <c r="T56" s="129"/>
      <c r="U56" s="3"/>
    </row>
    <row r="57" s="2" customFormat="1" ht="25" customHeight="1" spans="2:21">
      <c r="B57" s="57">
        <v>12</v>
      </c>
      <c r="C57" s="58" t="s">
        <v>161</v>
      </c>
      <c r="D57" s="59"/>
      <c r="E57" s="59"/>
      <c r="F57" s="59"/>
      <c r="G57" s="61" t="s">
        <v>162</v>
      </c>
      <c r="H57" s="61"/>
      <c r="I57" s="91" t="s">
        <v>171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177</v>
      </c>
      <c r="Q57" s="135" t="s">
        <v>180</v>
      </c>
      <c r="R57" s="135"/>
      <c r="S57" s="132" t="s">
        <v>181</v>
      </c>
      <c r="T57" s="133"/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182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186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4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列表</vt:lpstr>
      <vt:lpstr>支付 展开</vt:lpstr>
      <vt:lpstr>支付 收起</vt:lpstr>
      <vt:lpstr>点击订单号或更多</vt:lpstr>
      <vt:lpstr>查看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2020-08-31T05:26:00Z</dcterms:created>
  <dcterms:modified xsi:type="dcterms:W3CDTF">2022-06-28T10:22:04Z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4712CC02BCF544E78DAEC982BDB310C0</vt:lpwstr>
  </property>
</Properties>
</file>