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正常" sheetId="3" r:id="rId1"/>
    <sheet name="展开" sheetId="4" r:id="rId2"/>
  </sheets>
  <calcPr calcId="144525"/>
</workbook>
</file>

<file path=xl/sharedStrings.xml><?xml version="1.0" encoding="utf-8"?>
<sst xmlns="http://schemas.openxmlformats.org/spreadsheetml/2006/main" count="566" uniqueCount="93">
  <si>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</si>
  <si>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</si>
  <si>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</si>
  <si>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</si>
  <si>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</si>
  <si>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</si>
  <si>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</si>
  <si>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</si>
  <si>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</si>
  <si>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</si>
  <si>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</si>
  <si>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</si>
  <si>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</si>
  <si>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</si>
  <si>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t>件数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</si>
  <si>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</si>
  <si>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</si>
  <si>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</si>
  <si>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</si>
  <si>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</si>
  <si>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利润比例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</si>
  <si>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</si>
  <si>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</si>
  <si>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</si>
  <si>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</si>
  <si>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</si>
  <si>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</si>
  <si>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预付订单利润 </t>
    </r>
    <r>
      <rPr>
        <b/>
        <sz val="11"/>
        <color rgb="FF0070C0"/>
        <rFont val="宋体"/>
        <charset val="134"/>
      </rPr>
      <t>展开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</si>
  <si>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</si>
  <si>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到付订单利润 </t>
    </r>
    <r>
      <rPr>
        <b/>
        <sz val="11"/>
        <color rgb="FF0070C0"/>
        <rFont val="宋体"/>
        <charset val="134"/>
      </rPr>
      <t>展开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</si>
  <si>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</si>
  <si>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起运国应付明细</t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</si>
  <si>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</si>
  <si>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>供应商</t>
    </r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</si>
  <si>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</si>
  <si>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</si>
  <si>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 xml:space="preserve"> CNY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</si>
  <si>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</si>
  <si>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 xml:space="preserve"> CNY</t>
    </r>
  </si>
  <si>
    <r>
      <rPr>
        <b/>
        <sz val="9"/>
        <color theme="1"/>
        <rFont val="宋体"/>
        <charset val="134"/>
      </rPr>
      <t>支付状态</t>
    </r>
  </si>
  <si>
    <t>支付途径</t>
  </si>
  <si>
    <r>
      <rPr>
        <b/>
        <sz val="9"/>
        <color theme="1"/>
        <rFont val="宋体"/>
        <charset val="134"/>
      </rPr>
      <t>支付日期</t>
    </r>
  </si>
  <si>
    <r>
      <rPr>
        <b/>
        <sz val="9"/>
        <color theme="1"/>
        <rFont val="宋体"/>
        <charset val="134"/>
      </rP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</si>
  <si>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</si>
  <si>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</si>
  <si>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</si>
  <si>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未付</t>
  </si>
  <si>
    <t>无</t>
  </si>
  <si>
    <r>
      <rPr>
        <sz val="9"/>
        <color theme="1"/>
        <rFont val="宋体"/>
        <charset val="134"/>
      </rPr>
      <t>已审核</t>
    </r>
    <r>
      <rPr>
        <sz val="9"/>
        <color theme="1"/>
        <rFont val="Arial"/>
        <charset val="134"/>
      </rPr>
      <t xml:space="preserve"> CANSAMPAO  </t>
    </r>
    <r>
      <rPr>
        <sz val="8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</si>
  <si>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中国广东省广州喵喵国际货运代理有限公司深圳分公司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</si>
  <si>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</si>
  <si>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</si>
  <si>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</si>
  <si>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</si>
  <si>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</si>
  <si>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</si>
  <si>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</si>
  <si>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</si>
  <si>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</si>
  <si>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</si>
  <si>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t>COMPANY ACC 02020049</t>
  </si>
  <si>
    <r>
      <rPr>
        <sz val="9"/>
        <color rgb="FF393939"/>
        <rFont val="Arial"/>
        <charset val="134"/>
      </rPr>
      <t xml:space="preserve">2019/8/28 15:01:22  </t>
    </r>
    <r>
      <rPr>
        <sz val="9"/>
        <color rgb="FF0070C0"/>
        <rFont val="宋体"/>
        <charset val="134"/>
      </rPr>
      <t>查看</t>
    </r>
  </si>
  <si>
    <t>微信私账 35000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</si>
  <si>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</si>
  <si>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t>目的国应付明细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</si>
  <si>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 xml:space="preserve"> USD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</si>
  <si>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 xml:space="preserve"> USD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</si>
  <si>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</si>
  <si>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:USD1.00=NGN6.35.00</t>
    </r>
  </si>
  <si>
    <r>
      <rPr>
        <b/>
        <sz val="11"/>
        <color rgb="FFFF0000"/>
        <rFont val="宋体"/>
        <charset val="134"/>
      </rPr>
      <t>折合人民币</t>
    </r>
    <r>
      <rPr>
        <b/>
        <sz val="11"/>
        <color rgb="FFFF0000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</si>
  <si>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利润：</t>
    </r>
    <r>
      <rPr>
        <b/>
        <sz val="11"/>
        <color rgb="FFFF0000"/>
        <rFont val="Arial"/>
        <charset val="134"/>
      </rPr>
      <t>75,710.00-480,758.50=CNY-405,049.50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</si>
  <si>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</si>
  <si>
    <r>
      <rPr>
        <b/>
        <sz val="11"/>
        <color theme="1"/>
        <rFont val="宋体"/>
        <charset val="134"/>
      </rPr>
      <t xml:space="preserve">预付订单利润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</si>
  <si>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</si>
  <si>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t>用户</t>
  </si>
  <si>
    <t>业务员</t>
  </si>
  <si>
    <t>重量</t>
  </si>
  <si>
    <t>应收CNY</t>
  </si>
  <si>
    <t>成本</t>
  </si>
  <si>
    <t>利润CNY</t>
  </si>
  <si>
    <t>利润比列</t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</si>
  <si>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</si>
  <si>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</si>
  <si>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</si>
  <si>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</si>
  <si>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 xml:space="preserve">CNY94,400.00          </t>
    </r>
    <r>
      <rPr>
        <b/>
        <sz val="11"/>
        <color rgb="FFFF0000"/>
        <rFont val="宋体"/>
        <charset val="134"/>
      </rPr>
      <t>成本合计</t>
    </r>
    <r>
      <rPr>
        <b/>
        <sz val="11"/>
        <color rgb="FFFF0000"/>
        <rFont val="Arial"/>
        <charset val="134"/>
      </rPr>
      <t xml:space="preserve">CNY94,400.00          </t>
    </r>
    <r>
      <rPr>
        <b/>
        <sz val="11"/>
        <color rgb="FFFF0000"/>
        <rFont val="宋体"/>
        <charset val="134"/>
      </rPr>
      <t>利润合计</t>
    </r>
    <r>
      <rPr>
        <b/>
        <sz val="11"/>
        <color rgb="FFFF0000"/>
        <rFont val="Arial"/>
        <charset val="134"/>
      </rPr>
      <t>CNY94,400.00</t>
    </r>
  </si>
  <si>
    <r>
      <rPr>
        <b/>
        <sz val="11"/>
        <color theme="1"/>
        <rFont val="宋体"/>
        <charset val="134"/>
      </rPr>
      <t xml:space="preserve">到付订单利润 </t>
    </r>
    <r>
      <rPr>
        <b/>
        <sz val="11"/>
        <color rgb="FF0070C0"/>
        <rFont val="宋体"/>
        <charset val="134"/>
      </rPr>
      <t xml:space="preserve"> 收起</t>
    </r>
  </si>
  <si>
    <t>站点/JOB</t>
  </si>
  <si>
    <t>应收USD</t>
  </si>
  <si>
    <t>利润USD</t>
  </si>
  <si>
    <r>
      <rPr>
        <b/>
        <sz val="11"/>
        <color rgb="FFFF0000"/>
        <rFont val="宋体"/>
        <charset val="134"/>
      </rPr>
      <t>应收合</t>
    </r>
    <r>
      <rPr>
        <b/>
        <sz val="11"/>
        <color rgb="FFFF0000"/>
        <rFont val="Arial"/>
        <charset val="134"/>
      </rPr>
      <t xml:space="preserve">USD94,400.00          </t>
    </r>
    <r>
      <rPr>
        <b/>
        <sz val="11"/>
        <color rgb="FFFF0000"/>
        <rFont val="宋体"/>
        <charset val="134"/>
      </rPr>
      <t>成本合计</t>
    </r>
    <r>
      <rPr>
        <b/>
        <sz val="11"/>
        <color rgb="FFFF0000"/>
        <rFont val="Arial"/>
        <charset val="134"/>
      </rPr>
      <t xml:space="preserve">USD94,400.00          </t>
    </r>
    <r>
      <rPr>
        <b/>
        <sz val="11"/>
        <color rgb="FFFF0000"/>
        <rFont val="宋体"/>
        <charset val="134"/>
      </rPr>
      <t>利润合计</t>
    </r>
    <r>
      <rPr>
        <b/>
        <sz val="11"/>
        <color rgb="FFFF0000"/>
        <rFont val="Arial"/>
        <charset val="134"/>
      </rPr>
      <t>USD94,400.00</t>
    </r>
  </si>
  <si>
    <r>
      <rPr>
        <sz val="9"/>
        <color theme="1"/>
        <rFont val="宋体"/>
        <charset val="134"/>
      </rPr>
      <t>订单号</t>
    </r>
  </si>
  <si>
    <r>
      <rPr>
        <sz val="9"/>
        <color theme="1"/>
        <rFont val="Microsoft JhengHei"/>
        <charset val="134"/>
      </rPr>
      <t>项目</t>
    </r>
  </si>
</sst>
</file>

<file path=xl/styles.xml><?xml version="1.0" encoding="utf-8"?>
<styleSheet xmlns="http://schemas.openxmlformats.org/spreadsheetml/2006/main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\$#,##0.00;\-\$#,##0.00"/>
    <numFmt numFmtId="179" formatCode="0.0%"/>
    <numFmt numFmtId="180" formatCode="yyyy/m/d\ h:mm;@"/>
  </numFmts>
  <fonts count="47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rgb="FF0070C0"/>
      <name val="Arial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b/>
      <sz val="9"/>
      <color rgb="FF393939"/>
      <name val="Microsoft JhengHei"/>
      <charset val="134"/>
    </font>
    <font>
      <b/>
      <sz val="9"/>
      <color rgb="FF393939"/>
      <name val="Arial"/>
      <charset val="134"/>
    </font>
    <font>
      <b/>
      <sz val="10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宋体"/>
      <charset val="134"/>
    </font>
    <font>
      <sz val="8"/>
      <color theme="1"/>
      <name val="Arial"/>
      <charset val="134"/>
    </font>
    <font>
      <sz val="9"/>
      <color rgb="FF0070C0"/>
      <name val="宋体"/>
      <charset val="134"/>
    </font>
    <font>
      <b/>
      <sz val="12"/>
      <color theme="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6" fillId="16" borderId="13" applyNumberFormat="0" applyAlignment="0" applyProtection="0">
      <alignment vertical="center"/>
    </xf>
    <xf numFmtId="0" fontId="37" fillId="16" borderId="9" applyNumberFormat="0" applyAlignment="0" applyProtection="0">
      <alignment vertical="center"/>
    </xf>
    <xf numFmtId="0" fontId="38" fillId="17" borderId="14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6" fontId="10" fillId="5" borderId="3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 wrapText="1"/>
    </xf>
    <xf numFmtId="176" fontId="12" fillId="2" borderId="0" xfId="0" applyNumberFormat="1" applyFont="1" applyFill="1" applyBorder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2" fillId="6" borderId="0" xfId="0" applyNumberFormat="1" applyFont="1" applyFill="1" applyBorder="1" applyAlignment="1">
      <alignment horizontal="center" vertical="center"/>
    </xf>
    <xf numFmtId="176" fontId="12" fillId="6" borderId="0" xfId="0" applyNumberFormat="1" applyFont="1" applyFill="1" applyAlignment="1">
      <alignment horizontal="center" vertical="center"/>
    </xf>
    <xf numFmtId="177" fontId="6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" fillId="5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7" fontId="1" fillId="6" borderId="0" xfId="0" applyNumberFormat="1" applyFont="1" applyFill="1" applyAlignment="1">
      <alignment horizontal="center" vertical="center" wrapText="1"/>
    </xf>
    <xf numFmtId="176" fontId="11" fillId="5" borderId="3" xfId="0" applyNumberFormat="1" applyFont="1" applyFill="1" applyBorder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 wrapText="1"/>
    </xf>
    <xf numFmtId="0" fontId="14" fillId="5" borderId="3" xfId="0" applyFont="1" applyFill="1" applyBorder="1" applyAlignment="1">
      <alignment horizontal="righ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6" fillId="5" borderId="0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2" fillId="5" borderId="0" xfId="0" applyNumberFormat="1" applyFont="1" applyFill="1" applyAlignment="1">
      <alignment horizontal="center" vertical="center"/>
    </xf>
    <xf numFmtId="0" fontId="17" fillId="6" borderId="3" xfId="0" applyFont="1" applyFill="1" applyBorder="1" applyAlignment="1">
      <alignment vertical="center"/>
    </xf>
    <xf numFmtId="0" fontId="17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" fillId="2" borderId="3" xfId="0" applyFont="1" applyFill="1" applyBorder="1">
      <alignment vertical="center"/>
    </xf>
    <xf numFmtId="0" fontId="1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7" fontId="6" fillId="2" borderId="0" xfId="0" applyNumberFormat="1" applyFont="1" applyFill="1" applyBorder="1" applyAlignment="1">
      <alignment horizontal="center" vertical="center"/>
    </xf>
    <xf numFmtId="10" fontId="18" fillId="2" borderId="0" xfId="0" applyNumberFormat="1" applyFont="1" applyFill="1" applyBorder="1" applyAlignment="1">
      <alignment horizontal="center" vertical="center"/>
    </xf>
    <xf numFmtId="10" fontId="18" fillId="2" borderId="0" xfId="0" applyNumberFormat="1" applyFont="1" applyFill="1" applyBorder="1" applyAlignment="1">
      <alignment horizontal="center" vertical="center" wrapText="1"/>
    </xf>
    <xf numFmtId="177" fontId="1" fillId="5" borderId="0" xfId="0" applyNumberFormat="1" applyFont="1" applyFill="1" applyBorder="1" applyAlignment="1">
      <alignment horizontal="center" vertical="center" wrapText="1"/>
    </xf>
    <xf numFmtId="177" fontId="1" fillId="5" borderId="0" xfId="0" applyNumberFormat="1" applyFont="1" applyFill="1" applyBorder="1" applyAlignment="1">
      <alignment vertical="center" wrapText="1"/>
    </xf>
    <xf numFmtId="177" fontId="1" fillId="6" borderId="0" xfId="0" applyNumberFormat="1" applyFont="1" applyFill="1" applyBorder="1" applyAlignment="1">
      <alignment horizontal="center" vertical="center"/>
    </xf>
    <xf numFmtId="177" fontId="1" fillId="6" borderId="0" xfId="0" applyNumberFormat="1" applyFont="1" applyFill="1" applyAlignment="1">
      <alignment horizontal="center" vertical="center"/>
    </xf>
    <xf numFmtId="177" fontId="11" fillId="6" borderId="0" xfId="0" applyNumberFormat="1" applyFont="1" applyFill="1" applyBorder="1" applyAlignment="1">
      <alignment horizontal="center" vertical="center"/>
    </xf>
    <xf numFmtId="177" fontId="16" fillId="6" borderId="0" xfId="0" applyNumberFormat="1" applyFont="1" applyFill="1" applyBorder="1" applyAlignment="1">
      <alignment horizontal="center" vertical="center" wrapText="1"/>
    </xf>
    <xf numFmtId="177" fontId="19" fillId="6" borderId="0" xfId="0" applyNumberFormat="1" applyFont="1" applyFill="1" applyBorder="1" applyAlignment="1">
      <alignment horizontal="center" vertical="center" wrapText="1"/>
    </xf>
    <xf numFmtId="177" fontId="10" fillId="6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Alignment="1">
      <alignment horizontal="center" vertical="center" wrapText="1"/>
    </xf>
    <xf numFmtId="177" fontId="10" fillId="6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7" fontId="20" fillId="2" borderId="0" xfId="0" applyNumberFormat="1" applyFont="1" applyFill="1" applyBorder="1" applyAlignment="1">
      <alignment horizontal="center" vertical="center" wrapText="1"/>
    </xf>
    <xf numFmtId="177" fontId="21" fillId="2" borderId="0" xfId="0" applyNumberFormat="1" applyFont="1" applyFill="1" applyAlignment="1">
      <alignment horizontal="center" vertical="center" wrapText="1"/>
    </xf>
    <xf numFmtId="180" fontId="21" fillId="2" borderId="0" xfId="0" applyNumberFormat="1" applyFont="1" applyFill="1" applyAlignment="1">
      <alignment horizontal="center" vertical="center" wrapText="1"/>
    </xf>
    <xf numFmtId="180" fontId="20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20" fillId="5" borderId="0" xfId="0" applyNumberFormat="1" applyFont="1" applyFill="1" applyBorder="1" applyAlignment="1">
      <alignment horizontal="center" vertical="center" wrapText="1"/>
    </xf>
    <xf numFmtId="177" fontId="20" fillId="5" borderId="0" xfId="0" applyNumberFormat="1" applyFont="1" applyFill="1" applyAlignment="1">
      <alignment horizontal="center" vertical="center" wrapText="1"/>
    </xf>
    <xf numFmtId="180" fontId="21" fillId="5" borderId="0" xfId="0" applyNumberFormat="1" applyFont="1" applyFill="1" applyAlignment="1">
      <alignment horizontal="center" vertical="center" wrapText="1"/>
    </xf>
    <xf numFmtId="180" fontId="20" fillId="5" borderId="0" xfId="0" applyNumberFormat="1" applyFont="1" applyFill="1" applyAlignment="1">
      <alignment horizontal="center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177" fontId="14" fillId="6" borderId="0" xfId="0" applyNumberFormat="1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177" fontId="14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176" fontId="11" fillId="5" borderId="5" xfId="0" applyNumberFormat="1" applyFont="1" applyFill="1" applyBorder="1" applyAlignment="1">
      <alignment horizontal="center" vertical="center"/>
    </xf>
    <xf numFmtId="10" fontId="18" fillId="2" borderId="5" xfId="0" applyNumberFormat="1" applyFont="1" applyFill="1" applyBorder="1" applyAlignment="1">
      <alignment horizontal="center" vertical="center"/>
    </xf>
    <xf numFmtId="10" fontId="18" fillId="2" borderId="5" xfId="0" applyNumberFormat="1" applyFont="1" applyFill="1" applyBorder="1" applyAlignment="1">
      <alignment horizontal="center" vertical="center" wrapText="1"/>
    </xf>
    <xf numFmtId="177" fontId="6" fillId="6" borderId="5" xfId="0" applyNumberFormat="1" applyFont="1" applyFill="1" applyBorder="1" applyAlignment="1">
      <alignment horizontal="center" vertical="center"/>
    </xf>
    <xf numFmtId="177" fontId="1" fillId="5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right" vertical="center" wrapText="1"/>
    </xf>
    <xf numFmtId="0" fontId="1" fillId="6" borderId="5" xfId="0" applyFont="1" applyFill="1" applyBorder="1" applyAlignment="1">
      <alignment vertical="center"/>
    </xf>
    <xf numFmtId="178" fontId="1" fillId="5" borderId="5" xfId="0" applyNumberFormat="1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left" vertical="center" wrapText="1"/>
    </xf>
    <xf numFmtId="177" fontId="10" fillId="6" borderId="5" xfId="0" applyNumberFormat="1" applyFont="1" applyFill="1" applyBorder="1" applyAlignment="1">
      <alignment horizontal="center" vertical="center" wrapText="1"/>
    </xf>
    <xf numFmtId="177" fontId="7" fillId="2" borderId="0" xfId="0" applyNumberFormat="1" applyFont="1" applyFill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 wrapText="1"/>
    </xf>
    <xf numFmtId="177" fontId="7" fillId="5" borderId="0" xfId="0" applyNumberFormat="1" applyFont="1" applyFill="1" applyAlignment="1">
      <alignment horizontal="center" vertical="center" wrapText="1"/>
    </xf>
    <xf numFmtId="0" fontId="12" fillId="6" borderId="0" xfId="0" applyFont="1" applyFill="1" applyBorder="1" applyAlignment="1">
      <alignment vertical="center"/>
    </xf>
    <xf numFmtId="0" fontId="20" fillId="6" borderId="5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vertical="center"/>
    </xf>
    <xf numFmtId="0" fontId="13" fillId="6" borderId="0" xfId="0" applyFont="1" applyFill="1" applyAlignment="1">
      <alignment horizontal="right" vertical="center"/>
    </xf>
    <xf numFmtId="0" fontId="22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right" vertical="center"/>
    </xf>
    <xf numFmtId="177" fontId="14" fillId="6" borderId="0" xfId="0" applyNumberFormat="1" applyFont="1" applyFill="1" applyBorder="1" applyAlignment="1">
      <alignment vertical="center"/>
    </xf>
    <xf numFmtId="177" fontId="13" fillId="6" borderId="0" xfId="0" applyNumberFormat="1" applyFont="1" applyFill="1" applyBorder="1" applyAlignment="1">
      <alignment vertical="center"/>
    </xf>
    <xf numFmtId="0" fontId="23" fillId="3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177" fontId="9" fillId="6" borderId="0" xfId="0" applyNumberFormat="1" applyFont="1" applyFill="1" applyAlignment="1">
      <alignment horizontal="center" vertical="center"/>
    </xf>
    <xf numFmtId="177" fontId="10" fillId="6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0"/>
  <sheetViews>
    <sheetView topLeftCell="A37" workbookViewId="0">
      <selection activeCell="B34" sqref="B34:T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15"/>
    </row>
    <row r="2" s="1" customFormat="1" ht="25" customHeight="1" spans="2:21">
      <c r="B2" s="154" t="s">
        <v>1</v>
      </c>
      <c r="C2" s="155"/>
      <c r="D2" s="156" t="s">
        <v>2</v>
      </c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62"/>
      <c r="Q2" s="162"/>
      <c r="R2" s="162"/>
      <c r="S2" s="162"/>
      <c r="T2" s="168"/>
      <c r="U2" s="117"/>
    </row>
    <row r="3" s="1" customFormat="1" ht="25" customHeight="1" spans="2:21">
      <c r="B3" s="154" t="s">
        <v>3</v>
      </c>
      <c r="C3" s="155"/>
      <c r="D3" s="155" t="s">
        <v>4</v>
      </c>
      <c r="E3" s="155"/>
      <c r="F3" s="155" t="s">
        <v>5</v>
      </c>
      <c r="G3" s="155"/>
      <c r="H3" s="155" t="s">
        <v>6</v>
      </c>
      <c r="I3" s="155"/>
      <c r="J3" s="155" t="s">
        <v>7</v>
      </c>
      <c r="K3" s="155"/>
      <c r="L3" s="155"/>
      <c r="M3" s="155"/>
      <c r="N3" s="155"/>
      <c r="O3" s="155"/>
      <c r="P3" s="162"/>
      <c r="Q3" s="162"/>
      <c r="R3" s="162"/>
      <c r="S3" s="162"/>
      <c r="T3" s="168"/>
      <c r="U3" s="117"/>
    </row>
    <row r="4" ht="25" customHeight="1" spans="2:20">
      <c r="B4" s="157" t="s">
        <v>8</v>
      </c>
      <c r="C4" s="158"/>
      <c r="D4" s="158"/>
      <c r="E4" s="159" t="s">
        <v>9</v>
      </c>
      <c r="F4" s="159"/>
      <c r="G4" s="159"/>
      <c r="H4" s="159" t="s">
        <v>10</v>
      </c>
      <c r="I4" s="159"/>
      <c r="J4" s="159"/>
      <c r="K4" s="163"/>
      <c r="L4" s="164"/>
      <c r="M4" s="165"/>
      <c r="N4" s="165"/>
      <c r="O4" s="165"/>
      <c r="P4" s="165"/>
      <c r="Q4" s="165"/>
      <c r="R4" s="165"/>
      <c r="S4" s="165"/>
      <c r="T4" s="169"/>
    </row>
    <row r="5" ht="5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19"/>
    </row>
    <row r="6" s="153" customFormat="1" ht="25" customHeight="1" spans="2:21">
      <c r="B6" s="15" t="s">
        <v>11</v>
      </c>
      <c r="C6" s="16"/>
      <c r="D6" s="17" t="s">
        <v>12</v>
      </c>
      <c r="E6" s="18" t="s">
        <v>13</v>
      </c>
      <c r="F6" s="18"/>
      <c r="G6" s="18" t="s">
        <v>14</v>
      </c>
      <c r="H6" s="18"/>
      <c r="I6" s="18" t="s">
        <v>15</v>
      </c>
      <c r="J6" s="18"/>
      <c r="K6" s="18" t="s">
        <v>16</v>
      </c>
      <c r="L6" s="18"/>
      <c r="M6" s="18" t="s">
        <v>17</v>
      </c>
      <c r="N6" s="18"/>
      <c r="O6" s="78" t="s">
        <v>18</v>
      </c>
      <c r="P6" s="78"/>
      <c r="Q6" s="78" t="s">
        <v>19</v>
      </c>
      <c r="R6" s="78"/>
      <c r="S6" s="78" t="s">
        <v>20</v>
      </c>
      <c r="T6" s="120"/>
      <c r="U6" s="170"/>
    </row>
    <row r="7" ht="25" customHeight="1" spans="2:20">
      <c r="B7" s="19" t="s">
        <v>21</v>
      </c>
      <c r="C7" s="20"/>
      <c r="D7" s="21" t="s">
        <v>22</v>
      </c>
      <c r="E7" s="22">
        <v>50</v>
      </c>
      <c r="F7" s="22"/>
      <c r="G7" s="22">
        <v>20</v>
      </c>
      <c r="H7" s="22"/>
      <c r="I7" s="22">
        <v>1300</v>
      </c>
      <c r="J7" s="22"/>
      <c r="K7" s="79">
        <v>0.52</v>
      </c>
      <c r="L7" s="79"/>
      <c r="M7" s="79">
        <v>0.52</v>
      </c>
      <c r="N7" s="79"/>
      <c r="O7" s="80">
        <v>0.52</v>
      </c>
      <c r="P7" s="80"/>
      <c r="Q7" s="121">
        <v>0.9</v>
      </c>
      <c r="R7" s="121"/>
      <c r="S7" s="121">
        <v>0.9</v>
      </c>
      <c r="T7" s="122"/>
    </row>
    <row r="8" ht="25" customHeight="1" spans="2:20">
      <c r="B8" s="23" t="s">
        <v>23</v>
      </c>
      <c r="C8" s="24"/>
      <c r="D8" s="21" t="s">
        <v>24</v>
      </c>
      <c r="E8" s="22">
        <v>20</v>
      </c>
      <c r="F8" s="22"/>
      <c r="G8" s="22">
        <v>20</v>
      </c>
      <c r="H8" s="22"/>
      <c r="I8" s="22">
        <v>1000</v>
      </c>
      <c r="J8" s="22"/>
      <c r="K8" s="79">
        <v>0.4</v>
      </c>
      <c r="L8" s="79"/>
      <c r="M8" s="79">
        <v>0.4</v>
      </c>
      <c r="N8" s="79"/>
      <c r="O8" s="80">
        <v>0.4</v>
      </c>
      <c r="P8" s="80"/>
      <c r="Q8" s="121">
        <v>0.7</v>
      </c>
      <c r="R8" s="121"/>
      <c r="S8" s="121">
        <v>0.7</v>
      </c>
      <c r="T8" s="122"/>
    </row>
    <row r="9" ht="25" customHeight="1" spans="2:20">
      <c r="B9" s="23" t="s">
        <v>25</v>
      </c>
      <c r="C9" s="24"/>
      <c r="D9" s="21" t="s">
        <v>26</v>
      </c>
      <c r="E9" s="22">
        <v>5</v>
      </c>
      <c r="F9" s="22"/>
      <c r="G9" s="22">
        <v>5</v>
      </c>
      <c r="H9" s="22"/>
      <c r="I9" s="22">
        <v>200</v>
      </c>
      <c r="J9" s="22"/>
      <c r="K9" s="79">
        <v>0.08</v>
      </c>
      <c r="L9" s="79"/>
      <c r="M9" s="79">
        <v>0.08</v>
      </c>
      <c r="N9" s="79"/>
      <c r="O9" s="80">
        <v>0.08</v>
      </c>
      <c r="P9" s="80"/>
      <c r="Q9" s="80">
        <v>0.5</v>
      </c>
      <c r="R9" s="80"/>
      <c r="S9" s="80">
        <v>0.5</v>
      </c>
      <c r="T9" s="123"/>
    </row>
    <row r="10" ht="25" customHeight="1" spans="2:20">
      <c r="B10" s="23"/>
      <c r="C10" s="21"/>
      <c r="D10" s="21"/>
      <c r="E10" s="22">
        <f t="shared" ref="E10:I10" si="0">SUM(E7:E9)</f>
        <v>75</v>
      </c>
      <c r="F10" s="22"/>
      <c r="G10" s="22">
        <f t="shared" si="0"/>
        <v>45</v>
      </c>
      <c r="H10" s="22"/>
      <c r="I10" s="22">
        <f t="shared" si="0"/>
        <v>2500</v>
      </c>
      <c r="J10" s="22"/>
      <c r="K10" s="81"/>
      <c r="L10" s="81"/>
      <c r="M10" s="81"/>
      <c r="N10" s="81"/>
      <c r="O10" s="24"/>
      <c r="P10" s="24"/>
      <c r="Q10" s="24"/>
      <c r="R10" s="24"/>
      <c r="S10" s="21"/>
      <c r="T10" s="124"/>
    </row>
    <row r="11" ht="5" customHeight="1" spans="2:20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125"/>
    </row>
    <row r="12" ht="25" customHeight="1" spans="2:20">
      <c r="B12" s="27" t="s">
        <v>27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26"/>
    </row>
    <row r="13" ht="25" customHeight="1" spans="2:20">
      <c r="B13" s="56" t="s">
        <v>28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132"/>
    </row>
    <row r="14" ht="5" customHeight="1" spans="2:20">
      <c r="B14" s="51"/>
      <c r="C14" s="52"/>
      <c r="D14" s="52"/>
      <c r="E14" s="53"/>
      <c r="F14" s="52"/>
      <c r="G14" s="52"/>
      <c r="H14" s="53"/>
      <c r="I14" s="52"/>
      <c r="J14" s="52"/>
      <c r="K14" s="53"/>
      <c r="L14" s="52"/>
      <c r="M14" s="52"/>
      <c r="N14" s="53"/>
      <c r="O14" s="52"/>
      <c r="P14" s="52"/>
      <c r="Q14" s="53"/>
      <c r="R14" s="53"/>
      <c r="S14" s="53"/>
      <c r="T14" s="133"/>
    </row>
    <row r="15" ht="25" customHeight="1" spans="2:20">
      <c r="B15" s="27" t="s">
        <v>29</v>
      </c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126"/>
    </row>
    <row r="16" ht="25" customHeight="1" spans="2:20">
      <c r="B16" s="56" t="s">
        <v>30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132"/>
    </row>
    <row r="17" ht="5" customHeight="1" spans="2:20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125"/>
    </row>
    <row r="18" ht="25" customHeight="1" spans="2:20">
      <c r="B18" s="57" t="s">
        <v>31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135"/>
    </row>
    <row r="19" ht="25" customHeight="1" spans="2:20">
      <c r="B19" s="59" t="s">
        <v>32</v>
      </c>
      <c r="C19" s="60" t="s">
        <v>33</v>
      </c>
      <c r="D19" s="60"/>
      <c r="E19" s="60"/>
      <c r="F19" s="60"/>
      <c r="G19" s="160" t="s">
        <v>34</v>
      </c>
      <c r="H19" s="161"/>
      <c r="I19" s="166" t="s">
        <v>35</v>
      </c>
      <c r="J19" s="167"/>
      <c r="K19" s="89" t="s">
        <v>36</v>
      </c>
      <c r="L19" s="90" t="s">
        <v>37</v>
      </c>
      <c r="M19" s="91" t="s">
        <v>38</v>
      </c>
      <c r="N19" s="92" t="s">
        <v>39</v>
      </c>
      <c r="O19" s="93" t="s">
        <v>40</v>
      </c>
      <c r="P19" s="94"/>
      <c r="Q19" s="94" t="s">
        <v>41</v>
      </c>
      <c r="R19" s="94"/>
      <c r="S19" s="93" t="s">
        <v>42</v>
      </c>
      <c r="T19" s="136"/>
    </row>
    <row r="20" ht="25" customHeight="1" spans="2:20">
      <c r="B20" s="62">
        <v>1</v>
      </c>
      <c r="C20" s="24" t="s">
        <v>43</v>
      </c>
      <c r="D20" s="24"/>
      <c r="E20" s="24"/>
      <c r="F20" s="24"/>
      <c r="G20" s="63" t="s">
        <v>44</v>
      </c>
      <c r="H20" s="63"/>
      <c r="I20" s="95" t="s">
        <v>45</v>
      </c>
      <c r="J20" s="95"/>
      <c r="K20" s="37">
        <v>30</v>
      </c>
      <c r="L20" s="96">
        <v>2500</v>
      </c>
      <c r="M20" s="96">
        <v>75000</v>
      </c>
      <c r="N20" s="97" t="s">
        <v>46</v>
      </c>
      <c r="O20" s="98" t="s">
        <v>47</v>
      </c>
      <c r="P20" s="99"/>
      <c r="Q20" s="98" t="s">
        <v>47</v>
      </c>
      <c r="R20" s="99"/>
      <c r="S20" s="137" t="s">
        <v>48</v>
      </c>
      <c r="T20" s="138"/>
    </row>
    <row r="21" ht="25" customHeight="1" spans="2:20">
      <c r="B21" s="64">
        <v>2</v>
      </c>
      <c r="C21" s="65" t="s">
        <v>49</v>
      </c>
      <c r="D21" s="65"/>
      <c r="E21" s="65"/>
      <c r="F21" s="65"/>
      <c r="G21" s="66" t="s">
        <v>44</v>
      </c>
      <c r="H21" s="66"/>
      <c r="I21" s="100" t="s">
        <v>50</v>
      </c>
      <c r="J21" s="100"/>
      <c r="K21" s="101">
        <v>350</v>
      </c>
      <c r="L21" s="102">
        <v>1</v>
      </c>
      <c r="M21" s="102">
        <v>350</v>
      </c>
      <c r="N21" s="103" t="s">
        <v>51</v>
      </c>
      <c r="O21" s="104" t="s">
        <v>47</v>
      </c>
      <c r="P21" s="105"/>
      <c r="Q21" s="104" t="s">
        <v>47</v>
      </c>
      <c r="R21" s="105"/>
      <c r="S21" s="139" t="s">
        <v>48</v>
      </c>
      <c r="T21" s="131"/>
    </row>
    <row r="22" ht="25" customHeight="1" spans="2:20">
      <c r="B22" s="62">
        <v>3</v>
      </c>
      <c r="C22" s="24" t="s">
        <v>52</v>
      </c>
      <c r="D22" s="24"/>
      <c r="E22" s="24"/>
      <c r="F22" s="24"/>
      <c r="G22" s="63" t="s">
        <v>44</v>
      </c>
      <c r="H22" s="63"/>
      <c r="I22" s="95" t="s">
        <v>53</v>
      </c>
      <c r="J22" s="95"/>
      <c r="K22" s="37">
        <v>30</v>
      </c>
      <c r="L22" s="96">
        <v>1</v>
      </c>
      <c r="M22" s="96">
        <v>30</v>
      </c>
      <c r="N22" s="106" t="s">
        <v>51</v>
      </c>
      <c r="O22" s="98" t="s">
        <v>47</v>
      </c>
      <c r="P22" s="99"/>
      <c r="Q22" s="98" t="s">
        <v>47</v>
      </c>
      <c r="R22" s="99"/>
      <c r="S22" s="137" t="s">
        <v>48</v>
      </c>
      <c r="T22" s="138"/>
    </row>
    <row r="23" ht="25" customHeight="1" spans="2:20">
      <c r="B23" s="64">
        <v>4</v>
      </c>
      <c r="C23" s="65" t="s">
        <v>52</v>
      </c>
      <c r="D23" s="65"/>
      <c r="E23" s="65"/>
      <c r="F23" s="65"/>
      <c r="G23" s="66" t="s">
        <v>44</v>
      </c>
      <c r="H23" s="66"/>
      <c r="I23" s="100" t="s">
        <v>54</v>
      </c>
      <c r="J23" s="100"/>
      <c r="K23" s="101">
        <v>30</v>
      </c>
      <c r="L23" s="102">
        <v>1</v>
      </c>
      <c r="M23" s="102">
        <v>30</v>
      </c>
      <c r="N23" s="103" t="s">
        <v>51</v>
      </c>
      <c r="O23" s="104" t="s">
        <v>47</v>
      </c>
      <c r="P23" s="105"/>
      <c r="Q23" s="104" t="s">
        <v>47</v>
      </c>
      <c r="R23" s="105"/>
      <c r="S23" s="139" t="s">
        <v>48</v>
      </c>
      <c r="T23" s="131"/>
    </row>
    <row r="24" ht="25" customHeight="1" spans="2:20">
      <c r="B24" s="62">
        <v>5</v>
      </c>
      <c r="C24" s="24" t="s">
        <v>52</v>
      </c>
      <c r="D24" s="24"/>
      <c r="E24" s="24"/>
      <c r="F24" s="24"/>
      <c r="G24" s="63" t="s">
        <v>44</v>
      </c>
      <c r="H24" s="63"/>
      <c r="I24" s="95" t="s">
        <v>55</v>
      </c>
      <c r="J24" s="95"/>
      <c r="K24" s="37">
        <v>30</v>
      </c>
      <c r="L24" s="96">
        <v>2</v>
      </c>
      <c r="M24" s="96">
        <v>60</v>
      </c>
      <c r="N24" s="106" t="s">
        <v>51</v>
      </c>
      <c r="O24" s="98" t="s">
        <v>47</v>
      </c>
      <c r="P24" s="99"/>
      <c r="Q24" s="98" t="s">
        <v>47</v>
      </c>
      <c r="R24" s="99"/>
      <c r="S24" s="137" t="s">
        <v>48</v>
      </c>
      <c r="T24" s="138"/>
    </row>
    <row r="25" ht="25" customHeight="1" spans="2:20">
      <c r="B25" s="64">
        <v>6</v>
      </c>
      <c r="C25" s="65" t="s">
        <v>52</v>
      </c>
      <c r="D25" s="65"/>
      <c r="E25" s="65"/>
      <c r="F25" s="65"/>
      <c r="G25" s="66">
        <v>190922000006</v>
      </c>
      <c r="H25" s="66"/>
      <c r="I25" s="100" t="s">
        <v>56</v>
      </c>
      <c r="J25" s="100"/>
      <c r="K25" s="101">
        <v>30</v>
      </c>
      <c r="L25" s="102">
        <v>1</v>
      </c>
      <c r="M25" s="102">
        <v>30</v>
      </c>
      <c r="N25" s="103" t="s">
        <v>51</v>
      </c>
      <c r="O25" s="104" t="s">
        <v>47</v>
      </c>
      <c r="P25" s="105"/>
      <c r="Q25" s="104" t="s">
        <v>47</v>
      </c>
      <c r="R25" s="105"/>
      <c r="S25" s="139" t="s">
        <v>48</v>
      </c>
      <c r="T25" s="131"/>
    </row>
    <row r="26" ht="25" customHeight="1" spans="2:20">
      <c r="B26" s="62">
        <v>7</v>
      </c>
      <c r="C26" s="24" t="s">
        <v>52</v>
      </c>
      <c r="D26" s="24"/>
      <c r="E26" s="24"/>
      <c r="F26" s="24"/>
      <c r="G26" s="63">
        <v>190922000006</v>
      </c>
      <c r="H26" s="63"/>
      <c r="I26" s="95" t="s">
        <v>57</v>
      </c>
      <c r="J26" s="95"/>
      <c r="K26" s="37">
        <v>30</v>
      </c>
      <c r="L26" s="96">
        <v>2</v>
      </c>
      <c r="M26" s="96">
        <v>60</v>
      </c>
      <c r="N26" s="106" t="s">
        <v>51</v>
      </c>
      <c r="O26" s="98" t="s">
        <v>47</v>
      </c>
      <c r="P26" s="99"/>
      <c r="Q26" s="98" t="s">
        <v>47</v>
      </c>
      <c r="R26" s="99"/>
      <c r="S26" s="137" t="s">
        <v>48</v>
      </c>
      <c r="T26" s="138"/>
    </row>
    <row r="27" ht="25" customHeight="1" spans="2:20">
      <c r="B27" s="64">
        <v>8</v>
      </c>
      <c r="C27" s="65" t="s">
        <v>52</v>
      </c>
      <c r="D27" s="65"/>
      <c r="E27" s="65"/>
      <c r="F27" s="65"/>
      <c r="G27" s="66">
        <v>191013000009</v>
      </c>
      <c r="H27" s="66"/>
      <c r="I27" s="100" t="s">
        <v>58</v>
      </c>
      <c r="J27" s="100"/>
      <c r="K27" s="101">
        <v>30</v>
      </c>
      <c r="L27" s="102">
        <v>1</v>
      </c>
      <c r="M27" s="102">
        <v>30</v>
      </c>
      <c r="N27" s="103" t="s">
        <v>51</v>
      </c>
      <c r="O27" s="104" t="s">
        <v>47</v>
      </c>
      <c r="P27" s="105"/>
      <c r="Q27" s="104" t="s">
        <v>47</v>
      </c>
      <c r="R27" s="105"/>
      <c r="S27" s="139" t="s">
        <v>48</v>
      </c>
      <c r="T27" s="131"/>
    </row>
    <row r="28" ht="25" customHeight="1" spans="2:20">
      <c r="B28" s="62">
        <v>9</v>
      </c>
      <c r="C28" s="24" t="s">
        <v>52</v>
      </c>
      <c r="D28" s="24"/>
      <c r="E28" s="24"/>
      <c r="F28" s="24"/>
      <c r="G28" s="63" t="s">
        <v>44</v>
      </c>
      <c r="H28" s="63"/>
      <c r="I28" s="95" t="s">
        <v>57</v>
      </c>
      <c r="J28" s="95"/>
      <c r="K28" s="37">
        <v>30</v>
      </c>
      <c r="L28" s="96">
        <v>1</v>
      </c>
      <c r="M28" s="96">
        <v>30</v>
      </c>
      <c r="N28" s="106" t="s">
        <v>51</v>
      </c>
      <c r="O28" s="98" t="s">
        <v>47</v>
      </c>
      <c r="P28" s="99"/>
      <c r="Q28" s="98" t="s">
        <v>47</v>
      </c>
      <c r="R28" s="99"/>
      <c r="S28" s="137" t="s">
        <v>48</v>
      </c>
      <c r="T28" s="138"/>
    </row>
    <row r="29" ht="25" customHeight="1" spans="2:20">
      <c r="B29" s="64">
        <v>10</v>
      </c>
      <c r="C29" s="65" t="s">
        <v>52</v>
      </c>
      <c r="D29" s="65"/>
      <c r="E29" s="65"/>
      <c r="F29" s="65"/>
      <c r="G29" s="66" t="s">
        <v>44</v>
      </c>
      <c r="H29" s="66"/>
      <c r="I29" s="100" t="s">
        <v>57</v>
      </c>
      <c r="J29" s="100"/>
      <c r="K29" s="101">
        <v>30</v>
      </c>
      <c r="L29" s="102">
        <v>1</v>
      </c>
      <c r="M29" s="102">
        <v>30</v>
      </c>
      <c r="N29" s="103" t="s">
        <v>51</v>
      </c>
      <c r="O29" s="104" t="s">
        <v>47</v>
      </c>
      <c r="P29" s="105"/>
      <c r="Q29" s="104" t="s">
        <v>47</v>
      </c>
      <c r="R29" s="105"/>
      <c r="S29" s="139" t="s">
        <v>48</v>
      </c>
      <c r="T29" s="131"/>
    </row>
    <row r="30" ht="25" customHeight="1" spans="2:20">
      <c r="B30" s="62">
        <v>11</v>
      </c>
      <c r="C30" s="24" t="s">
        <v>52</v>
      </c>
      <c r="D30" s="24"/>
      <c r="E30" s="24"/>
      <c r="F30" s="24"/>
      <c r="G30" s="63" t="s">
        <v>44</v>
      </c>
      <c r="H30" s="63"/>
      <c r="I30" s="95" t="s">
        <v>57</v>
      </c>
      <c r="J30" s="95"/>
      <c r="K30" s="37">
        <v>30</v>
      </c>
      <c r="L30" s="96">
        <v>1</v>
      </c>
      <c r="M30" s="96">
        <v>30</v>
      </c>
      <c r="N30" s="106" t="s">
        <v>59</v>
      </c>
      <c r="O30" s="99" t="s">
        <v>60</v>
      </c>
      <c r="P30" s="99"/>
      <c r="Q30" s="99" t="s">
        <v>61</v>
      </c>
      <c r="R30" s="99"/>
      <c r="S30" s="137" t="s">
        <v>48</v>
      </c>
      <c r="T30" s="138"/>
    </row>
    <row r="31" ht="25" customHeight="1" spans="2:20">
      <c r="B31" s="64">
        <v>12</v>
      </c>
      <c r="C31" s="65" t="s">
        <v>52</v>
      </c>
      <c r="D31" s="65"/>
      <c r="E31" s="65"/>
      <c r="F31" s="65"/>
      <c r="G31" s="66" t="s">
        <v>44</v>
      </c>
      <c r="H31" s="66"/>
      <c r="I31" s="100" t="s">
        <v>57</v>
      </c>
      <c r="J31" s="100"/>
      <c r="K31" s="101">
        <v>30</v>
      </c>
      <c r="L31" s="102">
        <v>1</v>
      </c>
      <c r="M31" s="102">
        <v>30</v>
      </c>
      <c r="N31" s="103" t="s">
        <v>59</v>
      </c>
      <c r="O31" s="104" t="s">
        <v>62</v>
      </c>
      <c r="P31" s="105"/>
      <c r="Q31" s="105" t="s">
        <v>61</v>
      </c>
      <c r="R31" s="105"/>
      <c r="S31" s="139" t="s">
        <v>48</v>
      </c>
      <c r="T31" s="131"/>
    </row>
    <row r="32" s="2" customFormat="1" ht="25" customHeight="1" spans="2:21">
      <c r="B32" s="68"/>
      <c r="C32" s="69"/>
      <c r="D32" s="69"/>
      <c r="E32" s="69"/>
      <c r="F32" s="69"/>
      <c r="G32" s="69"/>
      <c r="H32" s="70"/>
      <c r="I32" s="70"/>
      <c r="J32" s="70"/>
      <c r="K32" s="107"/>
      <c r="L32" s="108" t="s">
        <v>63</v>
      </c>
      <c r="M32" s="109">
        <f>SUM(M20:M31)</f>
        <v>75710</v>
      </c>
      <c r="N32" s="107"/>
      <c r="O32" s="110"/>
      <c r="P32" s="110"/>
      <c r="Q32" s="110"/>
      <c r="R32" s="140"/>
      <c r="S32" s="110"/>
      <c r="T32" s="141"/>
      <c r="U32" s="3"/>
    </row>
    <row r="33" s="2" customFormat="1" ht="5" customHeight="1" spans="2:21">
      <c r="B33" s="71"/>
      <c r="C33" s="72"/>
      <c r="D33" s="72"/>
      <c r="E33" s="72"/>
      <c r="F33" s="72"/>
      <c r="G33" s="72"/>
      <c r="H33" s="73"/>
      <c r="I33" s="73"/>
      <c r="J33" s="73"/>
      <c r="K33" s="111"/>
      <c r="L33" s="112"/>
      <c r="M33" s="113"/>
      <c r="N33" s="111"/>
      <c r="O33" s="114"/>
      <c r="P33" s="114"/>
      <c r="Q33" s="114"/>
      <c r="R33" s="142"/>
      <c r="S33" s="72"/>
      <c r="T33" s="143"/>
      <c r="U33" s="3"/>
    </row>
    <row r="34" s="2" customFormat="1" ht="25" customHeight="1" spans="2:21">
      <c r="B34" s="57" t="s">
        <v>64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135"/>
      <c r="U34" s="3"/>
    </row>
    <row r="35" s="2" customFormat="1" ht="25" customHeight="1" spans="2:21">
      <c r="B35" s="59" t="s">
        <v>32</v>
      </c>
      <c r="C35" s="60" t="s">
        <v>33</v>
      </c>
      <c r="D35" s="60"/>
      <c r="E35" s="60"/>
      <c r="F35" s="60"/>
      <c r="G35" s="160" t="s">
        <v>34</v>
      </c>
      <c r="H35" s="161"/>
      <c r="I35" s="166" t="s">
        <v>35</v>
      </c>
      <c r="J35" s="167"/>
      <c r="K35" s="89" t="s">
        <v>65</v>
      </c>
      <c r="L35" s="90" t="s">
        <v>37</v>
      </c>
      <c r="M35" s="91" t="s">
        <v>66</v>
      </c>
      <c r="N35" s="92" t="s">
        <v>39</v>
      </c>
      <c r="O35" s="93" t="s">
        <v>40</v>
      </c>
      <c r="P35" s="94"/>
      <c r="Q35" s="94" t="s">
        <v>41</v>
      </c>
      <c r="R35" s="94"/>
      <c r="S35" s="93" t="s">
        <v>42</v>
      </c>
      <c r="T35" s="136"/>
      <c r="U35" s="3"/>
    </row>
    <row r="36" s="2" customFormat="1" ht="25" customHeight="1" spans="2:21">
      <c r="B36" s="62">
        <v>1</v>
      </c>
      <c r="C36" s="24" t="s">
        <v>43</v>
      </c>
      <c r="D36" s="24"/>
      <c r="E36" s="24"/>
      <c r="F36" s="24"/>
      <c r="G36" s="63" t="s">
        <v>44</v>
      </c>
      <c r="H36" s="63"/>
      <c r="I36" s="95" t="s">
        <v>45</v>
      </c>
      <c r="J36" s="95"/>
      <c r="K36" s="37">
        <v>30</v>
      </c>
      <c r="L36" s="96">
        <v>2500</v>
      </c>
      <c r="M36" s="96">
        <v>75000</v>
      </c>
      <c r="N36" s="97" t="s">
        <v>46</v>
      </c>
      <c r="O36" s="98" t="s">
        <v>47</v>
      </c>
      <c r="P36" s="99"/>
      <c r="Q36" s="98" t="s">
        <v>47</v>
      </c>
      <c r="R36" s="99"/>
      <c r="S36" s="137" t="s">
        <v>48</v>
      </c>
      <c r="T36" s="138"/>
      <c r="U36" s="3"/>
    </row>
    <row r="37" s="2" customFormat="1" ht="25" customHeight="1" spans="2:21">
      <c r="B37" s="64">
        <v>2</v>
      </c>
      <c r="C37" s="65" t="s">
        <v>49</v>
      </c>
      <c r="D37" s="65"/>
      <c r="E37" s="65"/>
      <c r="F37" s="65"/>
      <c r="G37" s="66" t="s">
        <v>44</v>
      </c>
      <c r="H37" s="66"/>
      <c r="I37" s="100" t="s">
        <v>50</v>
      </c>
      <c r="J37" s="100"/>
      <c r="K37" s="101">
        <v>350</v>
      </c>
      <c r="L37" s="102">
        <v>1</v>
      </c>
      <c r="M37" s="102">
        <v>350</v>
      </c>
      <c r="N37" s="103" t="s">
        <v>51</v>
      </c>
      <c r="O37" s="104" t="s">
        <v>47</v>
      </c>
      <c r="P37" s="105"/>
      <c r="Q37" s="104" t="s">
        <v>47</v>
      </c>
      <c r="R37" s="105"/>
      <c r="S37" s="139" t="s">
        <v>48</v>
      </c>
      <c r="T37" s="131"/>
      <c r="U37" s="3"/>
    </row>
    <row r="38" s="2" customFormat="1" ht="25" customHeight="1" spans="2:21">
      <c r="B38" s="62">
        <v>3</v>
      </c>
      <c r="C38" s="24" t="s">
        <v>52</v>
      </c>
      <c r="D38" s="24"/>
      <c r="E38" s="24"/>
      <c r="F38" s="24"/>
      <c r="G38" s="63" t="s">
        <v>44</v>
      </c>
      <c r="H38" s="63"/>
      <c r="I38" s="95" t="s">
        <v>53</v>
      </c>
      <c r="J38" s="95"/>
      <c r="K38" s="37">
        <v>30</v>
      </c>
      <c r="L38" s="96">
        <v>1</v>
      </c>
      <c r="M38" s="96">
        <v>30</v>
      </c>
      <c r="N38" s="106" t="s">
        <v>51</v>
      </c>
      <c r="O38" s="98" t="s">
        <v>47</v>
      </c>
      <c r="P38" s="99"/>
      <c r="Q38" s="98" t="s">
        <v>47</v>
      </c>
      <c r="R38" s="99"/>
      <c r="S38" s="137" t="s">
        <v>48</v>
      </c>
      <c r="T38" s="138"/>
      <c r="U38" s="3"/>
    </row>
    <row r="39" s="2" customFormat="1" ht="25" customHeight="1" spans="2:21">
      <c r="B39" s="64">
        <v>4</v>
      </c>
      <c r="C39" s="65" t="s">
        <v>52</v>
      </c>
      <c r="D39" s="65"/>
      <c r="E39" s="65"/>
      <c r="F39" s="65"/>
      <c r="G39" s="66" t="s">
        <v>44</v>
      </c>
      <c r="H39" s="66"/>
      <c r="I39" s="100" t="s">
        <v>54</v>
      </c>
      <c r="J39" s="100"/>
      <c r="K39" s="101">
        <v>30</v>
      </c>
      <c r="L39" s="102">
        <v>1</v>
      </c>
      <c r="M39" s="102">
        <v>30</v>
      </c>
      <c r="N39" s="103" t="s">
        <v>51</v>
      </c>
      <c r="O39" s="104" t="s">
        <v>47</v>
      </c>
      <c r="P39" s="105"/>
      <c r="Q39" s="104" t="s">
        <v>47</v>
      </c>
      <c r="R39" s="105"/>
      <c r="S39" s="139" t="s">
        <v>48</v>
      </c>
      <c r="T39" s="131"/>
      <c r="U39" s="3"/>
    </row>
    <row r="40" s="2" customFormat="1" ht="25" customHeight="1" spans="2:21">
      <c r="B40" s="62">
        <v>5</v>
      </c>
      <c r="C40" s="24" t="s">
        <v>52</v>
      </c>
      <c r="D40" s="24"/>
      <c r="E40" s="24"/>
      <c r="F40" s="24"/>
      <c r="G40" s="63" t="s">
        <v>44</v>
      </c>
      <c r="H40" s="63"/>
      <c r="I40" s="95" t="s">
        <v>55</v>
      </c>
      <c r="J40" s="95"/>
      <c r="K40" s="37">
        <v>30</v>
      </c>
      <c r="L40" s="96">
        <v>2</v>
      </c>
      <c r="M40" s="96">
        <v>60</v>
      </c>
      <c r="N40" s="106" t="s">
        <v>51</v>
      </c>
      <c r="O40" s="98" t="s">
        <v>47</v>
      </c>
      <c r="P40" s="99"/>
      <c r="Q40" s="98" t="s">
        <v>47</v>
      </c>
      <c r="R40" s="99"/>
      <c r="S40" s="137" t="s">
        <v>48</v>
      </c>
      <c r="T40" s="138"/>
      <c r="U40" s="3"/>
    </row>
    <row r="41" s="2" customFormat="1" ht="25" customHeight="1" spans="2:21">
      <c r="B41" s="64">
        <v>6</v>
      </c>
      <c r="C41" s="65" t="s">
        <v>52</v>
      </c>
      <c r="D41" s="65"/>
      <c r="E41" s="65"/>
      <c r="F41" s="65"/>
      <c r="G41" s="66">
        <v>190922000006</v>
      </c>
      <c r="H41" s="66"/>
      <c r="I41" s="100" t="s">
        <v>56</v>
      </c>
      <c r="J41" s="100"/>
      <c r="K41" s="101">
        <v>30</v>
      </c>
      <c r="L41" s="102">
        <v>1</v>
      </c>
      <c r="M41" s="102">
        <v>30</v>
      </c>
      <c r="N41" s="103" t="s">
        <v>51</v>
      </c>
      <c r="O41" s="104" t="s">
        <v>47</v>
      </c>
      <c r="P41" s="105"/>
      <c r="Q41" s="104" t="s">
        <v>47</v>
      </c>
      <c r="R41" s="105"/>
      <c r="S41" s="139" t="s">
        <v>48</v>
      </c>
      <c r="T41" s="131"/>
      <c r="U41" s="3"/>
    </row>
    <row r="42" s="2" customFormat="1" ht="25" customHeight="1" spans="2:21">
      <c r="B42" s="62">
        <v>7</v>
      </c>
      <c r="C42" s="24" t="s">
        <v>52</v>
      </c>
      <c r="D42" s="24"/>
      <c r="E42" s="24"/>
      <c r="F42" s="24"/>
      <c r="G42" s="63">
        <v>190922000006</v>
      </c>
      <c r="H42" s="63"/>
      <c r="I42" s="95" t="s">
        <v>57</v>
      </c>
      <c r="J42" s="95"/>
      <c r="K42" s="37">
        <v>30</v>
      </c>
      <c r="L42" s="96">
        <v>2</v>
      </c>
      <c r="M42" s="96">
        <v>60</v>
      </c>
      <c r="N42" s="106" t="s">
        <v>51</v>
      </c>
      <c r="O42" s="98" t="s">
        <v>47</v>
      </c>
      <c r="P42" s="99"/>
      <c r="Q42" s="98" t="s">
        <v>47</v>
      </c>
      <c r="R42" s="99"/>
      <c r="S42" s="137" t="s">
        <v>48</v>
      </c>
      <c r="T42" s="138"/>
      <c r="U42" s="3"/>
    </row>
    <row r="43" s="2" customFormat="1" ht="25" customHeight="1" spans="2:21">
      <c r="B43" s="64">
        <v>8</v>
      </c>
      <c r="C43" s="65" t="s">
        <v>52</v>
      </c>
      <c r="D43" s="65"/>
      <c r="E43" s="65"/>
      <c r="F43" s="65"/>
      <c r="G43" s="66">
        <v>191013000009</v>
      </c>
      <c r="H43" s="66"/>
      <c r="I43" s="100" t="s">
        <v>58</v>
      </c>
      <c r="J43" s="100"/>
      <c r="K43" s="101">
        <v>30</v>
      </c>
      <c r="L43" s="102">
        <v>1</v>
      </c>
      <c r="M43" s="102">
        <v>30</v>
      </c>
      <c r="N43" s="103" t="s">
        <v>51</v>
      </c>
      <c r="O43" s="104" t="s">
        <v>47</v>
      </c>
      <c r="P43" s="105"/>
      <c r="Q43" s="104" t="s">
        <v>47</v>
      </c>
      <c r="R43" s="105"/>
      <c r="S43" s="139" t="s">
        <v>48</v>
      </c>
      <c r="T43" s="131"/>
      <c r="U43" s="3"/>
    </row>
    <row r="44" s="2" customFormat="1" ht="25" customHeight="1" spans="2:21">
      <c r="B44" s="62">
        <v>9</v>
      </c>
      <c r="C44" s="24" t="s">
        <v>52</v>
      </c>
      <c r="D44" s="24"/>
      <c r="E44" s="24"/>
      <c r="F44" s="24"/>
      <c r="G44" s="63" t="s">
        <v>44</v>
      </c>
      <c r="H44" s="63"/>
      <c r="I44" s="95" t="s">
        <v>57</v>
      </c>
      <c r="J44" s="95"/>
      <c r="K44" s="37">
        <v>30</v>
      </c>
      <c r="L44" s="96">
        <v>1</v>
      </c>
      <c r="M44" s="96">
        <v>30</v>
      </c>
      <c r="N44" s="106" t="s">
        <v>51</v>
      </c>
      <c r="O44" s="98" t="s">
        <v>47</v>
      </c>
      <c r="P44" s="99"/>
      <c r="Q44" s="98" t="s">
        <v>47</v>
      </c>
      <c r="R44" s="99"/>
      <c r="S44" s="137" t="s">
        <v>48</v>
      </c>
      <c r="T44" s="138"/>
      <c r="U44" s="3"/>
    </row>
    <row r="45" s="2" customFormat="1" ht="25" customHeight="1" spans="2:21">
      <c r="B45" s="64">
        <v>10</v>
      </c>
      <c r="C45" s="65" t="s">
        <v>52</v>
      </c>
      <c r="D45" s="65"/>
      <c r="E45" s="65"/>
      <c r="F45" s="65"/>
      <c r="G45" s="66" t="s">
        <v>44</v>
      </c>
      <c r="H45" s="66"/>
      <c r="I45" s="100" t="s">
        <v>57</v>
      </c>
      <c r="J45" s="100"/>
      <c r="K45" s="101">
        <v>30</v>
      </c>
      <c r="L45" s="102">
        <v>1</v>
      </c>
      <c r="M45" s="102">
        <v>30</v>
      </c>
      <c r="N45" s="103" t="s">
        <v>51</v>
      </c>
      <c r="O45" s="104" t="s">
        <v>47</v>
      </c>
      <c r="P45" s="105"/>
      <c r="Q45" s="104" t="s">
        <v>47</v>
      </c>
      <c r="R45" s="105"/>
      <c r="S45" s="139" t="s">
        <v>48</v>
      </c>
      <c r="T45" s="131"/>
      <c r="U45" s="3"/>
    </row>
    <row r="46" s="2" customFormat="1" ht="25" customHeight="1" spans="2:21">
      <c r="B46" s="62">
        <v>11</v>
      </c>
      <c r="C46" s="24" t="s">
        <v>52</v>
      </c>
      <c r="D46" s="24"/>
      <c r="E46" s="24"/>
      <c r="F46" s="24"/>
      <c r="G46" s="63" t="s">
        <v>44</v>
      </c>
      <c r="H46" s="63"/>
      <c r="I46" s="95" t="s">
        <v>57</v>
      </c>
      <c r="J46" s="95"/>
      <c r="K46" s="37">
        <v>30</v>
      </c>
      <c r="L46" s="96">
        <v>1</v>
      </c>
      <c r="M46" s="96">
        <v>30</v>
      </c>
      <c r="N46" s="106" t="s">
        <v>59</v>
      </c>
      <c r="O46" s="99" t="s">
        <v>60</v>
      </c>
      <c r="P46" s="99"/>
      <c r="Q46" s="99" t="s">
        <v>61</v>
      </c>
      <c r="R46" s="99"/>
      <c r="S46" s="137" t="s">
        <v>48</v>
      </c>
      <c r="T46" s="138"/>
      <c r="U46" s="3"/>
    </row>
    <row r="47" s="2" customFormat="1" ht="25" customHeight="1" spans="2:21">
      <c r="B47" s="64">
        <v>12</v>
      </c>
      <c r="C47" s="65" t="s">
        <v>52</v>
      </c>
      <c r="D47" s="65"/>
      <c r="E47" s="65"/>
      <c r="F47" s="65"/>
      <c r="G47" s="66" t="s">
        <v>44</v>
      </c>
      <c r="H47" s="66"/>
      <c r="I47" s="100" t="s">
        <v>57</v>
      </c>
      <c r="J47" s="100"/>
      <c r="K47" s="101">
        <v>30</v>
      </c>
      <c r="L47" s="102">
        <v>1</v>
      </c>
      <c r="M47" s="102">
        <v>30</v>
      </c>
      <c r="N47" s="103" t="s">
        <v>59</v>
      </c>
      <c r="O47" s="104" t="s">
        <v>62</v>
      </c>
      <c r="P47" s="105"/>
      <c r="Q47" s="105" t="s">
        <v>61</v>
      </c>
      <c r="R47" s="105"/>
      <c r="S47" s="139" t="s">
        <v>48</v>
      </c>
      <c r="T47" s="131"/>
      <c r="U47" s="3"/>
    </row>
    <row r="48" s="2" customFormat="1" ht="25" customHeight="1" spans="2:21">
      <c r="B48" s="68"/>
      <c r="C48" s="69"/>
      <c r="D48" s="69"/>
      <c r="E48" s="69"/>
      <c r="F48" s="69"/>
      <c r="G48" s="69"/>
      <c r="H48" s="70"/>
      <c r="I48" s="70"/>
      <c r="J48" s="70"/>
      <c r="K48" s="107"/>
      <c r="L48" s="148" t="s">
        <v>67</v>
      </c>
      <c r="M48" s="109">
        <f>SUM(M36:M47)</f>
        <v>75710</v>
      </c>
      <c r="N48" s="107"/>
      <c r="O48" s="110"/>
      <c r="P48" s="110"/>
      <c r="Q48" s="110"/>
      <c r="R48" s="140"/>
      <c r="S48" s="110"/>
      <c r="T48" s="141"/>
      <c r="U48" s="3"/>
    </row>
    <row r="49" s="2" customFormat="1" ht="25" customHeight="1" spans="2:21">
      <c r="B49" s="68"/>
      <c r="C49" s="69"/>
      <c r="D49" s="69"/>
      <c r="E49" s="69"/>
      <c r="F49" s="69"/>
      <c r="G49" s="144"/>
      <c r="H49" s="145" t="s">
        <v>68</v>
      </c>
      <c r="I49" s="149"/>
      <c r="J49" s="149"/>
      <c r="K49" s="145" t="s">
        <v>69</v>
      </c>
      <c r="L49" s="149"/>
      <c r="M49" s="150">
        <v>480758.5</v>
      </c>
      <c r="N49" s="150"/>
      <c r="O49" s="151" t="s">
        <v>70</v>
      </c>
      <c r="P49" s="150"/>
      <c r="Q49" s="150"/>
      <c r="R49" s="150"/>
      <c r="S49" s="150"/>
      <c r="T49" s="141"/>
      <c r="U49" s="3"/>
    </row>
    <row r="50" ht="25" customHeight="1" spans="2:20">
      <c r="B50" s="146" t="s">
        <v>71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52"/>
    </row>
  </sheetData>
  <mergeCells count="22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B13:T13"/>
    <mergeCell ref="B15:T15"/>
    <mergeCell ref="B16:T16"/>
    <mergeCell ref="B17:T17"/>
    <mergeCell ref="B18:T18"/>
    <mergeCell ref="C19:F19"/>
    <mergeCell ref="G19:H19"/>
    <mergeCell ref="I19:J19"/>
    <mergeCell ref="O19:P19"/>
    <mergeCell ref="Q19:R19"/>
    <mergeCell ref="S19:T19"/>
    <mergeCell ref="C20:F20"/>
    <mergeCell ref="G20:H20"/>
    <mergeCell ref="I20:J20"/>
    <mergeCell ref="O20:P20"/>
    <mergeCell ref="Q20:R20"/>
    <mergeCell ref="S20:T20"/>
    <mergeCell ref="C21:F21"/>
    <mergeCell ref="G21:H21"/>
    <mergeCell ref="I21:J21"/>
    <mergeCell ref="O21:P21"/>
    <mergeCell ref="Q21:R21"/>
    <mergeCell ref="S21:T21"/>
    <mergeCell ref="C22:F22"/>
    <mergeCell ref="G22:H22"/>
    <mergeCell ref="I22:J22"/>
    <mergeCell ref="O22:P22"/>
    <mergeCell ref="Q22:R22"/>
    <mergeCell ref="S22:T22"/>
    <mergeCell ref="C23:F23"/>
    <mergeCell ref="G23:H23"/>
    <mergeCell ref="I23:J23"/>
    <mergeCell ref="O23:P23"/>
    <mergeCell ref="Q23:R23"/>
    <mergeCell ref="S23:T23"/>
    <mergeCell ref="C24:F24"/>
    <mergeCell ref="G24:H24"/>
    <mergeCell ref="I24:J24"/>
    <mergeCell ref="O24:P24"/>
    <mergeCell ref="Q24:R24"/>
    <mergeCell ref="S24:T24"/>
    <mergeCell ref="C25:F25"/>
    <mergeCell ref="G25:H25"/>
    <mergeCell ref="I25:J25"/>
    <mergeCell ref="O25:P25"/>
    <mergeCell ref="Q25:R25"/>
    <mergeCell ref="S25:T25"/>
    <mergeCell ref="C26:F26"/>
    <mergeCell ref="G26:H26"/>
    <mergeCell ref="I26:J26"/>
    <mergeCell ref="O26:P26"/>
    <mergeCell ref="Q26:R26"/>
    <mergeCell ref="S26:T26"/>
    <mergeCell ref="C27:F27"/>
    <mergeCell ref="G27:H27"/>
    <mergeCell ref="I27:J27"/>
    <mergeCell ref="O27:P27"/>
    <mergeCell ref="Q27:R27"/>
    <mergeCell ref="S27:T27"/>
    <mergeCell ref="C28:F28"/>
    <mergeCell ref="G28:H28"/>
    <mergeCell ref="I28:J28"/>
    <mergeCell ref="O28:P28"/>
    <mergeCell ref="Q28:R28"/>
    <mergeCell ref="S28:T28"/>
    <mergeCell ref="C29:F29"/>
    <mergeCell ref="G29:H29"/>
    <mergeCell ref="I29:J29"/>
    <mergeCell ref="O29:P29"/>
    <mergeCell ref="Q29:R29"/>
    <mergeCell ref="S29:T29"/>
    <mergeCell ref="C30:F30"/>
    <mergeCell ref="G30:H30"/>
    <mergeCell ref="I30:J30"/>
    <mergeCell ref="O30:P30"/>
    <mergeCell ref="Q30:R30"/>
    <mergeCell ref="S30:T30"/>
    <mergeCell ref="C31:F31"/>
    <mergeCell ref="G31:H31"/>
    <mergeCell ref="I31:J31"/>
    <mergeCell ref="O31:P31"/>
    <mergeCell ref="Q31:R31"/>
    <mergeCell ref="S31:T31"/>
    <mergeCell ref="B34:T34"/>
    <mergeCell ref="C35:F35"/>
    <mergeCell ref="G35:H35"/>
    <mergeCell ref="I35:J35"/>
    <mergeCell ref="O35:P35"/>
    <mergeCell ref="Q35:R35"/>
    <mergeCell ref="S35:T35"/>
    <mergeCell ref="C36:F36"/>
    <mergeCell ref="G36:H36"/>
    <mergeCell ref="I36:J36"/>
    <mergeCell ref="O36:P36"/>
    <mergeCell ref="Q36:R36"/>
    <mergeCell ref="S36:T36"/>
    <mergeCell ref="C37:F37"/>
    <mergeCell ref="G37:H37"/>
    <mergeCell ref="I37:J37"/>
    <mergeCell ref="O37:P37"/>
    <mergeCell ref="Q37:R37"/>
    <mergeCell ref="S37:T37"/>
    <mergeCell ref="C38:F38"/>
    <mergeCell ref="G38:H38"/>
    <mergeCell ref="I38:J38"/>
    <mergeCell ref="O38:P38"/>
    <mergeCell ref="Q38:R38"/>
    <mergeCell ref="S38:T38"/>
    <mergeCell ref="C39:F39"/>
    <mergeCell ref="G39:H39"/>
    <mergeCell ref="I39:J39"/>
    <mergeCell ref="O39:P39"/>
    <mergeCell ref="Q39:R39"/>
    <mergeCell ref="S39:T39"/>
    <mergeCell ref="C40:F40"/>
    <mergeCell ref="G40:H40"/>
    <mergeCell ref="I40:J40"/>
    <mergeCell ref="O40:P40"/>
    <mergeCell ref="Q40:R40"/>
    <mergeCell ref="S40:T40"/>
    <mergeCell ref="C41:F41"/>
    <mergeCell ref="G41:H41"/>
    <mergeCell ref="I41:J41"/>
    <mergeCell ref="O41:P41"/>
    <mergeCell ref="Q41:R41"/>
    <mergeCell ref="S41:T41"/>
    <mergeCell ref="C42:F42"/>
    <mergeCell ref="G42:H42"/>
    <mergeCell ref="I42:J42"/>
    <mergeCell ref="O42:P42"/>
    <mergeCell ref="Q42:R42"/>
    <mergeCell ref="S42:T42"/>
    <mergeCell ref="C43:F43"/>
    <mergeCell ref="G43:H43"/>
    <mergeCell ref="I43:J43"/>
    <mergeCell ref="O43:P43"/>
    <mergeCell ref="Q43:R43"/>
    <mergeCell ref="S43:T43"/>
    <mergeCell ref="C44:F44"/>
    <mergeCell ref="G44:H44"/>
    <mergeCell ref="I44:J44"/>
    <mergeCell ref="O44:P44"/>
    <mergeCell ref="Q44:R44"/>
    <mergeCell ref="S44:T44"/>
    <mergeCell ref="C45:F45"/>
    <mergeCell ref="G45:H45"/>
    <mergeCell ref="I45:J45"/>
    <mergeCell ref="O45:P45"/>
    <mergeCell ref="Q45:R45"/>
    <mergeCell ref="S45:T45"/>
    <mergeCell ref="C46:F46"/>
    <mergeCell ref="G46:H46"/>
    <mergeCell ref="I46:J46"/>
    <mergeCell ref="O46:P46"/>
    <mergeCell ref="Q46:R46"/>
    <mergeCell ref="S46:T46"/>
    <mergeCell ref="C47:F47"/>
    <mergeCell ref="G47:H47"/>
    <mergeCell ref="I47:J47"/>
    <mergeCell ref="O47:P47"/>
    <mergeCell ref="Q47:R47"/>
    <mergeCell ref="S47:T47"/>
    <mergeCell ref="H49:J49"/>
    <mergeCell ref="K49:L49"/>
    <mergeCell ref="B50:T50"/>
  </mergeCells>
  <pageMargins left="1.10208333333333" right="0.393055555555556" top="0" bottom="0" header="0.5" footer="0.5"/>
  <pageSetup paperSize="5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78"/>
  <sheetViews>
    <sheetView tabSelected="1" workbookViewId="0">
      <selection activeCell="S68" sqref="S68:T6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15"/>
    </row>
    <row r="2" s="1" customFormat="1" ht="25" customHeight="1" spans="2:21">
      <c r="B2" s="7" t="s">
        <v>1</v>
      </c>
      <c r="C2" s="8"/>
      <c r="D2" s="9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4"/>
      <c r="Q2" s="74"/>
      <c r="R2" s="74"/>
      <c r="S2" s="74"/>
      <c r="T2" s="116"/>
      <c r="U2" s="117"/>
    </row>
    <row r="3" s="1" customFormat="1" ht="25" customHeight="1" spans="2:21">
      <c r="B3" s="7" t="s">
        <v>3</v>
      </c>
      <c r="C3" s="8"/>
      <c r="D3" s="8" t="s">
        <v>4</v>
      </c>
      <c r="E3" s="8"/>
      <c r="F3" s="8" t="s">
        <v>5</v>
      </c>
      <c r="G3" s="8"/>
      <c r="H3" s="8" t="s">
        <v>6</v>
      </c>
      <c r="I3" s="8"/>
      <c r="J3" s="8" t="s">
        <v>7</v>
      </c>
      <c r="K3" s="8"/>
      <c r="L3" s="8"/>
      <c r="M3" s="8"/>
      <c r="N3" s="8"/>
      <c r="O3" s="8"/>
      <c r="P3" s="74"/>
      <c r="Q3" s="74"/>
      <c r="R3" s="74"/>
      <c r="S3" s="74"/>
      <c r="T3" s="116"/>
      <c r="U3" s="117"/>
    </row>
    <row r="4" ht="25" customHeight="1" spans="2:20">
      <c r="B4" s="10" t="s">
        <v>8</v>
      </c>
      <c r="C4" s="11"/>
      <c r="D4" s="11"/>
      <c r="E4" s="12" t="s">
        <v>9</v>
      </c>
      <c r="F4" s="12"/>
      <c r="G4" s="12"/>
      <c r="H4" s="12" t="s">
        <v>10</v>
      </c>
      <c r="I4" s="12"/>
      <c r="J4" s="12"/>
      <c r="K4" s="75"/>
      <c r="L4" s="76"/>
      <c r="M4" s="77"/>
      <c r="N4" s="77"/>
      <c r="O4" s="77"/>
      <c r="P4" s="77"/>
      <c r="Q4" s="77"/>
      <c r="R4" s="77"/>
      <c r="S4" s="77"/>
      <c r="T4" s="118"/>
    </row>
    <row r="5" ht="5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19"/>
    </row>
    <row r="6" ht="25" customHeight="1" spans="2:20">
      <c r="B6" s="15" t="s">
        <v>11</v>
      </c>
      <c r="C6" s="16"/>
      <c r="D6" s="17" t="s">
        <v>12</v>
      </c>
      <c r="E6" s="18" t="s">
        <v>13</v>
      </c>
      <c r="F6" s="18"/>
      <c r="G6" s="18" t="s">
        <v>14</v>
      </c>
      <c r="H6" s="18"/>
      <c r="I6" s="18" t="s">
        <v>15</v>
      </c>
      <c r="J6" s="18"/>
      <c r="K6" s="18" t="s">
        <v>16</v>
      </c>
      <c r="L6" s="18"/>
      <c r="M6" s="18" t="s">
        <v>17</v>
      </c>
      <c r="N6" s="18"/>
      <c r="O6" s="78" t="s">
        <v>18</v>
      </c>
      <c r="P6" s="78"/>
      <c r="Q6" s="78" t="s">
        <v>19</v>
      </c>
      <c r="R6" s="78"/>
      <c r="S6" s="78" t="s">
        <v>20</v>
      </c>
      <c r="T6" s="120"/>
    </row>
    <row r="7" ht="25" customHeight="1" spans="2:20">
      <c r="B7" s="19" t="s">
        <v>21</v>
      </c>
      <c r="C7" s="20"/>
      <c r="D7" s="21" t="s">
        <v>22</v>
      </c>
      <c r="E7" s="22">
        <v>50</v>
      </c>
      <c r="F7" s="22"/>
      <c r="G7" s="22">
        <v>20</v>
      </c>
      <c r="H7" s="22"/>
      <c r="I7" s="22">
        <v>1300</v>
      </c>
      <c r="J7" s="22"/>
      <c r="K7" s="79">
        <v>0.52</v>
      </c>
      <c r="L7" s="79"/>
      <c r="M7" s="79">
        <v>0.52</v>
      </c>
      <c r="N7" s="79"/>
      <c r="O7" s="80">
        <v>0.52</v>
      </c>
      <c r="P7" s="80"/>
      <c r="Q7" s="121">
        <v>0.9</v>
      </c>
      <c r="R7" s="121"/>
      <c r="S7" s="121">
        <v>0.9</v>
      </c>
      <c r="T7" s="122"/>
    </row>
    <row r="8" ht="25" customHeight="1" spans="2:20">
      <c r="B8" s="23" t="s">
        <v>23</v>
      </c>
      <c r="C8" s="24"/>
      <c r="D8" s="21" t="s">
        <v>24</v>
      </c>
      <c r="E8" s="22">
        <v>20</v>
      </c>
      <c r="F8" s="22"/>
      <c r="G8" s="22">
        <v>20</v>
      </c>
      <c r="H8" s="22"/>
      <c r="I8" s="22">
        <v>1000</v>
      </c>
      <c r="J8" s="22"/>
      <c r="K8" s="79">
        <v>0.4</v>
      </c>
      <c r="L8" s="79"/>
      <c r="M8" s="79">
        <v>0.4</v>
      </c>
      <c r="N8" s="79"/>
      <c r="O8" s="80">
        <v>0.4</v>
      </c>
      <c r="P8" s="80"/>
      <c r="Q8" s="121">
        <v>0.7</v>
      </c>
      <c r="R8" s="121"/>
      <c r="S8" s="121">
        <v>0.7</v>
      </c>
      <c r="T8" s="122"/>
    </row>
    <row r="9" ht="25" customHeight="1" spans="2:20">
      <c r="B9" s="23" t="s">
        <v>25</v>
      </c>
      <c r="C9" s="24"/>
      <c r="D9" s="21" t="s">
        <v>26</v>
      </c>
      <c r="E9" s="22">
        <v>5</v>
      </c>
      <c r="F9" s="22"/>
      <c r="G9" s="22">
        <v>5</v>
      </c>
      <c r="H9" s="22"/>
      <c r="I9" s="22">
        <v>200</v>
      </c>
      <c r="J9" s="22"/>
      <c r="K9" s="79">
        <v>0.08</v>
      </c>
      <c r="L9" s="79"/>
      <c r="M9" s="79">
        <v>0.08</v>
      </c>
      <c r="N9" s="79"/>
      <c r="O9" s="80">
        <v>0.08</v>
      </c>
      <c r="P9" s="80"/>
      <c r="Q9" s="80">
        <v>0.5</v>
      </c>
      <c r="R9" s="80"/>
      <c r="S9" s="80">
        <v>0.5</v>
      </c>
      <c r="T9" s="123"/>
    </row>
    <row r="10" ht="25" customHeight="1" spans="2:20">
      <c r="B10" s="23"/>
      <c r="C10" s="21"/>
      <c r="D10" s="21"/>
      <c r="E10" s="22">
        <f t="shared" ref="E10:I10" si="0">SUM(E7:E9)</f>
        <v>75</v>
      </c>
      <c r="F10" s="22"/>
      <c r="G10" s="22">
        <f t="shared" si="0"/>
        <v>45</v>
      </c>
      <c r="H10" s="22"/>
      <c r="I10" s="22">
        <f t="shared" si="0"/>
        <v>2500</v>
      </c>
      <c r="J10" s="22"/>
      <c r="K10" s="81"/>
      <c r="L10" s="81"/>
      <c r="M10" s="81"/>
      <c r="N10" s="81"/>
      <c r="O10" s="24"/>
      <c r="P10" s="24"/>
      <c r="Q10" s="24"/>
      <c r="R10" s="24"/>
      <c r="S10" s="21"/>
      <c r="T10" s="124"/>
    </row>
    <row r="11" ht="5" customHeight="1" spans="2:20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125"/>
    </row>
    <row r="12" ht="25" customHeight="1" spans="2:20">
      <c r="B12" s="27" t="s">
        <v>72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26"/>
    </row>
    <row r="13" ht="25" customHeight="1" spans="2:20">
      <c r="B13" s="30" t="s">
        <v>73</v>
      </c>
      <c r="C13" s="31" t="s">
        <v>34</v>
      </c>
      <c r="D13" s="32"/>
      <c r="E13" s="31" t="s">
        <v>74</v>
      </c>
      <c r="F13" s="31" t="s">
        <v>75</v>
      </c>
      <c r="G13" s="31" t="s">
        <v>76</v>
      </c>
      <c r="H13" s="31" t="s">
        <v>77</v>
      </c>
      <c r="I13" s="31" t="s">
        <v>78</v>
      </c>
      <c r="J13" s="31" t="s">
        <v>79</v>
      </c>
      <c r="K13" s="31" t="s">
        <v>80</v>
      </c>
      <c r="L13" s="31" t="s">
        <v>34</v>
      </c>
      <c r="M13" s="32"/>
      <c r="N13" s="31" t="s">
        <v>74</v>
      </c>
      <c r="O13" s="31" t="s">
        <v>75</v>
      </c>
      <c r="P13" s="31" t="s">
        <v>76</v>
      </c>
      <c r="Q13" s="31" t="s">
        <v>77</v>
      </c>
      <c r="R13" s="31" t="s">
        <v>78</v>
      </c>
      <c r="S13" s="31" t="s">
        <v>79</v>
      </c>
      <c r="T13" s="127" t="s">
        <v>80</v>
      </c>
    </row>
    <row r="14" ht="25" customHeight="1" spans="2:20">
      <c r="B14" s="33" t="s">
        <v>81</v>
      </c>
      <c r="C14" s="34">
        <v>191025000038</v>
      </c>
      <c r="D14" s="35"/>
      <c r="E14" s="36" t="s">
        <v>82</v>
      </c>
      <c r="F14" s="36" t="s">
        <v>82</v>
      </c>
      <c r="G14" s="37">
        <v>20</v>
      </c>
      <c r="H14" s="37">
        <v>1000</v>
      </c>
      <c r="I14" s="82">
        <v>800</v>
      </c>
      <c r="J14" s="37">
        <v>200</v>
      </c>
      <c r="K14" s="83">
        <v>0.9</v>
      </c>
      <c r="L14" s="34">
        <v>191025000038</v>
      </c>
      <c r="M14" s="35"/>
      <c r="N14" s="36" t="s">
        <v>82</v>
      </c>
      <c r="O14" s="36" t="s">
        <v>82</v>
      </c>
      <c r="P14" s="37">
        <v>20</v>
      </c>
      <c r="Q14" s="37">
        <v>1000</v>
      </c>
      <c r="R14" s="82">
        <v>800</v>
      </c>
      <c r="S14" s="37">
        <v>200</v>
      </c>
      <c r="T14" s="128">
        <v>0.9</v>
      </c>
    </row>
    <row r="15" ht="25" customHeight="1" spans="2:20">
      <c r="B15" s="38"/>
      <c r="C15" s="34">
        <v>190922000006</v>
      </c>
      <c r="D15" s="35"/>
      <c r="E15" s="36" t="s">
        <v>82</v>
      </c>
      <c r="F15" s="39" t="s">
        <v>82</v>
      </c>
      <c r="G15" s="37">
        <v>21</v>
      </c>
      <c r="H15" s="37">
        <v>1200</v>
      </c>
      <c r="I15" s="82">
        <v>840</v>
      </c>
      <c r="J15" s="37">
        <v>360</v>
      </c>
      <c r="K15" s="83">
        <v>0.7</v>
      </c>
      <c r="L15" s="34">
        <v>190922000006</v>
      </c>
      <c r="M15" s="35"/>
      <c r="N15" s="36" t="s">
        <v>82</v>
      </c>
      <c r="O15" s="39" t="s">
        <v>82</v>
      </c>
      <c r="P15" s="37">
        <v>21</v>
      </c>
      <c r="Q15" s="37">
        <v>1200</v>
      </c>
      <c r="R15" s="82">
        <v>840</v>
      </c>
      <c r="S15" s="37">
        <v>360</v>
      </c>
      <c r="T15" s="128">
        <v>0.7</v>
      </c>
    </row>
    <row r="16" ht="25" customHeight="1" spans="2:20">
      <c r="B16" s="38"/>
      <c r="C16" s="34">
        <v>190828000021</v>
      </c>
      <c r="D16" s="35"/>
      <c r="E16" s="36" t="s">
        <v>82</v>
      </c>
      <c r="F16" s="36" t="s">
        <v>82</v>
      </c>
      <c r="G16" s="37">
        <v>22</v>
      </c>
      <c r="H16" s="37">
        <v>1400</v>
      </c>
      <c r="I16" s="82">
        <v>860</v>
      </c>
      <c r="J16" s="37">
        <v>540</v>
      </c>
      <c r="K16" s="84">
        <v>0.5</v>
      </c>
      <c r="L16" s="34">
        <v>190828000021</v>
      </c>
      <c r="M16" s="35"/>
      <c r="N16" s="36" t="s">
        <v>82</v>
      </c>
      <c r="O16" s="36" t="s">
        <v>82</v>
      </c>
      <c r="P16" s="37">
        <v>22</v>
      </c>
      <c r="Q16" s="37">
        <v>1400</v>
      </c>
      <c r="R16" s="82">
        <v>860</v>
      </c>
      <c r="S16" s="37">
        <v>540</v>
      </c>
      <c r="T16" s="129">
        <v>0.5</v>
      </c>
    </row>
    <row r="17" ht="25" customHeight="1" spans="2:20">
      <c r="B17" s="38"/>
      <c r="C17" s="34">
        <v>191025000041</v>
      </c>
      <c r="D17" s="35"/>
      <c r="E17" s="36" t="s">
        <v>82</v>
      </c>
      <c r="F17" s="36" t="s">
        <v>82</v>
      </c>
      <c r="G17" s="37">
        <v>23</v>
      </c>
      <c r="H17" s="37">
        <v>1500</v>
      </c>
      <c r="I17" s="82">
        <v>870</v>
      </c>
      <c r="J17" s="37">
        <v>630</v>
      </c>
      <c r="K17" s="84">
        <v>0.5</v>
      </c>
      <c r="L17" s="34">
        <v>191025000041</v>
      </c>
      <c r="M17" s="35"/>
      <c r="N17" s="36" t="s">
        <v>82</v>
      </c>
      <c r="O17" s="36" t="s">
        <v>82</v>
      </c>
      <c r="P17" s="37">
        <v>23</v>
      </c>
      <c r="Q17" s="37">
        <v>1500</v>
      </c>
      <c r="R17" s="82">
        <v>870</v>
      </c>
      <c r="S17" s="37">
        <v>630</v>
      </c>
      <c r="T17" s="129">
        <v>0.5</v>
      </c>
    </row>
    <row r="18" ht="1" customHeight="1" spans="2:20">
      <c r="B18" s="40"/>
      <c r="C18" s="41"/>
      <c r="D18" s="42"/>
      <c r="E18" s="43"/>
      <c r="F18" s="44"/>
      <c r="G18" s="44"/>
      <c r="H18" s="43"/>
      <c r="I18" s="44"/>
      <c r="J18" s="44"/>
      <c r="K18" s="43"/>
      <c r="L18" s="41"/>
      <c r="M18" s="41"/>
      <c r="N18" s="43"/>
      <c r="O18" s="44"/>
      <c r="P18" s="44"/>
      <c r="Q18" s="43"/>
      <c r="R18" s="44"/>
      <c r="S18" s="44"/>
      <c r="T18" s="130"/>
    </row>
    <row r="19" ht="25" customHeight="1" spans="2:20">
      <c r="B19" s="33" t="s">
        <v>83</v>
      </c>
      <c r="C19" s="34">
        <v>191025000038</v>
      </c>
      <c r="D19" s="35"/>
      <c r="E19" s="36" t="s">
        <v>82</v>
      </c>
      <c r="F19" s="36" t="s">
        <v>82</v>
      </c>
      <c r="G19" s="37">
        <v>20</v>
      </c>
      <c r="H19" s="37">
        <v>1000</v>
      </c>
      <c r="I19" s="82">
        <v>800</v>
      </c>
      <c r="J19" s="37">
        <v>200</v>
      </c>
      <c r="K19" s="83">
        <v>0.9</v>
      </c>
      <c r="L19" s="34">
        <v>191025000038</v>
      </c>
      <c r="M19" s="35"/>
      <c r="N19" s="36" t="s">
        <v>82</v>
      </c>
      <c r="O19" s="36" t="s">
        <v>82</v>
      </c>
      <c r="P19" s="37">
        <v>20</v>
      </c>
      <c r="Q19" s="37">
        <v>1000</v>
      </c>
      <c r="R19" s="82">
        <v>800</v>
      </c>
      <c r="S19" s="37">
        <v>200</v>
      </c>
      <c r="T19" s="128">
        <v>0.9</v>
      </c>
    </row>
    <row r="20" ht="25" customHeight="1" spans="2:20">
      <c r="B20" s="38"/>
      <c r="C20" s="34">
        <v>190922000006</v>
      </c>
      <c r="D20" s="35"/>
      <c r="E20" s="36" t="s">
        <v>82</v>
      </c>
      <c r="F20" s="39" t="s">
        <v>82</v>
      </c>
      <c r="G20" s="37">
        <v>21</v>
      </c>
      <c r="H20" s="37">
        <v>1200</v>
      </c>
      <c r="I20" s="82">
        <v>840</v>
      </c>
      <c r="J20" s="37">
        <v>360</v>
      </c>
      <c r="K20" s="83">
        <v>0.7</v>
      </c>
      <c r="L20" s="34">
        <v>190922000006</v>
      </c>
      <c r="M20" s="35"/>
      <c r="N20" s="36" t="s">
        <v>82</v>
      </c>
      <c r="O20" s="39" t="s">
        <v>82</v>
      </c>
      <c r="P20" s="37">
        <v>21</v>
      </c>
      <c r="Q20" s="37">
        <v>1200</v>
      </c>
      <c r="R20" s="82">
        <v>840</v>
      </c>
      <c r="S20" s="37">
        <v>360</v>
      </c>
      <c r="T20" s="128">
        <v>0.7</v>
      </c>
    </row>
    <row r="21" ht="25" customHeight="1" spans="2:20">
      <c r="B21" s="38"/>
      <c r="C21" s="34">
        <v>190828000021</v>
      </c>
      <c r="D21" s="35"/>
      <c r="E21" s="36" t="s">
        <v>82</v>
      </c>
      <c r="F21" s="36" t="s">
        <v>82</v>
      </c>
      <c r="G21" s="37">
        <v>22</v>
      </c>
      <c r="H21" s="37">
        <v>1400</v>
      </c>
      <c r="I21" s="82">
        <v>860</v>
      </c>
      <c r="J21" s="37">
        <v>540</v>
      </c>
      <c r="K21" s="84">
        <v>0.5</v>
      </c>
      <c r="L21" s="34">
        <v>190828000021</v>
      </c>
      <c r="M21" s="35"/>
      <c r="N21" s="36" t="s">
        <v>82</v>
      </c>
      <c r="O21" s="36" t="s">
        <v>82</v>
      </c>
      <c r="P21" s="37">
        <v>22</v>
      </c>
      <c r="Q21" s="37">
        <v>1400</v>
      </c>
      <c r="R21" s="82">
        <v>860</v>
      </c>
      <c r="S21" s="37">
        <v>540</v>
      </c>
      <c r="T21" s="129">
        <v>0.5</v>
      </c>
    </row>
    <row r="22" ht="25" customHeight="1" spans="2:20">
      <c r="B22" s="38"/>
      <c r="C22" s="34">
        <v>191025000041</v>
      </c>
      <c r="D22" s="35"/>
      <c r="E22" s="36" t="s">
        <v>82</v>
      </c>
      <c r="F22" s="36" t="s">
        <v>82</v>
      </c>
      <c r="G22" s="37">
        <v>23</v>
      </c>
      <c r="H22" s="37">
        <v>1500</v>
      </c>
      <c r="I22" s="82">
        <v>870</v>
      </c>
      <c r="J22" s="37">
        <v>630</v>
      </c>
      <c r="K22" s="84">
        <v>0.5</v>
      </c>
      <c r="L22" s="34">
        <v>191025000041</v>
      </c>
      <c r="M22" s="35"/>
      <c r="N22" s="36" t="s">
        <v>82</v>
      </c>
      <c r="O22" s="36" t="s">
        <v>82</v>
      </c>
      <c r="P22" s="37">
        <v>23</v>
      </c>
      <c r="Q22" s="37">
        <v>1500</v>
      </c>
      <c r="R22" s="82">
        <v>870</v>
      </c>
      <c r="S22" s="37">
        <v>630</v>
      </c>
      <c r="T22" s="129">
        <v>0.5</v>
      </c>
    </row>
    <row r="23" ht="25" customHeight="1" spans="2:20">
      <c r="B23" s="38"/>
      <c r="C23" s="34">
        <v>191025000041</v>
      </c>
      <c r="D23" s="35"/>
      <c r="E23" s="36" t="s">
        <v>82</v>
      </c>
      <c r="F23" s="36" t="s">
        <v>82</v>
      </c>
      <c r="G23" s="37">
        <v>23</v>
      </c>
      <c r="H23" s="37">
        <v>1500</v>
      </c>
      <c r="I23" s="82">
        <v>870</v>
      </c>
      <c r="J23" s="37">
        <v>630</v>
      </c>
      <c r="K23" s="84">
        <v>0.5</v>
      </c>
      <c r="L23" s="34">
        <v>191025000041</v>
      </c>
      <c r="M23" s="35"/>
      <c r="N23" s="36" t="s">
        <v>82</v>
      </c>
      <c r="O23" s="36" t="s">
        <v>82</v>
      </c>
      <c r="P23" s="37">
        <v>23</v>
      </c>
      <c r="Q23" s="37">
        <v>1500</v>
      </c>
      <c r="R23" s="82">
        <v>870</v>
      </c>
      <c r="S23" s="37">
        <v>630</v>
      </c>
      <c r="T23" s="129">
        <v>0.5</v>
      </c>
    </row>
    <row r="24" ht="1" customHeight="1" spans="2:20">
      <c r="B24" s="40"/>
      <c r="C24" s="41"/>
      <c r="D24" s="42"/>
      <c r="E24" s="43"/>
      <c r="F24" s="44"/>
      <c r="G24" s="44"/>
      <c r="H24" s="43"/>
      <c r="I24" s="44"/>
      <c r="J24" s="44"/>
      <c r="K24" s="43"/>
      <c r="L24" s="41"/>
      <c r="M24" s="41"/>
      <c r="N24" s="43"/>
      <c r="O24" s="44"/>
      <c r="P24" s="44"/>
      <c r="Q24" s="43"/>
      <c r="R24" s="44"/>
      <c r="S24" s="44"/>
      <c r="T24" s="130"/>
    </row>
    <row r="25" ht="25" customHeight="1" spans="2:20">
      <c r="B25" s="33" t="s">
        <v>84</v>
      </c>
      <c r="C25" s="34">
        <v>191025000041</v>
      </c>
      <c r="D25" s="35"/>
      <c r="E25" s="36" t="s">
        <v>82</v>
      </c>
      <c r="F25" s="36" t="s">
        <v>82</v>
      </c>
      <c r="G25" s="37">
        <v>23</v>
      </c>
      <c r="H25" s="37">
        <v>1500</v>
      </c>
      <c r="I25" s="82">
        <v>870</v>
      </c>
      <c r="J25" s="37">
        <v>630</v>
      </c>
      <c r="K25" s="84">
        <v>0.5</v>
      </c>
      <c r="L25" s="34">
        <v>191025000041</v>
      </c>
      <c r="M25" s="35"/>
      <c r="N25" s="36" t="s">
        <v>82</v>
      </c>
      <c r="O25" s="36" t="s">
        <v>82</v>
      </c>
      <c r="P25" s="37">
        <v>23</v>
      </c>
      <c r="Q25" s="37">
        <v>1500</v>
      </c>
      <c r="R25" s="82">
        <v>870</v>
      </c>
      <c r="S25" s="37">
        <v>630</v>
      </c>
      <c r="T25" s="129">
        <v>0.5</v>
      </c>
    </row>
    <row r="26" ht="25" customHeight="1" spans="2:20">
      <c r="B26" s="45"/>
      <c r="C26" s="46"/>
      <c r="D26" s="46"/>
      <c r="E26" s="47"/>
      <c r="F26" s="46"/>
      <c r="G26" s="46"/>
      <c r="H26" s="48">
        <f>SUM(H14:H25)</f>
        <v>13200</v>
      </c>
      <c r="I26" s="85">
        <f>SUM(I14:I25)</f>
        <v>8480</v>
      </c>
      <c r="J26" s="85">
        <f>SUM(J14:J25)</f>
        <v>4720</v>
      </c>
      <c r="K26" s="48"/>
      <c r="L26" s="86"/>
      <c r="M26" s="86"/>
      <c r="N26" s="48"/>
      <c r="O26" s="86"/>
      <c r="P26" s="86"/>
      <c r="Q26" s="48">
        <f>SUM(Q14:Q25)</f>
        <v>13200</v>
      </c>
      <c r="R26" s="85">
        <f>SUM(R14:R25)</f>
        <v>8480</v>
      </c>
      <c r="S26" s="85">
        <f>SUM(S14:S25)</f>
        <v>4720</v>
      </c>
      <c r="T26" s="131"/>
    </row>
    <row r="27" ht="25" customHeight="1" spans="2:20">
      <c r="B27" s="49" t="s">
        <v>85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132"/>
    </row>
    <row r="28" ht="5" customHeight="1" spans="2:20">
      <c r="B28" s="51"/>
      <c r="C28" s="52"/>
      <c r="D28" s="52"/>
      <c r="E28" s="53"/>
      <c r="F28" s="52"/>
      <c r="G28" s="52"/>
      <c r="H28" s="53"/>
      <c r="I28" s="52"/>
      <c r="J28" s="52"/>
      <c r="K28" s="53"/>
      <c r="L28" s="52"/>
      <c r="M28" s="52"/>
      <c r="N28" s="53"/>
      <c r="O28" s="52"/>
      <c r="P28" s="52"/>
      <c r="Q28" s="53"/>
      <c r="R28" s="53"/>
      <c r="S28" s="53"/>
      <c r="T28" s="133"/>
    </row>
    <row r="29" ht="25" customHeight="1" spans="2:20">
      <c r="B29" s="27" t="s">
        <v>86</v>
      </c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126"/>
    </row>
    <row r="30" ht="25" customHeight="1" spans="2:20">
      <c r="B30" s="54" t="s">
        <v>87</v>
      </c>
      <c r="C30" s="31" t="s">
        <v>34</v>
      </c>
      <c r="D30" s="32"/>
      <c r="E30" s="31" t="s">
        <v>74</v>
      </c>
      <c r="F30" s="31" t="s">
        <v>75</v>
      </c>
      <c r="G30" s="31" t="s">
        <v>76</v>
      </c>
      <c r="H30" s="31" t="s">
        <v>88</v>
      </c>
      <c r="I30" s="31" t="s">
        <v>78</v>
      </c>
      <c r="J30" s="31" t="s">
        <v>89</v>
      </c>
      <c r="K30" s="31" t="s">
        <v>80</v>
      </c>
      <c r="L30" s="31" t="s">
        <v>34</v>
      </c>
      <c r="M30" s="32"/>
      <c r="N30" s="31" t="s">
        <v>74</v>
      </c>
      <c r="O30" s="31" t="s">
        <v>75</v>
      </c>
      <c r="P30" s="31" t="s">
        <v>76</v>
      </c>
      <c r="Q30" s="31" t="s">
        <v>88</v>
      </c>
      <c r="R30" s="31" t="s">
        <v>78</v>
      </c>
      <c r="S30" s="31" t="s">
        <v>89</v>
      </c>
      <c r="T30" s="127" t="s">
        <v>80</v>
      </c>
    </row>
    <row r="31" ht="25" customHeight="1" spans="2:20">
      <c r="B31" s="33" t="s">
        <v>81</v>
      </c>
      <c r="C31" s="34">
        <v>191025000038</v>
      </c>
      <c r="D31" s="35"/>
      <c r="E31" s="36" t="s">
        <v>82</v>
      </c>
      <c r="F31" s="36" t="s">
        <v>82</v>
      </c>
      <c r="G31" s="37">
        <v>20</v>
      </c>
      <c r="H31" s="37">
        <v>1000</v>
      </c>
      <c r="I31" s="82">
        <v>800</v>
      </c>
      <c r="J31" s="37">
        <v>200</v>
      </c>
      <c r="K31" s="83">
        <v>0.9</v>
      </c>
      <c r="L31" s="34">
        <v>191025000038</v>
      </c>
      <c r="M31" s="35"/>
      <c r="N31" s="36" t="s">
        <v>82</v>
      </c>
      <c r="O31" s="36" t="s">
        <v>82</v>
      </c>
      <c r="P31" s="37">
        <v>20</v>
      </c>
      <c r="Q31" s="37">
        <v>1000</v>
      </c>
      <c r="R31" s="82">
        <v>800</v>
      </c>
      <c r="S31" s="37">
        <v>200</v>
      </c>
      <c r="T31" s="128">
        <v>0.9</v>
      </c>
    </row>
    <row r="32" ht="25" customHeight="1" spans="2:20">
      <c r="B32" s="38"/>
      <c r="C32" s="34">
        <v>190922000006</v>
      </c>
      <c r="D32" s="35"/>
      <c r="E32" s="36" t="s">
        <v>82</v>
      </c>
      <c r="F32" s="39" t="s">
        <v>82</v>
      </c>
      <c r="G32" s="37">
        <v>21</v>
      </c>
      <c r="H32" s="37">
        <v>1200</v>
      </c>
      <c r="I32" s="82">
        <v>840</v>
      </c>
      <c r="J32" s="37">
        <v>360</v>
      </c>
      <c r="K32" s="83">
        <v>0.7</v>
      </c>
      <c r="L32" s="34">
        <v>190922000006</v>
      </c>
      <c r="M32" s="35"/>
      <c r="N32" s="36" t="s">
        <v>82</v>
      </c>
      <c r="O32" s="39" t="s">
        <v>82</v>
      </c>
      <c r="P32" s="37">
        <v>21</v>
      </c>
      <c r="Q32" s="37">
        <v>1200</v>
      </c>
      <c r="R32" s="82">
        <v>840</v>
      </c>
      <c r="S32" s="37">
        <v>360</v>
      </c>
      <c r="T32" s="128">
        <v>0.7</v>
      </c>
    </row>
    <row r="33" ht="25" customHeight="1" spans="2:20">
      <c r="B33" s="38"/>
      <c r="C33" s="34">
        <v>190828000021</v>
      </c>
      <c r="D33" s="35"/>
      <c r="E33" s="36" t="s">
        <v>82</v>
      </c>
      <c r="F33" s="36" t="s">
        <v>82</v>
      </c>
      <c r="G33" s="37">
        <v>22</v>
      </c>
      <c r="H33" s="37">
        <v>1400</v>
      </c>
      <c r="I33" s="82">
        <v>860</v>
      </c>
      <c r="J33" s="37">
        <v>540</v>
      </c>
      <c r="K33" s="84">
        <v>0.5</v>
      </c>
      <c r="L33" s="34">
        <v>190828000021</v>
      </c>
      <c r="M33" s="35"/>
      <c r="N33" s="36" t="s">
        <v>82</v>
      </c>
      <c r="O33" s="36" t="s">
        <v>82</v>
      </c>
      <c r="P33" s="37">
        <v>22</v>
      </c>
      <c r="Q33" s="37">
        <v>1400</v>
      </c>
      <c r="R33" s="82">
        <v>860</v>
      </c>
      <c r="S33" s="37">
        <v>540</v>
      </c>
      <c r="T33" s="129">
        <v>0.5</v>
      </c>
    </row>
    <row r="34" ht="25" customHeight="1" spans="2:20">
      <c r="B34" s="38"/>
      <c r="C34" s="34">
        <v>191025000041</v>
      </c>
      <c r="D34" s="35"/>
      <c r="E34" s="36" t="s">
        <v>82</v>
      </c>
      <c r="F34" s="36" t="s">
        <v>82</v>
      </c>
      <c r="G34" s="37">
        <v>23</v>
      </c>
      <c r="H34" s="37">
        <v>1500</v>
      </c>
      <c r="I34" s="82">
        <v>870</v>
      </c>
      <c r="J34" s="37">
        <v>630</v>
      </c>
      <c r="K34" s="84">
        <v>0.5</v>
      </c>
      <c r="L34" s="34">
        <v>191025000041</v>
      </c>
      <c r="M34" s="35"/>
      <c r="N34" s="36" t="s">
        <v>82</v>
      </c>
      <c r="O34" s="36" t="s">
        <v>82</v>
      </c>
      <c r="P34" s="37">
        <v>23</v>
      </c>
      <c r="Q34" s="37">
        <v>1500</v>
      </c>
      <c r="R34" s="82">
        <v>870</v>
      </c>
      <c r="S34" s="37">
        <v>630</v>
      </c>
      <c r="T34" s="129">
        <v>0.5</v>
      </c>
    </row>
    <row r="35" ht="1" customHeight="1" spans="2:20">
      <c r="B35" s="40"/>
      <c r="C35" s="41"/>
      <c r="D35" s="42"/>
      <c r="E35" s="43"/>
      <c r="F35" s="44"/>
      <c r="G35" s="44"/>
      <c r="H35" s="43"/>
      <c r="I35" s="87"/>
      <c r="J35" s="87"/>
      <c r="K35" s="43"/>
      <c r="L35" s="41"/>
      <c r="M35" s="41"/>
      <c r="N35" s="43"/>
      <c r="O35" s="44"/>
      <c r="P35" s="44"/>
      <c r="Q35" s="43"/>
      <c r="R35" s="87"/>
      <c r="S35" s="87"/>
      <c r="T35" s="130"/>
    </row>
    <row r="36" ht="25" customHeight="1" spans="2:20">
      <c r="B36" s="33" t="s">
        <v>83</v>
      </c>
      <c r="C36" s="34">
        <v>191025000038</v>
      </c>
      <c r="D36" s="35"/>
      <c r="E36" s="36" t="s">
        <v>82</v>
      </c>
      <c r="F36" s="36" t="s">
        <v>82</v>
      </c>
      <c r="G36" s="37">
        <v>20</v>
      </c>
      <c r="H36" s="37">
        <v>1000</v>
      </c>
      <c r="I36" s="82">
        <v>800</v>
      </c>
      <c r="J36" s="37">
        <v>200</v>
      </c>
      <c r="K36" s="83">
        <v>0.9</v>
      </c>
      <c r="L36" s="34">
        <v>191025000038</v>
      </c>
      <c r="M36" s="35"/>
      <c r="N36" s="36" t="s">
        <v>82</v>
      </c>
      <c r="O36" s="36" t="s">
        <v>82</v>
      </c>
      <c r="P36" s="37">
        <v>20</v>
      </c>
      <c r="Q36" s="37">
        <v>1000</v>
      </c>
      <c r="R36" s="82">
        <v>800</v>
      </c>
      <c r="S36" s="37">
        <v>200</v>
      </c>
      <c r="T36" s="128">
        <v>0.9</v>
      </c>
    </row>
    <row r="37" ht="25" customHeight="1" spans="2:20">
      <c r="B37" s="38"/>
      <c r="C37" s="34">
        <v>190922000006</v>
      </c>
      <c r="D37" s="35"/>
      <c r="E37" s="36" t="s">
        <v>82</v>
      </c>
      <c r="F37" s="39" t="s">
        <v>82</v>
      </c>
      <c r="G37" s="37">
        <v>21</v>
      </c>
      <c r="H37" s="37">
        <v>1200</v>
      </c>
      <c r="I37" s="82">
        <v>840</v>
      </c>
      <c r="J37" s="37">
        <v>360</v>
      </c>
      <c r="K37" s="83">
        <v>0.7</v>
      </c>
      <c r="L37" s="34">
        <v>190922000006</v>
      </c>
      <c r="M37" s="35"/>
      <c r="N37" s="36" t="s">
        <v>82</v>
      </c>
      <c r="O37" s="39" t="s">
        <v>82</v>
      </c>
      <c r="P37" s="37">
        <v>21</v>
      </c>
      <c r="Q37" s="37">
        <v>1200</v>
      </c>
      <c r="R37" s="82">
        <v>840</v>
      </c>
      <c r="S37" s="37">
        <v>360</v>
      </c>
      <c r="T37" s="128">
        <v>0.7</v>
      </c>
    </row>
    <row r="38" ht="25" customHeight="1" spans="2:20">
      <c r="B38" s="38"/>
      <c r="C38" s="34">
        <v>190828000021</v>
      </c>
      <c r="D38" s="35"/>
      <c r="E38" s="36" t="s">
        <v>82</v>
      </c>
      <c r="F38" s="36" t="s">
        <v>82</v>
      </c>
      <c r="G38" s="37">
        <v>22</v>
      </c>
      <c r="H38" s="37">
        <v>1400</v>
      </c>
      <c r="I38" s="82">
        <v>860</v>
      </c>
      <c r="J38" s="37">
        <v>540</v>
      </c>
      <c r="K38" s="84">
        <v>0.5</v>
      </c>
      <c r="L38" s="34">
        <v>190828000021</v>
      </c>
      <c r="M38" s="35"/>
      <c r="N38" s="36" t="s">
        <v>82</v>
      </c>
      <c r="O38" s="36" t="s">
        <v>82</v>
      </c>
      <c r="P38" s="37">
        <v>22</v>
      </c>
      <c r="Q38" s="37">
        <v>1400</v>
      </c>
      <c r="R38" s="82">
        <v>860</v>
      </c>
      <c r="S38" s="37">
        <v>540</v>
      </c>
      <c r="T38" s="129">
        <v>0.5</v>
      </c>
    </row>
    <row r="39" ht="25" customHeight="1" spans="2:20">
      <c r="B39" s="38"/>
      <c r="C39" s="34">
        <v>191025000041</v>
      </c>
      <c r="D39" s="35"/>
      <c r="E39" s="36" t="s">
        <v>82</v>
      </c>
      <c r="F39" s="36" t="s">
        <v>82</v>
      </c>
      <c r="G39" s="37">
        <v>23</v>
      </c>
      <c r="H39" s="37">
        <v>1500</v>
      </c>
      <c r="I39" s="82">
        <v>870</v>
      </c>
      <c r="J39" s="37">
        <v>630</v>
      </c>
      <c r="K39" s="84">
        <v>0.5</v>
      </c>
      <c r="L39" s="34">
        <v>191025000041</v>
      </c>
      <c r="M39" s="35"/>
      <c r="N39" s="36" t="s">
        <v>82</v>
      </c>
      <c r="O39" s="36" t="s">
        <v>82</v>
      </c>
      <c r="P39" s="37">
        <v>23</v>
      </c>
      <c r="Q39" s="37">
        <v>1500</v>
      </c>
      <c r="R39" s="82">
        <v>870</v>
      </c>
      <c r="S39" s="37">
        <v>630</v>
      </c>
      <c r="T39" s="129">
        <v>0.5</v>
      </c>
    </row>
    <row r="40" ht="25" customHeight="1" spans="2:20">
      <c r="B40" s="38"/>
      <c r="C40" s="34">
        <v>191025000041</v>
      </c>
      <c r="D40" s="35"/>
      <c r="E40" s="36" t="s">
        <v>82</v>
      </c>
      <c r="F40" s="36" t="s">
        <v>82</v>
      </c>
      <c r="G40" s="37">
        <v>23</v>
      </c>
      <c r="H40" s="37">
        <v>1500</v>
      </c>
      <c r="I40" s="82">
        <v>870</v>
      </c>
      <c r="J40" s="37">
        <v>630</v>
      </c>
      <c r="K40" s="84">
        <v>0.5</v>
      </c>
      <c r="L40" s="34">
        <v>191025000041</v>
      </c>
      <c r="M40" s="35"/>
      <c r="N40" s="36" t="s">
        <v>82</v>
      </c>
      <c r="O40" s="36" t="s">
        <v>82</v>
      </c>
      <c r="P40" s="37">
        <v>23</v>
      </c>
      <c r="Q40" s="37">
        <v>1500</v>
      </c>
      <c r="R40" s="82">
        <v>870</v>
      </c>
      <c r="S40" s="37">
        <v>630</v>
      </c>
      <c r="T40" s="129">
        <v>0.5</v>
      </c>
    </row>
    <row r="41" ht="1" customHeight="1" spans="2:20">
      <c r="B41" s="40"/>
      <c r="C41" s="41"/>
      <c r="D41" s="42"/>
      <c r="E41" s="43"/>
      <c r="F41" s="44"/>
      <c r="G41" s="44"/>
      <c r="H41" s="43"/>
      <c r="I41" s="87"/>
      <c r="J41" s="87"/>
      <c r="K41" s="43"/>
      <c r="L41" s="41"/>
      <c r="M41" s="41"/>
      <c r="N41" s="43"/>
      <c r="O41" s="44"/>
      <c r="P41" s="44"/>
      <c r="Q41" s="43"/>
      <c r="R41" s="87"/>
      <c r="S41" s="87"/>
      <c r="T41" s="130"/>
    </row>
    <row r="42" ht="25" customHeight="1" spans="2:20">
      <c r="B42" s="33" t="s">
        <v>84</v>
      </c>
      <c r="C42" s="34">
        <v>191025000041</v>
      </c>
      <c r="D42" s="35"/>
      <c r="E42" s="36" t="s">
        <v>82</v>
      </c>
      <c r="F42" s="36" t="s">
        <v>82</v>
      </c>
      <c r="G42" s="37">
        <v>23</v>
      </c>
      <c r="H42" s="37">
        <v>1500</v>
      </c>
      <c r="I42" s="82">
        <v>870</v>
      </c>
      <c r="J42" s="37">
        <v>630</v>
      </c>
      <c r="K42" s="84">
        <v>0.5</v>
      </c>
      <c r="L42" s="34">
        <v>191025000041</v>
      </c>
      <c r="M42" s="35"/>
      <c r="N42" s="36" t="s">
        <v>82</v>
      </c>
      <c r="O42" s="36" t="s">
        <v>82</v>
      </c>
      <c r="P42" s="37">
        <v>23</v>
      </c>
      <c r="Q42" s="37">
        <v>1500</v>
      </c>
      <c r="R42" s="82">
        <v>870</v>
      </c>
      <c r="S42" s="37">
        <v>630</v>
      </c>
      <c r="T42" s="129">
        <v>0.5</v>
      </c>
    </row>
    <row r="43" ht="25" customHeight="1" spans="2:20">
      <c r="B43" s="45"/>
      <c r="C43" s="46"/>
      <c r="D43" s="46"/>
      <c r="E43" s="55"/>
      <c r="F43" s="46"/>
      <c r="G43" s="46"/>
      <c r="H43" s="48">
        <f>SUM(H31:H42)</f>
        <v>13200</v>
      </c>
      <c r="I43" s="85">
        <f>SUM(I31:I42)</f>
        <v>8480</v>
      </c>
      <c r="J43" s="85">
        <f>SUM(J31:J42)</f>
        <v>4720</v>
      </c>
      <c r="K43" s="55"/>
      <c r="L43" s="46"/>
      <c r="M43" s="46"/>
      <c r="N43" s="55"/>
      <c r="O43" s="46"/>
      <c r="P43" s="46"/>
      <c r="Q43" s="48">
        <f>SUM(Q31:Q42)</f>
        <v>13200</v>
      </c>
      <c r="R43" s="85">
        <f>SUM(R31:R42)</f>
        <v>8480</v>
      </c>
      <c r="S43" s="85">
        <f>SUM(S31:S42)</f>
        <v>4720</v>
      </c>
      <c r="T43" s="134"/>
    </row>
    <row r="44" ht="25" customHeight="1" spans="2:20">
      <c r="B44" s="56" t="s">
        <v>90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32"/>
    </row>
    <row r="45" ht="5" customHeight="1" spans="2:20"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25"/>
    </row>
    <row r="46" ht="25" customHeight="1" spans="2:20">
      <c r="B46" s="57" t="s">
        <v>31</v>
      </c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135"/>
    </row>
    <row r="47" ht="25" customHeight="1" spans="2:20">
      <c r="B47" s="59" t="s">
        <v>32</v>
      </c>
      <c r="C47" s="60" t="s">
        <v>33</v>
      </c>
      <c r="D47" s="60"/>
      <c r="E47" s="60"/>
      <c r="F47" s="60"/>
      <c r="G47" s="61" t="s">
        <v>91</v>
      </c>
      <c r="H47" s="61"/>
      <c r="I47" s="88" t="s">
        <v>92</v>
      </c>
      <c r="J47" s="88"/>
      <c r="K47" s="89" t="s">
        <v>36</v>
      </c>
      <c r="L47" s="90" t="s">
        <v>37</v>
      </c>
      <c r="M47" s="91" t="s">
        <v>38</v>
      </c>
      <c r="N47" s="92" t="s">
        <v>39</v>
      </c>
      <c r="O47" s="93" t="s">
        <v>40</v>
      </c>
      <c r="P47" s="94"/>
      <c r="Q47" s="94" t="s">
        <v>41</v>
      </c>
      <c r="R47" s="94"/>
      <c r="S47" s="93" t="s">
        <v>42</v>
      </c>
      <c r="T47" s="136"/>
    </row>
    <row r="48" ht="25" customHeight="1" spans="2:20">
      <c r="B48" s="62">
        <v>1</v>
      </c>
      <c r="C48" s="24" t="s">
        <v>43</v>
      </c>
      <c r="D48" s="24"/>
      <c r="E48" s="24"/>
      <c r="F48" s="24"/>
      <c r="G48" s="63" t="s">
        <v>44</v>
      </c>
      <c r="H48" s="63"/>
      <c r="I48" s="95" t="s">
        <v>45</v>
      </c>
      <c r="J48" s="95"/>
      <c r="K48" s="37">
        <v>30</v>
      </c>
      <c r="L48" s="96">
        <v>2500</v>
      </c>
      <c r="M48" s="96">
        <v>75000</v>
      </c>
      <c r="N48" s="97" t="s">
        <v>46</v>
      </c>
      <c r="O48" s="98" t="s">
        <v>47</v>
      </c>
      <c r="P48" s="99"/>
      <c r="Q48" s="98" t="s">
        <v>47</v>
      </c>
      <c r="R48" s="99"/>
      <c r="S48" s="137" t="s">
        <v>48</v>
      </c>
      <c r="T48" s="138"/>
    </row>
    <row r="49" ht="25" customHeight="1" spans="2:20">
      <c r="B49" s="64">
        <v>2</v>
      </c>
      <c r="C49" s="65" t="s">
        <v>49</v>
      </c>
      <c r="D49" s="65"/>
      <c r="E49" s="65"/>
      <c r="F49" s="65"/>
      <c r="G49" s="66" t="s">
        <v>44</v>
      </c>
      <c r="H49" s="66"/>
      <c r="I49" s="100" t="s">
        <v>50</v>
      </c>
      <c r="J49" s="100"/>
      <c r="K49" s="101">
        <v>350</v>
      </c>
      <c r="L49" s="102">
        <v>1</v>
      </c>
      <c r="M49" s="102">
        <v>350</v>
      </c>
      <c r="N49" s="103" t="s">
        <v>51</v>
      </c>
      <c r="O49" s="104" t="s">
        <v>47</v>
      </c>
      <c r="P49" s="105"/>
      <c r="Q49" s="104" t="s">
        <v>47</v>
      </c>
      <c r="R49" s="105"/>
      <c r="S49" s="139" t="s">
        <v>48</v>
      </c>
      <c r="T49" s="131"/>
    </row>
    <row r="50" ht="25" customHeight="1" spans="2:20">
      <c r="B50" s="62">
        <v>3</v>
      </c>
      <c r="C50" s="24" t="s">
        <v>52</v>
      </c>
      <c r="D50" s="24"/>
      <c r="E50" s="24"/>
      <c r="F50" s="24"/>
      <c r="G50" s="63" t="s">
        <v>44</v>
      </c>
      <c r="H50" s="63"/>
      <c r="I50" s="95" t="s">
        <v>53</v>
      </c>
      <c r="J50" s="95"/>
      <c r="K50" s="37">
        <v>30</v>
      </c>
      <c r="L50" s="96">
        <v>1</v>
      </c>
      <c r="M50" s="96">
        <v>30</v>
      </c>
      <c r="N50" s="106" t="s">
        <v>51</v>
      </c>
      <c r="O50" s="98" t="s">
        <v>47</v>
      </c>
      <c r="P50" s="99"/>
      <c r="Q50" s="98" t="s">
        <v>47</v>
      </c>
      <c r="R50" s="99"/>
      <c r="S50" s="137" t="s">
        <v>48</v>
      </c>
      <c r="T50" s="138"/>
    </row>
    <row r="51" ht="25" customHeight="1" spans="2:20">
      <c r="B51" s="64">
        <v>4</v>
      </c>
      <c r="C51" s="65" t="s">
        <v>52</v>
      </c>
      <c r="D51" s="65"/>
      <c r="E51" s="65"/>
      <c r="F51" s="65"/>
      <c r="G51" s="66" t="s">
        <v>44</v>
      </c>
      <c r="H51" s="66"/>
      <c r="I51" s="100" t="s">
        <v>54</v>
      </c>
      <c r="J51" s="100"/>
      <c r="K51" s="101">
        <v>30</v>
      </c>
      <c r="L51" s="102">
        <v>1</v>
      </c>
      <c r="M51" s="102">
        <v>30</v>
      </c>
      <c r="N51" s="103" t="s">
        <v>51</v>
      </c>
      <c r="O51" s="104" t="s">
        <v>47</v>
      </c>
      <c r="P51" s="105"/>
      <c r="Q51" s="104" t="s">
        <v>47</v>
      </c>
      <c r="R51" s="105"/>
      <c r="S51" s="139" t="s">
        <v>48</v>
      </c>
      <c r="T51" s="131"/>
    </row>
    <row r="52" ht="25" customHeight="1" spans="2:20">
      <c r="B52" s="62">
        <v>5</v>
      </c>
      <c r="C52" s="24" t="s">
        <v>52</v>
      </c>
      <c r="D52" s="24"/>
      <c r="E52" s="24"/>
      <c r="F52" s="24"/>
      <c r="G52" s="63" t="s">
        <v>44</v>
      </c>
      <c r="H52" s="63"/>
      <c r="I52" s="95" t="s">
        <v>55</v>
      </c>
      <c r="J52" s="95"/>
      <c r="K52" s="37">
        <v>30</v>
      </c>
      <c r="L52" s="96">
        <v>2</v>
      </c>
      <c r="M52" s="96">
        <v>60</v>
      </c>
      <c r="N52" s="106" t="s">
        <v>51</v>
      </c>
      <c r="O52" s="98" t="s">
        <v>47</v>
      </c>
      <c r="P52" s="99"/>
      <c r="Q52" s="98" t="s">
        <v>47</v>
      </c>
      <c r="R52" s="99"/>
      <c r="S52" s="137" t="s">
        <v>48</v>
      </c>
      <c r="T52" s="138"/>
    </row>
    <row r="53" ht="25" customHeight="1" spans="2:20">
      <c r="B53" s="64">
        <v>6</v>
      </c>
      <c r="C53" s="65" t="s">
        <v>52</v>
      </c>
      <c r="D53" s="65"/>
      <c r="E53" s="65"/>
      <c r="F53" s="65"/>
      <c r="G53" s="67">
        <v>190922000006</v>
      </c>
      <c r="H53" s="67"/>
      <c r="I53" s="100" t="s">
        <v>56</v>
      </c>
      <c r="J53" s="100"/>
      <c r="K53" s="101">
        <v>30</v>
      </c>
      <c r="L53" s="102">
        <v>1</v>
      </c>
      <c r="M53" s="102">
        <v>30</v>
      </c>
      <c r="N53" s="103" t="s">
        <v>51</v>
      </c>
      <c r="O53" s="104" t="s">
        <v>47</v>
      </c>
      <c r="P53" s="105"/>
      <c r="Q53" s="104" t="s">
        <v>47</v>
      </c>
      <c r="R53" s="105"/>
      <c r="S53" s="139" t="s">
        <v>48</v>
      </c>
      <c r="T53" s="131"/>
    </row>
    <row r="54" ht="25" customHeight="1" spans="2:20">
      <c r="B54" s="62">
        <v>7</v>
      </c>
      <c r="C54" s="24" t="s">
        <v>52</v>
      </c>
      <c r="D54" s="24"/>
      <c r="E54" s="24"/>
      <c r="F54" s="24"/>
      <c r="G54" s="35">
        <v>190922000006</v>
      </c>
      <c r="H54" s="35"/>
      <c r="I54" s="95" t="s">
        <v>57</v>
      </c>
      <c r="J54" s="95"/>
      <c r="K54" s="37">
        <v>30</v>
      </c>
      <c r="L54" s="96">
        <v>2</v>
      </c>
      <c r="M54" s="96">
        <v>60</v>
      </c>
      <c r="N54" s="106" t="s">
        <v>51</v>
      </c>
      <c r="O54" s="98" t="s">
        <v>47</v>
      </c>
      <c r="P54" s="99"/>
      <c r="Q54" s="98" t="s">
        <v>47</v>
      </c>
      <c r="R54" s="99"/>
      <c r="S54" s="137" t="s">
        <v>48</v>
      </c>
      <c r="T54" s="138"/>
    </row>
    <row r="55" ht="25" customHeight="1" spans="2:20">
      <c r="B55" s="64">
        <v>8</v>
      </c>
      <c r="C55" s="65" t="s">
        <v>52</v>
      </c>
      <c r="D55" s="65"/>
      <c r="E55" s="65"/>
      <c r="F55" s="65"/>
      <c r="G55" s="67">
        <v>191013000009</v>
      </c>
      <c r="H55" s="67"/>
      <c r="I55" s="100" t="s">
        <v>58</v>
      </c>
      <c r="J55" s="100"/>
      <c r="K55" s="101">
        <v>30</v>
      </c>
      <c r="L55" s="102">
        <v>1</v>
      </c>
      <c r="M55" s="102">
        <v>30</v>
      </c>
      <c r="N55" s="103" t="s">
        <v>51</v>
      </c>
      <c r="O55" s="104" t="s">
        <v>47</v>
      </c>
      <c r="P55" s="105"/>
      <c r="Q55" s="104" t="s">
        <v>47</v>
      </c>
      <c r="R55" s="105"/>
      <c r="S55" s="139" t="s">
        <v>48</v>
      </c>
      <c r="T55" s="131"/>
    </row>
    <row r="56" ht="25" customHeight="1" spans="2:20">
      <c r="B56" s="62">
        <v>9</v>
      </c>
      <c r="C56" s="24" t="s">
        <v>52</v>
      </c>
      <c r="D56" s="24"/>
      <c r="E56" s="24"/>
      <c r="F56" s="24"/>
      <c r="G56" s="63" t="s">
        <v>44</v>
      </c>
      <c r="H56" s="63"/>
      <c r="I56" s="95" t="s">
        <v>57</v>
      </c>
      <c r="J56" s="95"/>
      <c r="K56" s="37">
        <v>30</v>
      </c>
      <c r="L56" s="96">
        <v>1</v>
      </c>
      <c r="M56" s="96">
        <v>30</v>
      </c>
      <c r="N56" s="106" t="s">
        <v>51</v>
      </c>
      <c r="O56" s="98" t="s">
        <v>47</v>
      </c>
      <c r="P56" s="99"/>
      <c r="Q56" s="98" t="s">
        <v>47</v>
      </c>
      <c r="R56" s="99"/>
      <c r="S56" s="137" t="s">
        <v>48</v>
      </c>
      <c r="T56" s="138"/>
    </row>
    <row r="57" ht="25" customHeight="1" spans="2:20">
      <c r="B57" s="64">
        <v>10</v>
      </c>
      <c r="C57" s="65" t="s">
        <v>52</v>
      </c>
      <c r="D57" s="65"/>
      <c r="E57" s="65"/>
      <c r="F57" s="65"/>
      <c r="G57" s="66" t="s">
        <v>44</v>
      </c>
      <c r="H57" s="66"/>
      <c r="I57" s="100" t="s">
        <v>57</v>
      </c>
      <c r="J57" s="100"/>
      <c r="K57" s="101">
        <v>30</v>
      </c>
      <c r="L57" s="102">
        <v>1</v>
      </c>
      <c r="M57" s="102">
        <v>30</v>
      </c>
      <c r="N57" s="103" t="s">
        <v>51</v>
      </c>
      <c r="O57" s="104" t="s">
        <v>47</v>
      </c>
      <c r="P57" s="105"/>
      <c r="Q57" s="104" t="s">
        <v>47</v>
      </c>
      <c r="R57" s="105"/>
      <c r="S57" s="139" t="s">
        <v>48</v>
      </c>
      <c r="T57" s="131"/>
    </row>
    <row r="58" ht="25" customHeight="1" spans="2:20">
      <c r="B58" s="62">
        <v>11</v>
      </c>
      <c r="C58" s="24" t="s">
        <v>52</v>
      </c>
      <c r="D58" s="24"/>
      <c r="E58" s="24"/>
      <c r="F58" s="24"/>
      <c r="G58" s="63" t="s">
        <v>44</v>
      </c>
      <c r="H58" s="63"/>
      <c r="I58" s="95" t="s">
        <v>57</v>
      </c>
      <c r="J58" s="95"/>
      <c r="K58" s="37">
        <v>30</v>
      </c>
      <c r="L58" s="96">
        <v>1</v>
      </c>
      <c r="M58" s="96">
        <v>30</v>
      </c>
      <c r="N58" s="106" t="s">
        <v>59</v>
      </c>
      <c r="O58" s="99" t="s">
        <v>60</v>
      </c>
      <c r="P58" s="99"/>
      <c r="Q58" s="99" t="s">
        <v>61</v>
      </c>
      <c r="R58" s="99"/>
      <c r="S58" s="137" t="s">
        <v>48</v>
      </c>
      <c r="T58" s="138"/>
    </row>
    <row r="59" ht="25" customHeight="1" spans="2:20">
      <c r="B59" s="64">
        <v>12</v>
      </c>
      <c r="C59" s="65" t="s">
        <v>52</v>
      </c>
      <c r="D59" s="65"/>
      <c r="E59" s="65"/>
      <c r="F59" s="65"/>
      <c r="G59" s="66" t="s">
        <v>44</v>
      </c>
      <c r="H59" s="66"/>
      <c r="I59" s="100" t="s">
        <v>57</v>
      </c>
      <c r="J59" s="100"/>
      <c r="K59" s="101">
        <v>30</v>
      </c>
      <c r="L59" s="102">
        <v>1</v>
      </c>
      <c r="M59" s="102">
        <v>30</v>
      </c>
      <c r="N59" s="103" t="s">
        <v>59</v>
      </c>
      <c r="O59" s="104" t="s">
        <v>62</v>
      </c>
      <c r="P59" s="105"/>
      <c r="Q59" s="105" t="s">
        <v>61</v>
      </c>
      <c r="R59" s="105"/>
      <c r="S59" s="139" t="s">
        <v>48</v>
      </c>
      <c r="T59" s="131"/>
    </row>
    <row r="60" s="2" customFormat="1" ht="25" customHeight="1" spans="2:21">
      <c r="B60" s="68"/>
      <c r="C60" s="69"/>
      <c r="D60" s="69"/>
      <c r="E60" s="69"/>
      <c r="F60" s="69"/>
      <c r="G60" s="69"/>
      <c r="H60" s="70"/>
      <c r="I60" s="70"/>
      <c r="J60" s="70"/>
      <c r="K60" s="107"/>
      <c r="L60" s="108" t="s">
        <v>63</v>
      </c>
      <c r="M60" s="109">
        <f>SUM(M48:M59)</f>
        <v>75710</v>
      </c>
      <c r="N60" s="107"/>
      <c r="O60" s="110"/>
      <c r="P60" s="110"/>
      <c r="Q60" s="110"/>
      <c r="R60" s="140"/>
      <c r="S60" s="110"/>
      <c r="T60" s="141"/>
      <c r="U60" s="3"/>
    </row>
    <row r="61" ht="5" customHeight="1" spans="2:20">
      <c r="B61" s="71"/>
      <c r="C61" s="72"/>
      <c r="D61" s="72"/>
      <c r="E61" s="72"/>
      <c r="F61" s="72"/>
      <c r="G61" s="72"/>
      <c r="H61" s="73"/>
      <c r="I61" s="73"/>
      <c r="J61" s="73"/>
      <c r="K61" s="111"/>
      <c r="L61" s="112"/>
      <c r="M61" s="113"/>
      <c r="N61" s="111"/>
      <c r="O61" s="114"/>
      <c r="P61" s="114"/>
      <c r="Q61" s="114"/>
      <c r="R61" s="142"/>
      <c r="S61" s="72"/>
      <c r="T61" s="143"/>
    </row>
    <row r="62" ht="25" customHeight="1" spans="2:20">
      <c r="B62" s="57" t="s">
        <v>64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135"/>
    </row>
    <row r="63" ht="25" customHeight="1" spans="2:20">
      <c r="B63" s="59" t="s">
        <v>32</v>
      </c>
      <c r="C63" s="60" t="s">
        <v>33</v>
      </c>
      <c r="D63" s="60"/>
      <c r="E63" s="60"/>
      <c r="F63" s="60"/>
      <c r="G63" s="61" t="s">
        <v>91</v>
      </c>
      <c r="H63" s="61"/>
      <c r="I63" s="88" t="s">
        <v>92</v>
      </c>
      <c r="J63" s="88"/>
      <c r="K63" s="89" t="s">
        <v>65</v>
      </c>
      <c r="L63" s="90" t="s">
        <v>37</v>
      </c>
      <c r="M63" s="91" t="s">
        <v>66</v>
      </c>
      <c r="N63" s="92" t="s">
        <v>39</v>
      </c>
      <c r="O63" s="93" t="s">
        <v>40</v>
      </c>
      <c r="P63" s="94"/>
      <c r="Q63" s="94" t="s">
        <v>41</v>
      </c>
      <c r="R63" s="94"/>
      <c r="S63" s="93" t="s">
        <v>42</v>
      </c>
      <c r="T63" s="136"/>
    </row>
    <row r="64" ht="25" customHeight="1" spans="2:20">
      <c r="B64" s="62">
        <v>1</v>
      </c>
      <c r="C64" s="24" t="s">
        <v>43</v>
      </c>
      <c r="D64" s="24"/>
      <c r="E64" s="24"/>
      <c r="F64" s="24"/>
      <c r="G64" s="63" t="s">
        <v>44</v>
      </c>
      <c r="H64" s="63"/>
      <c r="I64" s="95" t="s">
        <v>45</v>
      </c>
      <c r="J64" s="95"/>
      <c r="K64" s="37">
        <v>30</v>
      </c>
      <c r="L64" s="96">
        <v>2500</v>
      </c>
      <c r="M64" s="96">
        <v>75000</v>
      </c>
      <c r="N64" s="97" t="s">
        <v>46</v>
      </c>
      <c r="O64" s="98" t="s">
        <v>47</v>
      </c>
      <c r="P64" s="99"/>
      <c r="Q64" s="98" t="s">
        <v>47</v>
      </c>
      <c r="R64" s="99"/>
      <c r="S64" s="137" t="s">
        <v>48</v>
      </c>
      <c r="T64" s="138"/>
    </row>
    <row r="65" ht="25" customHeight="1" spans="2:20">
      <c r="B65" s="64">
        <v>2</v>
      </c>
      <c r="C65" s="65" t="s">
        <v>49</v>
      </c>
      <c r="D65" s="65"/>
      <c r="E65" s="65"/>
      <c r="F65" s="65"/>
      <c r="G65" s="66" t="s">
        <v>44</v>
      </c>
      <c r="H65" s="66"/>
      <c r="I65" s="100" t="s">
        <v>50</v>
      </c>
      <c r="J65" s="100"/>
      <c r="K65" s="101">
        <v>350</v>
      </c>
      <c r="L65" s="102">
        <v>1</v>
      </c>
      <c r="M65" s="102">
        <v>350</v>
      </c>
      <c r="N65" s="103" t="s">
        <v>51</v>
      </c>
      <c r="O65" s="104" t="s">
        <v>47</v>
      </c>
      <c r="P65" s="105"/>
      <c r="Q65" s="104" t="s">
        <v>47</v>
      </c>
      <c r="R65" s="105"/>
      <c r="S65" s="139" t="s">
        <v>48</v>
      </c>
      <c r="T65" s="131"/>
    </row>
    <row r="66" ht="25" customHeight="1" spans="2:20">
      <c r="B66" s="62">
        <v>3</v>
      </c>
      <c r="C66" s="24" t="s">
        <v>52</v>
      </c>
      <c r="D66" s="24"/>
      <c r="E66" s="24"/>
      <c r="F66" s="24"/>
      <c r="G66" s="63" t="s">
        <v>44</v>
      </c>
      <c r="H66" s="63"/>
      <c r="I66" s="95" t="s">
        <v>53</v>
      </c>
      <c r="J66" s="95"/>
      <c r="K66" s="37">
        <v>30</v>
      </c>
      <c r="L66" s="96">
        <v>1</v>
      </c>
      <c r="M66" s="96">
        <v>30</v>
      </c>
      <c r="N66" s="106" t="s">
        <v>51</v>
      </c>
      <c r="O66" s="98" t="s">
        <v>47</v>
      </c>
      <c r="P66" s="99"/>
      <c r="Q66" s="98" t="s">
        <v>47</v>
      </c>
      <c r="R66" s="99"/>
      <c r="S66" s="137" t="s">
        <v>48</v>
      </c>
      <c r="T66" s="138"/>
    </row>
    <row r="67" ht="25" customHeight="1" spans="2:20">
      <c r="B67" s="64">
        <v>4</v>
      </c>
      <c r="C67" s="65" t="s">
        <v>52</v>
      </c>
      <c r="D67" s="65"/>
      <c r="E67" s="65"/>
      <c r="F67" s="65"/>
      <c r="G67" s="66" t="s">
        <v>44</v>
      </c>
      <c r="H67" s="66"/>
      <c r="I67" s="100" t="s">
        <v>54</v>
      </c>
      <c r="J67" s="100"/>
      <c r="K67" s="101">
        <v>30</v>
      </c>
      <c r="L67" s="102">
        <v>1</v>
      </c>
      <c r="M67" s="102">
        <v>30</v>
      </c>
      <c r="N67" s="103" t="s">
        <v>51</v>
      </c>
      <c r="O67" s="104" t="s">
        <v>47</v>
      </c>
      <c r="P67" s="105"/>
      <c r="Q67" s="104" t="s">
        <v>47</v>
      </c>
      <c r="R67" s="105"/>
      <c r="S67" s="139" t="s">
        <v>48</v>
      </c>
      <c r="T67" s="131"/>
    </row>
    <row r="68" ht="25" customHeight="1" spans="2:20">
      <c r="B68" s="62">
        <v>5</v>
      </c>
      <c r="C68" s="24" t="s">
        <v>52</v>
      </c>
      <c r="D68" s="24"/>
      <c r="E68" s="24"/>
      <c r="F68" s="24"/>
      <c r="G68" s="63" t="s">
        <v>44</v>
      </c>
      <c r="H68" s="63"/>
      <c r="I68" s="95" t="s">
        <v>55</v>
      </c>
      <c r="J68" s="95"/>
      <c r="K68" s="37">
        <v>30</v>
      </c>
      <c r="L68" s="96">
        <v>2</v>
      </c>
      <c r="M68" s="96">
        <v>60</v>
      </c>
      <c r="N68" s="106" t="s">
        <v>51</v>
      </c>
      <c r="O68" s="98" t="s">
        <v>47</v>
      </c>
      <c r="P68" s="99"/>
      <c r="Q68" s="98" t="s">
        <v>47</v>
      </c>
      <c r="R68" s="99"/>
      <c r="S68" s="137" t="s">
        <v>48</v>
      </c>
      <c r="T68" s="138"/>
    </row>
    <row r="69" ht="25" customHeight="1" spans="2:20">
      <c r="B69" s="64">
        <v>6</v>
      </c>
      <c r="C69" s="65" t="s">
        <v>52</v>
      </c>
      <c r="D69" s="65"/>
      <c r="E69" s="65"/>
      <c r="F69" s="65"/>
      <c r="G69" s="67">
        <v>190922000006</v>
      </c>
      <c r="H69" s="67"/>
      <c r="I69" s="100" t="s">
        <v>56</v>
      </c>
      <c r="J69" s="100"/>
      <c r="K69" s="101">
        <v>30</v>
      </c>
      <c r="L69" s="102">
        <v>1</v>
      </c>
      <c r="M69" s="102">
        <v>30</v>
      </c>
      <c r="N69" s="103" t="s">
        <v>51</v>
      </c>
      <c r="O69" s="104" t="s">
        <v>47</v>
      </c>
      <c r="P69" s="105"/>
      <c r="Q69" s="104" t="s">
        <v>47</v>
      </c>
      <c r="R69" s="105"/>
      <c r="S69" s="139" t="s">
        <v>48</v>
      </c>
      <c r="T69" s="131"/>
    </row>
    <row r="70" ht="25" customHeight="1" spans="2:20">
      <c r="B70" s="62">
        <v>7</v>
      </c>
      <c r="C70" s="24" t="s">
        <v>52</v>
      </c>
      <c r="D70" s="24"/>
      <c r="E70" s="24"/>
      <c r="F70" s="24"/>
      <c r="G70" s="35">
        <v>190922000006</v>
      </c>
      <c r="H70" s="35"/>
      <c r="I70" s="95" t="s">
        <v>57</v>
      </c>
      <c r="J70" s="95"/>
      <c r="K70" s="37">
        <v>30</v>
      </c>
      <c r="L70" s="96">
        <v>2</v>
      </c>
      <c r="M70" s="96">
        <v>60</v>
      </c>
      <c r="N70" s="106" t="s">
        <v>51</v>
      </c>
      <c r="O70" s="98" t="s">
        <v>47</v>
      </c>
      <c r="P70" s="99"/>
      <c r="Q70" s="98" t="s">
        <v>47</v>
      </c>
      <c r="R70" s="99"/>
      <c r="S70" s="137" t="s">
        <v>48</v>
      </c>
      <c r="T70" s="138"/>
    </row>
    <row r="71" ht="25" customHeight="1" spans="2:20">
      <c r="B71" s="64">
        <v>8</v>
      </c>
      <c r="C71" s="65" t="s">
        <v>52</v>
      </c>
      <c r="D71" s="65"/>
      <c r="E71" s="65"/>
      <c r="F71" s="65"/>
      <c r="G71" s="67">
        <v>191013000009</v>
      </c>
      <c r="H71" s="67"/>
      <c r="I71" s="100" t="s">
        <v>58</v>
      </c>
      <c r="J71" s="100"/>
      <c r="K71" s="101">
        <v>30</v>
      </c>
      <c r="L71" s="102">
        <v>1</v>
      </c>
      <c r="M71" s="102">
        <v>30</v>
      </c>
      <c r="N71" s="103" t="s">
        <v>51</v>
      </c>
      <c r="O71" s="104" t="s">
        <v>47</v>
      </c>
      <c r="P71" s="105"/>
      <c r="Q71" s="104" t="s">
        <v>47</v>
      </c>
      <c r="R71" s="105"/>
      <c r="S71" s="139" t="s">
        <v>48</v>
      </c>
      <c r="T71" s="131"/>
    </row>
    <row r="72" ht="25" customHeight="1" spans="2:20">
      <c r="B72" s="62">
        <v>9</v>
      </c>
      <c r="C72" s="24" t="s">
        <v>52</v>
      </c>
      <c r="D72" s="24"/>
      <c r="E72" s="24"/>
      <c r="F72" s="24"/>
      <c r="G72" s="63" t="s">
        <v>44</v>
      </c>
      <c r="H72" s="63"/>
      <c r="I72" s="95" t="s">
        <v>57</v>
      </c>
      <c r="J72" s="95"/>
      <c r="K72" s="37">
        <v>30</v>
      </c>
      <c r="L72" s="96">
        <v>1</v>
      </c>
      <c r="M72" s="96">
        <v>30</v>
      </c>
      <c r="N72" s="106" t="s">
        <v>51</v>
      </c>
      <c r="O72" s="98" t="s">
        <v>47</v>
      </c>
      <c r="P72" s="99"/>
      <c r="Q72" s="98" t="s">
        <v>47</v>
      </c>
      <c r="R72" s="99"/>
      <c r="S72" s="137" t="s">
        <v>48</v>
      </c>
      <c r="T72" s="138"/>
    </row>
    <row r="73" ht="25" customHeight="1" spans="2:20">
      <c r="B73" s="64">
        <v>10</v>
      </c>
      <c r="C73" s="65" t="s">
        <v>52</v>
      </c>
      <c r="D73" s="65"/>
      <c r="E73" s="65"/>
      <c r="F73" s="65"/>
      <c r="G73" s="66" t="s">
        <v>44</v>
      </c>
      <c r="H73" s="66"/>
      <c r="I73" s="100" t="s">
        <v>57</v>
      </c>
      <c r="J73" s="100"/>
      <c r="K73" s="101">
        <v>30</v>
      </c>
      <c r="L73" s="102">
        <v>1</v>
      </c>
      <c r="M73" s="102">
        <v>30</v>
      </c>
      <c r="N73" s="103" t="s">
        <v>51</v>
      </c>
      <c r="O73" s="104" t="s">
        <v>47</v>
      </c>
      <c r="P73" s="105"/>
      <c r="Q73" s="104" t="s">
        <v>47</v>
      </c>
      <c r="R73" s="105"/>
      <c r="S73" s="139" t="s">
        <v>48</v>
      </c>
      <c r="T73" s="131"/>
    </row>
    <row r="74" ht="25" customHeight="1" spans="2:20">
      <c r="B74" s="62">
        <v>11</v>
      </c>
      <c r="C74" s="24" t="s">
        <v>52</v>
      </c>
      <c r="D74" s="24"/>
      <c r="E74" s="24"/>
      <c r="F74" s="24"/>
      <c r="G74" s="63" t="s">
        <v>44</v>
      </c>
      <c r="H74" s="63"/>
      <c r="I74" s="95" t="s">
        <v>57</v>
      </c>
      <c r="J74" s="95"/>
      <c r="K74" s="37">
        <v>30</v>
      </c>
      <c r="L74" s="96">
        <v>1</v>
      </c>
      <c r="M74" s="96">
        <v>30</v>
      </c>
      <c r="N74" s="106" t="s">
        <v>59</v>
      </c>
      <c r="O74" s="99" t="s">
        <v>60</v>
      </c>
      <c r="P74" s="99"/>
      <c r="Q74" s="99" t="s">
        <v>61</v>
      </c>
      <c r="R74" s="99"/>
      <c r="S74" s="137" t="s">
        <v>48</v>
      </c>
      <c r="T74" s="138"/>
    </row>
    <row r="75" ht="25" customHeight="1" spans="2:20">
      <c r="B75" s="64">
        <v>12</v>
      </c>
      <c r="C75" s="65" t="s">
        <v>52</v>
      </c>
      <c r="D75" s="65"/>
      <c r="E75" s="65"/>
      <c r="F75" s="65"/>
      <c r="G75" s="66" t="s">
        <v>44</v>
      </c>
      <c r="H75" s="66"/>
      <c r="I75" s="100" t="s">
        <v>57</v>
      </c>
      <c r="J75" s="100"/>
      <c r="K75" s="101">
        <v>30</v>
      </c>
      <c r="L75" s="102">
        <v>1</v>
      </c>
      <c r="M75" s="102">
        <v>30</v>
      </c>
      <c r="N75" s="103" t="s">
        <v>59</v>
      </c>
      <c r="O75" s="104" t="s">
        <v>62</v>
      </c>
      <c r="P75" s="105"/>
      <c r="Q75" s="105" t="s">
        <v>61</v>
      </c>
      <c r="R75" s="105"/>
      <c r="S75" s="139" t="s">
        <v>48</v>
      </c>
      <c r="T75" s="131"/>
    </row>
    <row r="76" ht="25" customHeight="1" spans="2:20">
      <c r="B76" s="68"/>
      <c r="C76" s="69"/>
      <c r="D76" s="69"/>
      <c r="E76" s="69"/>
      <c r="F76" s="69"/>
      <c r="G76" s="69"/>
      <c r="H76" s="70"/>
      <c r="I76" s="70"/>
      <c r="J76" s="70"/>
      <c r="K76" s="107"/>
      <c r="L76" s="148" t="s">
        <v>67</v>
      </c>
      <c r="M76" s="109">
        <f>SUM(M64:M75)</f>
        <v>75710</v>
      </c>
      <c r="N76" s="107"/>
      <c r="O76" s="110"/>
      <c r="P76" s="110"/>
      <c r="Q76" s="110"/>
      <c r="R76" s="140"/>
      <c r="S76" s="110"/>
      <c r="T76" s="141"/>
    </row>
    <row r="77" ht="25" customHeight="1" spans="2:20">
      <c r="B77" s="68"/>
      <c r="C77" s="69"/>
      <c r="D77" s="69"/>
      <c r="E77" s="69"/>
      <c r="F77" s="69"/>
      <c r="G77" s="144"/>
      <c r="H77" s="145" t="s">
        <v>68</v>
      </c>
      <c r="I77" s="149"/>
      <c r="J77" s="149"/>
      <c r="K77" s="145" t="s">
        <v>69</v>
      </c>
      <c r="L77" s="149"/>
      <c r="M77" s="150">
        <v>480758.5</v>
      </c>
      <c r="N77" s="150"/>
      <c r="O77" s="151" t="s">
        <v>70</v>
      </c>
      <c r="P77" s="150"/>
      <c r="Q77" s="150"/>
      <c r="R77" s="150"/>
      <c r="S77" s="150"/>
      <c r="T77" s="141"/>
    </row>
    <row r="78" ht="25" customHeight="1" spans="2:20">
      <c r="B78" s="146" t="s">
        <v>71</v>
      </c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52"/>
    </row>
  </sheetData>
  <mergeCells count="27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L13:M13"/>
    <mergeCell ref="C14:D14"/>
    <mergeCell ref="L14:M14"/>
    <mergeCell ref="C15:D15"/>
    <mergeCell ref="L15:M15"/>
    <mergeCell ref="C16:D16"/>
    <mergeCell ref="L16:M16"/>
    <mergeCell ref="C17:D17"/>
    <mergeCell ref="L17:M17"/>
    <mergeCell ref="C19:D19"/>
    <mergeCell ref="L19:M19"/>
    <mergeCell ref="C20:D20"/>
    <mergeCell ref="L20:M20"/>
    <mergeCell ref="C21:D21"/>
    <mergeCell ref="L21:M21"/>
    <mergeCell ref="C22:D22"/>
    <mergeCell ref="L22:M22"/>
    <mergeCell ref="C23:D23"/>
    <mergeCell ref="L23:M23"/>
    <mergeCell ref="C25:D25"/>
    <mergeCell ref="L25:M25"/>
    <mergeCell ref="B27:T27"/>
    <mergeCell ref="B29:T29"/>
    <mergeCell ref="C30:D30"/>
    <mergeCell ref="L30:M30"/>
    <mergeCell ref="C31:D31"/>
    <mergeCell ref="L31:M31"/>
    <mergeCell ref="C32:D32"/>
    <mergeCell ref="L32:M32"/>
    <mergeCell ref="C33:D33"/>
    <mergeCell ref="L33:M33"/>
    <mergeCell ref="C34:D34"/>
    <mergeCell ref="L34:M34"/>
    <mergeCell ref="C36:D36"/>
    <mergeCell ref="L36:M36"/>
    <mergeCell ref="C37:D37"/>
    <mergeCell ref="L37:M37"/>
    <mergeCell ref="C38:D38"/>
    <mergeCell ref="L38:M38"/>
    <mergeCell ref="C39:D39"/>
    <mergeCell ref="L39:M39"/>
    <mergeCell ref="C40:D40"/>
    <mergeCell ref="L40:M40"/>
    <mergeCell ref="C42:D42"/>
    <mergeCell ref="L42:M42"/>
    <mergeCell ref="B44:T44"/>
    <mergeCell ref="B45:T45"/>
    <mergeCell ref="B46:T46"/>
    <mergeCell ref="C47:F47"/>
    <mergeCell ref="G47:H47"/>
    <mergeCell ref="I47:J47"/>
    <mergeCell ref="O47:P47"/>
    <mergeCell ref="Q47:R47"/>
    <mergeCell ref="S47:T47"/>
    <mergeCell ref="C48:F48"/>
    <mergeCell ref="G48:H48"/>
    <mergeCell ref="I48:J48"/>
    <mergeCell ref="O48:P48"/>
    <mergeCell ref="Q48:R48"/>
    <mergeCell ref="S48:T48"/>
    <mergeCell ref="C49:F49"/>
    <mergeCell ref="G49:H49"/>
    <mergeCell ref="I49:J49"/>
    <mergeCell ref="O49:P49"/>
    <mergeCell ref="Q49:R49"/>
    <mergeCell ref="S49:T49"/>
    <mergeCell ref="C50:F50"/>
    <mergeCell ref="G50:H50"/>
    <mergeCell ref="I50:J50"/>
    <mergeCell ref="O50:P50"/>
    <mergeCell ref="Q50:R50"/>
    <mergeCell ref="S50:T50"/>
    <mergeCell ref="C51:F51"/>
    <mergeCell ref="G51:H51"/>
    <mergeCell ref="I51:J51"/>
    <mergeCell ref="O51:P51"/>
    <mergeCell ref="Q51:R51"/>
    <mergeCell ref="S51:T51"/>
    <mergeCell ref="C52:F52"/>
    <mergeCell ref="G52:H52"/>
    <mergeCell ref="I52:J52"/>
    <mergeCell ref="O52:P52"/>
    <mergeCell ref="Q52:R52"/>
    <mergeCell ref="S52:T52"/>
    <mergeCell ref="C53:F53"/>
    <mergeCell ref="G53:H53"/>
    <mergeCell ref="I53:J53"/>
    <mergeCell ref="O53:P53"/>
    <mergeCell ref="Q53:R53"/>
    <mergeCell ref="S53:T53"/>
    <mergeCell ref="C54:F54"/>
    <mergeCell ref="G54:H54"/>
    <mergeCell ref="I54:J54"/>
    <mergeCell ref="O54:P54"/>
    <mergeCell ref="Q54:R54"/>
    <mergeCell ref="S54:T54"/>
    <mergeCell ref="C55:F55"/>
    <mergeCell ref="G55:H55"/>
    <mergeCell ref="I55:J55"/>
    <mergeCell ref="O55:P55"/>
    <mergeCell ref="Q55:R55"/>
    <mergeCell ref="S55:T55"/>
    <mergeCell ref="C56:F56"/>
    <mergeCell ref="G56:H56"/>
    <mergeCell ref="I56:J56"/>
    <mergeCell ref="O56:P56"/>
    <mergeCell ref="Q56:R56"/>
    <mergeCell ref="S56:T56"/>
    <mergeCell ref="C57:F57"/>
    <mergeCell ref="G57:H57"/>
    <mergeCell ref="I57:J57"/>
    <mergeCell ref="O57:P57"/>
    <mergeCell ref="Q57:R57"/>
    <mergeCell ref="S57:T57"/>
    <mergeCell ref="C58:F58"/>
    <mergeCell ref="G58:H58"/>
    <mergeCell ref="I58:J58"/>
    <mergeCell ref="O58:P58"/>
    <mergeCell ref="Q58:R58"/>
    <mergeCell ref="S58:T58"/>
    <mergeCell ref="C59:F59"/>
    <mergeCell ref="G59:H59"/>
    <mergeCell ref="I59:J59"/>
    <mergeCell ref="O59:P59"/>
    <mergeCell ref="Q59:R59"/>
    <mergeCell ref="S59:T59"/>
    <mergeCell ref="B62:T62"/>
    <mergeCell ref="C63:F63"/>
    <mergeCell ref="G63:H63"/>
    <mergeCell ref="I63:J63"/>
    <mergeCell ref="O63:P63"/>
    <mergeCell ref="Q63:R63"/>
    <mergeCell ref="S63:T63"/>
    <mergeCell ref="C64:F64"/>
    <mergeCell ref="G64:H64"/>
    <mergeCell ref="I64:J64"/>
    <mergeCell ref="O64:P64"/>
    <mergeCell ref="Q64:R64"/>
    <mergeCell ref="S64:T64"/>
    <mergeCell ref="C65:F65"/>
    <mergeCell ref="G65:H65"/>
    <mergeCell ref="I65:J65"/>
    <mergeCell ref="O65:P65"/>
    <mergeCell ref="Q65:R65"/>
    <mergeCell ref="S65:T65"/>
    <mergeCell ref="C66:F66"/>
    <mergeCell ref="G66:H66"/>
    <mergeCell ref="I66:J66"/>
    <mergeCell ref="O66:P66"/>
    <mergeCell ref="Q66:R66"/>
    <mergeCell ref="S66:T66"/>
    <mergeCell ref="C67:F67"/>
    <mergeCell ref="G67:H67"/>
    <mergeCell ref="I67:J67"/>
    <mergeCell ref="O67:P67"/>
    <mergeCell ref="Q67:R67"/>
    <mergeCell ref="S67:T67"/>
    <mergeCell ref="C68:F68"/>
    <mergeCell ref="G68:H68"/>
    <mergeCell ref="I68:J68"/>
    <mergeCell ref="O68:P68"/>
    <mergeCell ref="Q68:R68"/>
    <mergeCell ref="S68:T68"/>
    <mergeCell ref="C69:F69"/>
    <mergeCell ref="G69:H69"/>
    <mergeCell ref="I69:J69"/>
    <mergeCell ref="O69:P69"/>
    <mergeCell ref="Q69:R69"/>
    <mergeCell ref="S69:T69"/>
    <mergeCell ref="C70:F70"/>
    <mergeCell ref="G70:H70"/>
    <mergeCell ref="I70:J70"/>
    <mergeCell ref="O70:P70"/>
    <mergeCell ref="Q70:R70"/>
    <mergeCell ref="S70:T70"/>
    <mergeCell ref="C71:F71"/>
    <mergeCell ref="G71:H71"/>
    <mergeCell ref="I71:J71"/>
    <mergeCell ref="O71:P71"/>
    <mergeCell ref="Q71:R71"/>
    <mergeCell ref="S71:T71"/>
    <mergeCell ref="C72:F72"/>
    <mergeCell ref="G72:H72"/>
    <mergeCell ref="I72:J72"/>
    <mergeCell ref="O72:P72"/>
    <mergeCell ref="Q72:R72"/>
    <mergeCell ref="S72:T72"/>
    <mergeCell ref="C73:F73"/>
    <mergeCell ref="G73:H73"/>
    <mergeCell ref="I73:J73"/>
    <mergeCell ref="O73:P73"/>
    <mergeCell ref="Q73:R73"/>
    <mergeCell ref="S73:T73"/>
    <mergeCell ref="C74:F74"/>
    <mergeCell ref="G74:H74"/>
    <mergeCell ref="I74:J74"/>
    <mergeCell ref="O74:P74"/>
    <mergeCell ref="Q74:R74"/>
    <mergeCell ref="S74:T74"/>
    <mergeCell ref="C75:F75"/>
    <mergeCell ref="G75:H75"/>
    <mergeCell ref="I75:J75"/>
    <mergeCell ref="O75:P75"/>
    <mergeCell ref="Q75:R75"/>
    <mergeCell ref="S75:T75"/>
    <mergeCell ref="H77:J77"/>
    <mergeCell ref="K77:L77"/>
    <mergeCell ref="B78:T78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2022-08-01T08:03:22Z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790C9816CDC344209E76C05C88FD49E9</vt:lpwstr>
  </property>
</Properties>
</file>